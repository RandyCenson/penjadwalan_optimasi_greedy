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UTER WISA\Desktop\skripsi\code\test-data\"/>
    </mc:Choice>
  </mc:AlternateContent>
  <xr:revisionPtr revIDLastSave="0" documentId="13_ncr:1_{619F4283-A5E0-4745-A2E1-941373303DEC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Manual" sheetId="3" r:id="rId1"/>
    <sheet name="greedy" sheetId="2" r:id="rId2"/>
    <sheet name="backup" sheetId="4" r:id="rId3"/>
    <sheet name="backup2" sheetId="5" r:id="rId4"/>
    <sheet name="Manual backup" sheetId="7" r:id="rId5"/>
    <sheet name="Manual_warna backup" sheetId="8" r:id="rId6"/>
    <sheet name="Manual warna backup (2)" sheetId="9" r:id="rId7"/>
    <sheet name="Manual Backup Final 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38" i="10" l="1"/>
  <c r="AH198" i="9"/>
  <c r="AH197" i="9"/>
  <c r="AH196" i="9"/>
  <c r="AH195" i="9"/>
  <c r="AH194" i="9"/>
  <c r="AH193" i="9"/>
  <c r="AH192" i="9"/>
  <c r="AH191" i="9"/>
  <c r="AH190" i="9"/>
  <c r="AH189" i="9"/>
  <c r="AH188" i="9"/>
  <c r="AH187" i="9"/>
  <c r="AH186" i="9"/>
  <c r="AH185" i="9"/>
  <c r="AH184" i="9"/>
  <c r="AH183" i="9"/>
  <c r="AH182" i="9"/>
  <c r="AH181" i="9"/>
  <c r="AH180" i="9"/>
  <c r="AH179" i="9"/>
  <c r="AH178" i="9"/>
  <c r="AH176" i="9"/>
  <c r="AH175" i="9"/>
  <c r="AH174" i="9"/>
  <c r="AH173" i="9"/>
  <c r="AH172" i="9"/>
  <c r="AH171" i="9"/>
  <c r="AH170" i="9"/>
  <c r="AH169" i="9"/>
  <c r="AH168" i="9"/>
  <c r="AH167" i="9"/>
  <c r="AH166" i="9"/>
  <c r="AH165" i="9"/>
  <c r="AH164" i="9"/>
  <c r="AH163" i="9"/>
  <c r="AH162" i="9"/>
  <c r="AH161" i="9"/>
  <c r="AH160" i="9"/>
  <c r="AH159" i="9"/>
  <c r="AH158" i="9"/>
  <c r="AH157" i="9"/>
  <c r="AH156" i="9"/>
  <c r="AH154" i="9"/>
  <c r="AH153" i="9"/>
  <c r="AH152" i="9"/>
  <c r="AH151" i="9"/>
  <c r="AH150" i="9"/>
  <c r="AH149" i="9"/>
  <c r="AH148" i="9"/>
  <c r="AH147" i="9"/>
  <c r="AH146" i="9"/>
  <c r="AH145" i="9"/>
  <c r="AH144" i="9"/>
  <c r="AH143" i="9"/>
  <c r="AH142" i="9"/>
  <c r="AH141" i="9"/>
  <c r="AH140" i="9"/>
  <c r="AH139" i="9"/>
  <c r="AH138" i="9"/>
  <c r="AH137" i="9"/>
  <c r="AH136" i="9"/>
  <c r="AH135" i="9"/>
  <c r="AH134" i="9"/>
  <c r="AH132" i="9"/>
  <c r="AH131" i="9"/>
  <c r="AH130" i="9"/>
  <c r="AH129" i="9"/>
  <c r="AH128" i="9"/>
  <c r="AH127" i="9"/>
  <c r="AH126" i="9"/>
  <c r="AH125" i="9"/>
  <c r="AH124" i="9"/>
  <c r="AH123" i="9"/>
  <c r="AH122" i="9"/>
  <c r="AH121" i="9"/>
  <c r="AH120" i="9"/>
  <c r="AH119" i="9"/>
  <c r="AH118" i="9"/>
  <c r="AH117" i="9"/>
  <c r="AH116" i="9"/>
  <c r="AH115" i="9"/>
  <c r="AH114" i="9"/>
  <c r="AH113" i="9"/>
  <c r="AH112" i="9"/>
  <c r="AH110" i="9"/>
  <c r="AH109" i="9"/>
  <c r="AH108" i="9"/>
  <c r="AH107" i="9"/>
  <c r="AH106" i="9"/>
  <c r="AH105" i="9"/>
  <c r="AH104" i="9"/>
  <c r="AH103" i="9"/>
  <c r="AH102" i="9"/>
  <c r="AH101" i="9"/>
  <c r="AH100" i="9"/>
  <c r="AH99" i="9"/>
  <c r="AH98" i="9"/>
  <c r="AH97" i="9"/>
  <c r="AH96" i="9"/>
  <c r="AH95" i="9"/>
  <c r="AH94" i="9"/>
  <c r="AH93" i="9"/>
  <c r="AH92" i="9"/>
  <c r="AH91" i="9"/>
  <c r="AH90" i="9"/>
  <c r="AH88" i="9"/>
  <c r="AH87" i="9"/>
  <c r="AH86" i="9"/>
  <c r="AH85" i="9"/>
  <c r="AH84" i="9"/>
  <c r="AH83" i="9"/>
  <c r="AH82" i="9"/>
  <c r="AH81" i="9"/>
  <c r="AH80" i="9"/>
  <c r="AH79" i="9"/>
  <c r="AH78" i="9"/>
  <c r="AH77" i="9"/>
  <c r="AH76" i="9"/>
  <c r="AH75" i="9"/>
  <c r="AH74" i="9"/>
  <c r="AH73" i="9"/>
  <c r="AH72" i="9"/>
  <c r="AH71" i="9"/>
  <c r="AH70" i="9"/>
  <c r="AH69" i="9"/>
  <c r="AH68" i="9"/>
  <c r="AH66" i="9"/>
  <c r="AH65" i="9"/>
  <c r="AH64" i="9"/>
  <c r="AH63" i="9"/>
  <c r="AH62" i="9"/>
  <c r="AH61" i="9"/>
  <c r="AH60" i="9"/>
  <c r="AH59" i="9"/>
  <c r="AH58" i="9"/>
  <c r="AH57" i="9"/>
  <c r="AH56" i="9"/>
  <c r="AH55" i="9"/>
  <c r="AH54" i="9"/>
  <c r="AH53" i="9"/>
  <c r="AH52" i="9"/>
  <c r="AH51" i="9"/>
  <c r="AH50" i="9"/>
  <c r="AH49" i="9"/>
  <c r="AH48" i="9"/>
  <c r="AH47" i="9"/>
  <c r="AH46" i="9"/>
  <c r="G46" i="9" a="1"/>
  <c r="G46" i="9" s="1"/>
  <c r="AH44" i="9"/>
  <c r="AH43" i="9"/>
  <c r="AH42" i="9"/>
  <c r="AH41" i="9"/>
  <c r="AH40" i="9"/>
  <c r="AH39" i="9"/>
  <c r="G39" i="9" a="1"/>
  <c r="G39" i="9" s="1"/>
  <c r="AH38" i="9"/>
  <c r="AH37" i="9"/>
  <c r="AH36" i="9"/>
  <c r="AH35" i="9"/>
  <c r="AH34" i="9"/>
  <c r="AH33" i="9"/>
  <c r="AH32" i="9"/>
  <c r="AH31" i="9"/>
  <c r="AH30" i="9"/>
  <c r="AH29" i="9"/>
  <c r="AH28" i="9"/>
  <c r="AH27" i="9"/>
  <c r="AH26" i="9"/>
  <c r="G26" i="9" a="1"/>
  <c r="G26" i="9" s="1"/>
  <c r="AH25" i="9"/>
  <c r="AH24" i="9"/>
  <c r="G24" i="9" a="1"/>
  <c r="G24" i="9" s="1"/>
  <c r="AH22" i="9"/>
  <c r="AH21" i="9"/>
  <c r="AH20" i="9"/>
  <c r="AH19" i="9"/>
  <c r="G19" i="9" a="1"/>
  <c r="G19" i="9" s="1"/>
  <c r="AH18" i="9"/>
  <c r="AH17" i="9"/>
  <c r="G17" i="9" a="1"/>
  <c r="G17" i="9" s="1"/>
  <c r="AH16" i="9"/>
  <c r="G16" i="9" a="1"/>
  <c r="G16" i="9" s="1"/>
  <c r="AH15" i="9"/>
  <c r="G15" i="9" a="1"/>
  <c r="G15" i="9" s="1"/>
  <c r="AH14" i="9"/>
  <c r="AH13" i="9"/>
  <c r="G13" i="9" a="1"/>
  <c r="G13" i="9" s="1"/>
  <c r="AH12" i="9"/>
  <c r="AH11" i="9"/>
  <c r="AH10" i="9"/>
  <c r="AH9" i="9"/>
  <c r="G9" i="9" a="1"/>
  <c r="G9" i="9" s="1"/>
  <c r="AH8" i="9"/>
  <c r="AH7" i="9"/>
  <c r="G7" i="9" a="1"/>
  <c r="G7" i="9" s="1"/>
  <c r="AH6" i="9"/>
  <c r="G6" i="9" a="1"/>
  <c r="G6" i="9" s="1"/>
  <c r="AH5" i="9"/>
  <c r="AH4" i="9"/>
  <c r="G4" i="9" a="1"/>
  <c r="G4" i="9" s="1"/>
  <c r="AH3" i="9"/>
  <c r="G3" i="9" a="1"/>
  <c r="G3" i="9" s="1"/>
  <c r="AH2" i="9"/>
  <c r="S2" i="9" a="1"/>
  <c r="G323" i="9" s="1" a="1"/>
  <c r="G323" i="9" s="1"/>
  <c r="S2" i="8" a="1"/>
  <c r="G265" i="8" s="1" a="1"/>
  <c r="G265" i="8" s="1"/>
  <c r="G336" i="7"/>
  <c r="G335" i="7"/>
  <c r="G334" i="7"/>
  <c r="G333" i="7"/>
  <c r="G332" i="7"/>
  <c r="G331" i="7"/>
  <c r="G330" i="7"/>
  <c r="G329" i="7"/>
  <c r="G328" i="7"/>
  <c r="G327" i="7"/>
  <c r="G326" i="7"/>
  <c r="G325" i="7"/>
  <c r="G324" i="7"/>
  <c r="G323" i="7"/>
  <c r="G322" i="7"/>
  <c r="G321" i="7"/>
  <c r="G320" i="7"/>
  <c r="G319" i="7"/>
  <c r="G318" i="7"/>
  <c r="G317" i="7"/>
  <c r="G316" i="7"/>
  <c r="G315" i="7"/>
  <c r="G314" i="7"/>
  <c r="G313" i="7"/>
  <c r="G312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9" i="7"/>
  <c r="G298" i="7"/>
  <c r="G297" i="7"/>
  <c r="G296" i="7"/>
  <c r="G295" i="7"/>
  <c r="G294" i="7"/>
  <c r="G293" i="7"/>
  <c r="G292" i="7"/>
  <c r="G291" i="7"/>
  <c r="G290" i="7"/>
  <c r="G289" i="7"/>
  <c r="G288" i="7"/>
  <c r="G287" i="7"/>
  <c r="G286" i="7"/>
  <c r="G285" i="7"/>
  <c r="G284" i="7"/>
  <c r="G283" i="7"/>
  <c r="G282" i="7"/>
  <c r="G281" i="7"/>
  <c r="G280" i="7"/>
  <c r="G279" i="7"/>
  <c r="G278" i="7"/>
  <c r="G277" i="7"/>
  <c r="G276" i="7"/>
  <c r="G275" i="7"/>
  <c r="G274" i="7"/>
  <c r="G273" i="7"/>
  <c r="G272" i="7"/>
  <c r="G271" i="7"/>
  <c r="G270" i="7"/>
  <c r="G269" i="7"/>
  <c r="G268" i="7"/>
  <c r="G267" i="7"/>
  <c r="G266" i="7"/>
  <c r="G265" i="7"/>
  <c r="G264" i="7"/>
  <c r="G263" i="7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S2" i="7" a="1"/>
  <c r="S2" i="7" s="1"/>
  <c r="G2" i="7"/>
  <c r="G337" i="7" s="1"/>
  <c r="G10" i="9" l="1" a="1"/>
  <c r="G10" i="9" s="1"/>
  <c r="G23" i="9" a="1"/>
  <c r="G23" i="9" s="1"/>
  <c r="G30" i="9" a="1"/>
  <c r="G30" i="9" s="1"/>
  <c r="G40" i="9" a="1"/>
  <c r="G40" i="9" s="1"/>
  <c r="G47" i="9" a="1"/>
  <c r="G47" i="9" s="1"/>
  <c r="G69" i="9" a="1"/>
  <c r="G69" i="9" s="1"/>
  <c r="G89" i="9" a="1"/>
  <c r="G89" i="9" s="1"/>
  <c r="G95" i="9" a="1"/>
  <c r="G95" i="9" s="1"/>
  <c r="G101" i="9" a="1"/>
  <c r="G101" i="9" s="1"/>
  <c r="G107" i="9" a="1"/>
  <c r="G107" i="9" s="1"/>
  <c r="G138" i="9" a="1"/>
  <c r="G138" i="9" s="1"/>
  <c r="G144" i="9" a="1"/>
  <c r="G144" i="9" s="1"/>
  <c r="G150" i="9" a="1"/>
  <c r="G150" i="9" s="1"/>
  <c r="G181" i="9" a="1"/>
  <c r="G181" i="9" s="1"/>
  <c r="G187" i="9" a="1"/>
  <c r="G187" i="9" s="1"/>
  <c r="G193" i="9" a="1"/>
  <c r="G193" i="9" s="1"/>
  <c r="G199" i="9" a="1"/>
  <c r="G199" i="9" s="1"/>
  <c r="G211" i="9" a="1"/>
  <c r="G211" i="9" s="1"/>
  <c r="G223" i="9" a="1"/>
  <c r="G223" i="9" s="1"/>
  <c r="G235" i="9" a="1"/>
  <c r="G235" i="9" s="1"/>
  <c r="G247" i="9" a="1"/>
  <c r="G247" i="9" s="1"/>
  <c r="G259" i="9" a="1"/>
  <c r="G259" i="9" s="1"/>
  <c r="G271" i="9" a="1"/>
  <c r="G271" i="9" s="1"/>
  <c r="G283" i="9" a="1"/>
  <c r="G283" i="9" s="1"/>
  <c r="G295" i="9" a="1"/>
  <c r="G295" i="9" s="1"/>
  <c r="G307" i="9" a="1"/>
  <c r="G307" i="9" s="1"/>
  <c r="G319" i="9" a="1"/>
  <c r="G319" i="9" s="1"/>
  <c r="G20" i="9" a="1"/>
  <c r="G20" i="9" s="1"/>
  <c r="G27" i="9" a="1"/>
  <c r="G27" i="9" s="1"/>
  <c r="G37" i="9" a="1"/>
  <c r="G37" i="9" s="1"/>
  <c r="G54" i="9" a="1"/>
  <c r="G54" i="9" s="1"/>
  <c r="G61" i="9" a="1"/>
  <c r="G61" i="9" s="1"/>
  <c r="G74" i="9" a="1"/>
  <c r="G74" i="9" s="1"/>
  <c r="G79" i="9" a="1"/>
  <c r="G79" i="9" s="1"/>
  <c r="G84" i="9" a="1"/>
  <c r="G84" i="9" s="1"/>
  <c r="G114" i="9" a="1"/>
  <c r="G114" i="9" s="1"/>
  <c r="G120" i="9" a="1"/>
  <c r="G120" i="9" s="1"/>
  <c r="G126" i="9" a="1"/>
  <c r="G126" i="9" s="1"/>
  <c r="G132" i="9" a="1"/>
  <c r="G132" i="9" s="1"/>
  <c r="G157" i="9" a="1"/>
  <c r="G157" i="9" s="1"/>
  <c r="G163" i="9" a="1"/>
  <c r="G163" i="9" s="1"/>
  <c r="G169" i="9" a="1"/>
  <c r="G169" i="9" s="1"/>
  <c r="G175" i="9" a="1"/>
  <c r="G175" i="9" s="1"/>
  <c r="G200" i="9" a="1"/>
  <c r="G200" i="9" s="1"/>
  <c r="G212" i="9" a="1"/>
  <c r="G212" i="9" s="1"/>
  <c r="G224" i="9" a="1"/>
  <c r="G224" i="9" s="1"/>
  <c r="G236" i="9" a="1"/>
  <c r="G236" i="9" s="1"/>
  <c r="G248" i="9" a="1"/>
  <c r="G248" i="9" s="1"/>
  <c r="G260" i="9" a="1"/>
  <c r="G260" i="9" s="1"/>
  <c r="G272" i="9" a="1"/>
  <c r="G272" i="9" s="1"/>
  <c r="G284" i="9" a="1"/>
  <c r="G284" i="9" s="1"/>
  <c r="G296" i="9" a="1"/>
  <c r="G296" i="9" s="1"/>
  <c r="G308" i="9" a="1"/>
  <c r="G308" i="9" s="1"/>
  <c r="G320" i="9" a="1"/>
  <c r="G320" i="9" s="1"/>
  <c r="G34" i="9" a="1"/>
  <c r="G34" i="9" s="1"/>
  <c r="G65" i="9" a="1"/>
  <c r="G65" i="9" s="1"/>
  <c r="G90" i="9" a="1"/>
  <c r="G90" i="9" s="1"/>
  <c r="G96" i="9" a="1"/>
  <c r="G96" i="9" s="1"/>
  <c r="G102" i="9" a="1"/>
  <c r="G102" i="9" s="1"/>
  <c r="G108" i="9" a="1"/>
  <c r="G108" i="9" s="1"/>
  <c r="G139" i="9" a="1"/>
  <c r="G139" i="9" s="1"/>
  <c r="G145" i="9" a="1"/>
  <c r="G145" i="9" s="1"/>
  <c r="G151" i="9" a="1"/>
  <c r="G151" i="9" s="1"/>
  <c r="G182" i="9" a="1"/>
  <c r="G182" i="9" s="1"/>
  <c r="G188" i="9" a="1"/>
  <c r="G188" i="9" s="1"/>
  <c r="G194" i="9" a="1"/>
  <c r="G194" i="9" s="1"/>
  <c r="G201" i="9" a="1"/>
  <c r="G201" i="9" s="1"/>
  <c r="G213" i="9" a="1"/>
  <c r="G213" i="9" s="1"/>
  <c r="G225" i="9" a="1"/>
  <c r="G225" i="9" s="1"/>
  <c r="G237" i="9" a="1"/>
  <c r="G237" i="9" s="1"/>
  <c r="G249" i="9" a="1"/>
  <c r="G249" i="9" s="1"/>
  <c r="G261" i="9" a="1"/>
  <c r="G261" i="9" s="1"/>
  <c r="G273" i="9" a="1"/>
  <c r="G273" i="9" s="1"/>
  <c r="G285" i="9" a="1"/>
  <c r="G285" i="9" s="1"/>
  <c r="G297" i="9" a="1"/>
  <c r="G297" i="9" s="1"/>
  <c r="G309" i="9" a="1"/>
  <c r="G309" i="9" s="1"/>
  <c r="G321" i="9" a="1"/>
  <c r="G321" i="9" s="1"/>
  <c r="G14" i="9" a="1"/>
  <c r="G14" i="9" s="1"/>
  <c r="G31" i="9" a="1"/>
  <c r="G31" i="9" s="1"/>
  <c r="G44" i="9" a="1"/>
  <c r="G44" i="9" s="1"/>
  <c r="G51" i="9" a="1"/>
  <c r="G51" i="9" s="1"/>
  <c r="G58" i="9" a="1"/>
  <c r="G58" i="9" s="1"/>
  <c r="G70" i="9" a="1"/>
  <c r="G70" i="9" s="1"/>
  <c r="G80" i="9" a="1"/>
  <c r="G80" i="9" s="1"/>
  <c r="G85" i="9" a="1"/>
  <c r="G85" i="9" s="1"/>
  <c r="G115" i="9" a="1"/>
  <c r="G115" i="9" s="1"/>
  <c r="G121" i="9" a="1"/>
  <c r="G121" i="9" s="1"/>
  <c r="G127" i="9" a="1"/>
  <c r="G127" i="9" s="1"/>
  <c r="G133" i="9" a="1"/>
  <c r="G133" i="9" s="1"/>
  <c r="G158" i="9" a="1"/>
  <c r="G158" i="9" s="1"/>
  <c r="G164" i="9" a="1"/>
  <c r="G164" i="9" s="1"/>
  <c r="G170" i="9" a="1"/>
  <c r="G170" i="9" s="1"/>
  <c r="G176" i="9" a="1"/>
  <c r="G176" i="9" s="1"/>
  <c r="G202" i="9" a="1"/>
  <c r="G202" i="9" s="1"/>
  <c r="G214" i="9" a="1"/>
  <c r="G214" i="9" s="1"/>
  <c r="G226" i="9" a="1"/>
  <c r="G226" i="9" s="1"/>
  <c r="G238" i="9" a="1"/>
  <c r="G238" i="9" s="1"/>
  <c r="G250" i="9" a="1"/>
  <c r="G250" i="9" s="1"/>
  <c r="G262" i="9" a="1"/>
  <c r="G262" i="9" s="1"/>
  <c r="G274" i="9" a="1"/>
  <c r="G274" i="9" s="1"/>
  <c r="G286" i="9" a="1"/>
  <c r="G286" i="9" s="1"/>
  <c r="G298" i="9" a="1"/>
  <c r="G298" i="9" s="1"/>
  <c r="G310" i="9" a="1"/>
  <c r="G310" i="9" s="1"/>
  <c r="G322" i="9" a="1"/>
  <c r="G322" i="9" s="1"/>
  <c r="G11" i="9" a="1"/>
  <c r="G11" i="9" s="1"/>
  <c r="G28" i="9" a="1"/>
  <c r="G28" i="9" s="1"/>
  <c r="G41" i="9" a="1"/>
  <c r="G41" i="9" s="1"/>
  <c r="G48" i="9" a="1"/>
  <c r="G48" i="9" s="1"/>
  <c r="G62" i="9" a="1"/>
  <c r="G62" i="9" s="1"/>
  <c r="G75" i="9" a="1"/>
  <c r="G75" i="9" s="1"/>
  <c r="G91" i="9" a="1"/>
  <c r="G91" i="9" s="1"/>
  <c r="G97" i="9" a="1"/>
  <c r="G97" i="9" s="1"/>
  <c r="G103" i="9" a="1"/>
  <c r="G103" i="9" s="1"/>
  <c r="G109" i="9" a="1"/>
  <c r="G109" i="9" s="1"/>
  <c r="G134" i="9" a="1"/>
  <c r="G134" i="9" s="1"/>
  <c r="G140" i="9" a="1"/>
  <c r="G140" i="9" s="1"/>
  <c r="G146" i="9" a="1"/>
  <c r="G146" i="9" s="1"/>
  <c r="G152" i="9" a="1"/>
  <c r="G152" i="9" s="1"/>
  <c r="G183" i="9" a="1"/>
  <c r="G183" i="9" s="1"/>
  <c r="G189" i="9" a="1"/>
  <c r="G189" i="9" s="1"/>
  <c r="G195" i="9" a="1"/>
  <c r="G195" i="9" s="1"/>
  <c r="G203" i="9" a="1"/>
  <c r="G203" i="9" s="1"/>
  <c r="G215" i="9" a="1"/>
  <c r="G215" i="9" s="1"/>
  <c r="G227" i="9" a="1"/>
  <c r="G227" i="9" s="1"/>
  <c r="G239" i="9" a="1"/>
  <c r="G239" i="9" s="1"/>
  <c r="G251" i="9" a="1"/>
  <c r="G251" i="9" s="1"/>
  <c r="G263" i="9" a="1"/>
  <c r="G263" i="9" s="1"/>
  <c r="G275" i="9" a="1"/>
  <c r="G275" i="9" s="1"/>
  <c r="G287" i="9" a="1"/>
  <c r="G287" i="9" s="1"/>
  <c r="G299" i="9" a="1"/>
  <c r="G299" i="9" s="1"/>
  <c r="G311" i="9" a="1"/>
  <c r="G311" i="9" s="1"/>
  <c r="G336" i="9" a="1"/>
  <c r="G336" i="9" s="1"/>
  <c r="G335" i="9" a="1"/>
  <c r="G335" i="9" s="1"/>
  <c r="G334" i="9" a="1"/>
  <c r="G334" i="9" s="1"/>
  <c r="G333" i="9" a="1"/>
  <c r="G333" i="9" s="1"/>
  <c r="G332" i="9" a="1"/>
  <c r="G332" i="9" s="1"/>
  <c r="G331" i="9" a="1"/>
  <c r="G331" i="9" s="1"/>
  <c r="G5" i="9" a="1"/>
  <c r="G5" i="9" s="1"/>
  <c r="G8" i="9" a="1"/>
  <c r="G8" i="9" s="1"/>
  <c r="G38" i="9" a="1"/>
  <c r="G38" i="9" s="1"/>
  <c r="G55" i="9" a="1"/>
  <c r="G55" i="9" s="1"/>
  <c r="G66" i="9" a="1"/>
  <c r="G66" i="9" s="1"/>
  <c r="G71" i="9" a="1"/>
  <c r="G71" i="9" s="1"/>
  <c r="G86" i="9" a="1"/>
  <c r="G86" i="9" s="1"/>
  <c r="G116" i="9" a="1"/>
  <c r="G116" i="9" s="1"/>
  <c r="G122" i="9" a="1"/>
  <c r="G122" i="9" s="1"/>
  <c r="G128" i="9" a="1"/>
  <c r="G128" i="9" s="1"/>
  <c r="G159" i="9" a="1"/>
  <c r="G159" i="9" s="1"/>
  <c r="G165" i="9" a="1"/>
  <c r="G165" i="9" s="1"/>
  <c r="G171" i="9" a="1"/>
  <c r="G171" i="9" s="1"/>
  <c r="G177" i="9" a="1"/>
  <c r="G177" i="9" s="1"/>
  <c r="G204" i="9" a="1"/>
  <c r="G204" i="9" s="1"/>
  <c r="G216" i="9" a="1"/>
  <c r="G216" i="9" s="1"/>
  <c r="G228" i="9" a="1"/>
  <c r="G228" i="9" s="1"/>
  <c r="G240" i="9" a="1"/>
  <c r="G240" i="9" s="1"/>
  <c r="G252" i="9" a="1"/>
  <c r="G252" i="9" s="1"/>
  <c r="G264" i="9" a="1"/>
  <c r="G264" i="9" s="1"/>
  <c r="G276" i="9" a="1"/>
  <c r="G276" i="9" s="1"/>
  <c r="G288" i="9" a="1"/>
  <c r="G288" i="9" s="1"/>
  <c r="G300" i="9" a="1"/>
  <c r="G300" i="9" s="1"/>
  <c r="G312" i="9" a="1"/>
  <c r="G312" i="9" s="1"/>
  <c r="G324" i="9" a="1"/>
  <c r="G324" i="9" s="1"/>
  <c r="G21" i="9" a="1"/>
  <c r="G21" i="9" s="1"/>
  <c r="G25" i="9" a="1"/>
  <c r="G25" i="9" s="1"/>
  <c r="S2" i="9"/>
  <c r="G18" i="9" a="1"/>
  <c r="G18" i="9" s="1"/>
  <c r="G35" i="9" a="1"/>
  <c r="G35" i="9" s="1"/>
  <c r="G59" i="9" a="1"/>
  <c r="G59" i="9" s="1"/>
  <c r="G76" i="9" a="1"/>
  <c r="G76" i="9" s="1"/>
  <c r="G81" i="9" a="1"/>
  <c r="G81" i="9" s="1"/>
  <c r="G92" i="9" a="1"/>
  <c r="G92" i="9" s="1"/>
  <c r="G98" i="9" a="1"/>
  <c r="G98" i="9" s="1"/>
  <c r="G104" i="9" a="1"/>
  <c r="G104" i="9" s="1"/>
  <c r="G110" i="9" a="1"/>
  <c r="G110" i="9" s="1"/>
  <c r="G135" i="9" a="1"/>
  <c r="G135" i="9" s="1"/>
  <c r="G141" i="9" a="1"/>
  <c r="G141" i="9" s="1"/>
  <c r="G147" i="9" a="1"/>
  <c r="G147" i="9" s="1"/>
  <c r="G153" i="9" a="1"/>
  <c r="G153" i="9" s="1"/>
  <c r="G178" i="9" a="1"/>
  <c r="G178" i="9" s="1"/>
  <c r="G184" i="9" a="1"/>
  <c r="G184" i="9" s="1"/>
  <c r="G190" i="9" a="1"/>
  <c r="G190" i="9" s="1"/>
  <c r="G196" i="9" a="1"/>
  <c r="G196" i="9" s="1"/>
  <c r="G205" i="9" a="1"/>
  <c r="G205" i="9" s="1"/>
  <c r="G217" i="9" a="1"/>
  <c r="G217" i="9" s="1"/>
  <c r="G229" i="9" a="1"/>
  <c r="G229" i="9" s="1"/>
  <c r="G241" i="9" a="1"/>
  <c r="G241" i="9" s="1"/>
  <c r="G253" i="9" a="1"/>
  <c r="G253" i="9" s="1"/>
  <c r="G265" i="9" a="1"/>
  <c r="G265" i="9" s="1"/>
  <c r="G277" i="9" a="1"/>
  <c r="G277" i="9" s="1"/>
  <c r="G289" i="9" a="1"/>
  <c r="G289" i="9" s="1"/>
  <c r="G301" i="9" a="1"/>
  <c r="G301" i="9" s="1"/>
  <c r="G313" i="9" a="1"/>
  <c r="G313" i="9" s="1"/>
  <c r="G325" i="9" a="1"/>
  <c r="G325" i="9" s="1"/>
  <c r="G32" i="9" a="1"/>
  <c r="G32" i="9" s="1"/>
  <c r="G117" i="9" a="1"/>
  <c r="G117" i="9" s="1"/>
  <c r="G123" i="9" a="1"/>
  <c r="G123" i="9" s="1"/>
  <c r="G129" i="9" a="1"/>
  <c r="G129" i="9" s="1"/>
  <c r="G160" i="9" a="1"/>
  <c r="G160" i="9" s="1"/>
  <c r="G166" i="9" a="1"/>
  <c r="G166" i="9" s="1"/>
  <c r="G172" i="9" a="1"/>
  <c r="G172" i="9" s="1"/>
  <c r="G206" i="9" a="1"/>
  <c r="G206" i="9" s="1"/>
  <c r="G218" i="9" a="1"/>
  <c r="G218" i="9" s="1"/>
  <c r="G230" i="9" a="1"/>
  <c r="G230" i="9" s="1"/>
  <c r="G242" i="9" a="1"/>
  <c r="G242" i="9" s="1"/>
  <c r="G254" i="9" a="1"/>
  <c r="G254" i="9" s="1"/>
  <c r="G266" i="9" a="1"/>
  <c r="G266" i="9" s="1"/>
  <c r="G278" i="9" a="1"/>
  <c r="G278" i="9" s="1"/>
  <c r="G290" i="9" a="1"/>
  <c r="G290" i="9" s="1"/>
  <c r="G302" i="9" a="1"/>
  <c r="G302" i="9" s="1"/>
  <c r="G314" i="9" a="1"/>
  <c r="G314" i="9" s="1"/>
  <c r="G326" i="9" a="1"/>
  <c r="G326" i="9" s="1"/>
  <c r="G45" i="9" a="1"/>
  <c r="G45" i="9" s="1"/>
  <c r="G52" i="9" a="1"/>
  <c r="G52" i="9" s="1"/>
  <c r="G63" i="9" a="1"/>
  <c r="G63" i="9" s="1"/>
  <c r="G12" i="9" a="1"/>
  <c r="G12" i="9" s="1"/>
  <c r="G22" i="9" a="1"/>
  <c r="G22" i="9" s="1"/>
  <c r="G29" i="9" a="1"/>
  <c r="G29" i="9" s="1"/>
  <c r="G42" i="9" a="1"/>
  <c r="G42" i="9" s="1"/>
  <c r="G49" i="9" a="1"/>
  <c r="G49" i="9" s="1"/>
  <c r="G56" i="9" a="1"/>
  <c r="G56" i="9" s="1"/>
  <c r="G67" i="9" a="1"/>
  <c r="G67" i="9" s="1"/>
  <c r="G72" i="9" a="1"/>
  <c r="G72" i="9" s="1"/>
  <c r="G77" i="9" a="1"/>
  <c r="G77" i="9" s="1"/>
  <c r="G82" i="9" a="1"/>
  <c r="G82" i="9" s="1"/>
  <c r="G87" i="9" a="1"/>
  <c r="G87" i="9" s="1"/>
  <c r="G93" i="9" a="1"/>
  <c r="G93" i="9" s="1"/>
  <c r="G99" i="9" a="1"/>
  <c r="G99" i="9" s="1"/>
  <c r="G105" i="9" a="1"/>
  <c r="G105" i="9" s="1"/>
  <c r="G111" i="9" a="1"/>
  <c r="G111" i="9" s="1"/>
  <c r="G136" i="9" a="1"/>
  <c r="G136" i="9" s="1"/>
  <c r="G142" i="9" a="1"/>
  <c r="G142" i="9" s="1"/>
  <c r="G148" i="9" a="1"/>
  <c r="G148" i="9" s="1"/>
  <c r="G154" i="9" a="1"/>
  <c r="G154" i="9" s="1"/>
  <c r="G179" i="9" a="1"/>
  <c r="G179" i="9" s="1"/>
  <c r="G185" i="9" a="1"/>
  <c r="G185" i="9" s="1"/>
  <c r="G191" i="9" a="1"/>
  <c r="G191" i="9" s="1"/>
  <c r="G197" i="9" a="1"/>
  <c r="G197" i="9" s="1"/>
  <c r="G207" i="9" a="1"/>
  <c r="G207" i="9" s="1"/>
  <c r="G219" i="9" a="1"/>
  <c r="G219" i="9" s="1"/>
  <c r="G231" i="9" a="1"/>
  <c r="G231" i="9" s="1"/>
  <c r="G243" i="9" a="1"/>
  <c r="G243" i="9" s="1"/>
  <c r="G255" i="9" a="1"/>
  <c r="G255" i="9" s="1"/>
  <c r="G267" i="9" a="1"/>
  <c r="G267" i="9" s="1"/>
  <c r="G279" i="9" a="1"/>
  <c r="G279" i="9" s="1"/>
  <c r="G291" i="9" a="1"/>
  <c r="G291" i="9" s="1"/>
  <c r="G303" i="9" a="1"/>
  <c r="G303" i="9" s="1"/>
  <c r="G315" i="9" a="1"/>
  <c r="G315" i="9" s="1"/>
  <c r="G327" i="9" a="1"/>
  <c r="G327" i="9" s="1"/>
  <c r="G60" i="9" a="1"/>
  <c r="G60" i="9" s="1"/>
  <c r="G68" i="9" a="1"/>
  <c r="G68" i="9" s="1"/>
  <c r="G112" i="9" a="1"/>
  <c r="G112" i="9" s="1"/>
  <c r="G118" i="9" a="1"/>
  <c r="G118" i="9" s="1"/>
  <c r="G124" i="9" a="1"/>
  <c r="G124" i="9" s="1"/>
  <c r="G130" i="9" a="1"/>
  <c r="G130" i="9" s="1"/>
  <c r="G161" i="9" a="1"/>
  <c r="G161" i="9" s="1"/>
  <c r="G167" i="9" a="1"/>
  <c r="G167" i="9" s="1"/>
  <c r="G173" i="9" a="1"/>
  <c r="G173" i="9" s="1"/>
  <c r="G208" i="9" a="1"/>
  <c r="G208" i="9" s="1"/>
  <c r="G220" i="9" a="1"/>
  <c r="G220" i="9" s="1"/>
  <c r="G232" i="9" a="1"/>
  <c r="G232" i="9" s="1"/>
  <c r="G244" i="9" a="1"/>
  <c r="G244" i="9" s="1"/>
  <c r="G256" i="9" a="1"/>
  <c r="G256" i="9" s="1"/>
  <c r="G268" i="9" a="1"/>
  <c r="G268" i="9" s="1"/>
  <c r="G280" i="9" a="1"/>
  <c r="G280" i="9" s="1"/>
  <c r="G292" i="9" a="1"/>
  <c r="G292" i="9" s="1"/>
  <c r="G304" i="9" a="1"/>
  <c r="G304" i="9" s="1"/>
  <c r="G316" i="9" a="1"/>
  <c r="G316" i="9" s="1"/>
  <c r="G328" i="9" a="1"/>
  <c r="G328" i="9" s="1"/>
  <c r="G36" i="9" a="1"/>
  <c r="G36" i="9" s="1"/>
  <c r="G53" i="9" a="1"/>
  <c r="G53" i="9" s="1"/>
  <c r="G83" i="9" a="1"/>
  <c r="G83" i="9" s="1"/>
  <c r="G88" i="9" a="1"/>
  <c r="G88" i="9" s="1"/>
  <c r="G94" i="9" a="1"/>
  <c r="G94" i="9" s="1"/>
  <c r="G100" i="9" a="1"/>
  <c r="G100" i="9" s="1"/>
  <c r="G106" i="9" a="1"/>
  <c r="G106" i="9" s="1"/>
  <c r="G137" i="9" a="1"/>
  <c r="G137" i="9" s="1"/>
  <c r="G143" i="9" a="1"/>
  <c r="G143" i="9" s="1"/>
  <c r="G149" i="9" a="1"/>
  <c r="G149" i="9" s="1"/>
  <c r="G155" i="9" a="1"/>
  <c r="G155" i="9" s="1"/>
  <c r="G180" i="9" a="1"/>
  <c r="G180" i="9" s="1"/>
  <c r="G186" i="9" a="1"/>
  <c r="G186" i="9" s="1"/>
  <c r="G192" i="9" a="1"/>
  <c r="G192" i="9" s="1"/>
  <c r="G198" i="9" a="1"/>
  <c r="G198" i="9" s="1"/>
  <c r="G209" i="9" a="1"/>
  <c r="G209" i="9" s="1"/>
  <c r="G221" i="9" a="1"/>
  <c r="G221" i="9" s="1"/>
  <c r="G233" i="9" a="1"/>
  <c r="G233" i="9" s="1"/>
  <c r="G245" i="9" a="1"/>
  <c r="G245" i="9" s="1"/>
  <c r="G257" i="9" a="1"/>
  <c r="G257" i="9" s="1"/>
  <c r="G269" i="9" a="1"/>
  <c r="G269" i="9" s="1"/>
  <c r="G281" i="9" a="1"/>
  <c r="G281" i="9" s="1"/>
  <c r="G293" i="9" a="1"/>
  <c r="G293" i="9" s="1"/>
  <c r="G305" i="9" a="1"/>
  <c r="G305" i="9" s="1"/>
  <c r="G317" i="9" a="1"/>
  <c r="G317" i="9" s="1"/>
  <c r="G329" i="9" a="1"/>
  <c r="G329" i="9" s="1"/>
  <c r="G33" i="9" a="1"/>
  <c r="G33" i="9" s="1"/>
  <c r="G43" i="9" a="1"/>
  <c r="G43" i="9" s="1"/>
  <c r="G50" i="9" a="1"/>
  <c r="G50" i="9" s="1"/>
  <c r="G57" i="9" a="1"/>
  <c r="G57" i="9" s="1"/>
  <c r="G64" i="9" a="1"/>
  <c r="G64" i="9" s="1"/>
  <c r="G73" i="9" a="1"/>
  <c r="G73" i="9" s="1"/>
  <c r="G78" i="9" a="1"/>
  <c r="G78" i="9" s="1"/>
  <c r="G113" i="9" a="1"/>
  <c r="G113" i="9" s="1"/>
  <c r="G119" i="9" a="1"/>
  <c r="G119" i="9" s="1"/>
  <c r="G125" i="9" a="1"/>
  <c r="G125" i="9" s="1"/>
  <c r="G131" i="9" a="1"/>
  <c r="G131" i="9" s="1"/>
  <c r="G156" i="9" a="1"/>
  <c r="G156" i="9" s="1"/>
  <c r="G162" i="9" a="1"/>
  <c r="G162" i="9" s="1"/>
  <c r="G168" i="9" a="1"/>
  <c r="G168" i="9" s="1"/>
  <c r="G174" i="9" a="1"/>
  <c r="G174" i="9" s="1"/>
  <c r="G210" i="9" a="1"/>
  <c r="G210" i="9" s="1"/>
  <c r="G222" i="9" a="1"/>
  <c r="G222" i="9" s="1"/>
  <c r="G234" i="9" a="1"/>
  <c r="G234" i="9" s="1"/>
  <c r="G246" i="9" a="1"/>
  <c r="G246" i="9" s="1"/>
  <c r="G258" i="9" a="1"/>
  <c r="G258" i="9" s="1"/>
  <c r="G270" i="9" a="1"/>
  <c r="G270" i="9" s="1"/>
  <c r="G282" i="9" a="1"/>
  <c r="G282" i="9" s="1"/>
  <c r="G294" i="9" a="1"/>
  <c r="G294" i="9" s="1"/>
  <c r="G306" i="9" a="1"/>
  <c r="G306" i="9" s="1"/>
  <c r="G318" i="9" a="1"/>
  <c r="G318" i="9" s="1"/>
  <c r="G330" i="9" a="1"/>
  <c r="G330" i="9" s="1"/>
  <c r="G63" i="8" a="1"/>
  <c r="G63" i="8" s="1"/>
  <c r="G223" i="8" a="1"/>
  <c r="G223" i="8" s="1"/>
  <c r="S2" i="8"/>
  <c r="G2" i="8" s="1" a="1"/>
  <c r="G2" i="8" s="1"/>
  <c r="G85" i="8" a="1"/>
  <c r="G85" i="8" s="1"/>
  <c r="G50" i="8" a="1"/>
  <c r="G50" i="8" s="1"/>
  <c r="G158" i="8" a="1"/>
  <c r="G158" i="8" s="1"/>
  <c r="G249" i="8" a="1"/>
  <c r="G249" i="8" s="1"/>
  <c r="G33" i="8" a="1"/>
  <c r="G33" i="8" s="1"/>
  <c r="G28" i="8" a="1"/>
  <c r="G28" i="8" s="1"/>
  <c r="G45" i="8" a="1"/>
  <c r="G45" i="8" s="1"/>
  <c r="G171" i="8" a="1"/>
  <c r="G171" i="8" s="1"/>
  <c r="G195" i="8" a="1"/>
  <c r="G195" i="8" s="1"/>
  <c r="G219" i="8" a="1"/>
  <c r="G219" i="8" s="1"/>
  <c r="G243" i="8" a="1"/>
  <c r="G243" i="8" s="1"/>
  <c r="G267" i="8" a="1"/>
  <c r="G267" i="8" s="1"/>
  <c r="G135" i="8" a="1"/>
  <c r="G135" i="8" s="1"/>
  <c r="G139" i="8" a="1"/>
  <c r="G139" i="8" s="1"/>
  <c r="G140" i="8" a="1"/>
  <c r="G140" i="8" s="1"/>
  <c r="G205" i="8" a="1"/>
  <c r="G205" i="8" s="1"/>
  <c r="G229" i="8" a="1"/>
  <c r="G229" i="8" s="1"/>
  <c r="G253" i="8" a="1"/>
  <c r="G253" i="8" s="1"/>
  <c r="G15" i="8" a="1"/>
  <c r="G15" i="8" s="1"/>
  <c r="G247" i="8" a="1"/>
  <c r="G247" i="8" s="1"/>
  <c r="G121" i="8" a="1"/>
  <c r="G121" i="8" s="1"/>
  <c r="G86" i="8" a="1"/>
  <c r="G86" i="8" s="1"/>
  <c r="G309" i="8" a="1"/>
  <c r="G309" i="8" s="1"/>
  <c r="G51" i="8" a="1"/>
  <c r="G51" i="8" s="1"/>
  <c r="G69" i="8" a="1"/>
  <c r="G69" i="8" s="1"/>
  <c r="G87" i="8" a="1"/>
  <c r="G87" i="8" s="1"/>
  <c r="G105" i="8" a="1"/>
  <c r="G105" i="8" s="1"/>
  <c r="G123" i="8" a="1"/>
  <c r="G123" i="8" s="1"/>
  <c r="G141" i="8" a="1"/>
  <c r="G141" i="8" s="1"/>
  <c r="G159" i="8" a="1"/>
  <c r="G159" i="8" s="1"/>
  <c r="G279" i="8" a="1"/>
  <c r="G279" i="8" s="1"/>
  <c r="G315" i="8" a="1"/>
  <c r="G315" i="8" s="1"/>
  <c r="G81" i="8" a="1"/>
  <c r="G81" i="8" s="1"/>
  <c r="G175" i="8" a="1"/>
  <c r="G175" i="8" s="1"/>
  <c r="G49" i="8" a="1"/>
  <c r="G49" i="8" s="1"/>
  <c r="G122" i="8" a="1"/>
  <c r="G122" i="8" s="1"/>
  <c r="G225" i="8" a="1"/>
  <c r="G225" i="8" s="1"/>
  <c r="G20" i="8" a="1"/>
  <c r="G20" i="8" s="1"/>
  <c r="G8" i="8" a="1"/>
  <c r="G8" i="8" s="1"/>
  <c r="G55" i="8" a="1"/>
  <c r="G55" i="8" s="1"/>
  <c r="G127" i="8" a="1"/>
  <c r="G127" i="8" s="1"/>
  <c r="G145" i="8" a="1"/>
  <c r="G145" i="8" s="1"/>
  <c r="G163" i="8" a="1"/>
  <c r="G163" i="8" s="1"/>
  <c r="G183" i="8" a="1"/>
  <c r="G183" i="8" s="1"/>
  <c r="G207" i="8" a="1"/>
  <c r="G207" i="8" s="1"/>
  <c r="G231" i="8" a="1"/>
  <c r="G231" i="8" s="1"/>
  <c r="G255" i="8" a="1"/>
  <c r="G255" i="8" s="1"/>
  <c r="G31" i="8" a="1"/>
  <c r="G31" i="8" s="1"/>
  <c r="G271" i="8" a="1"/>
  <c r="G271" i="8" s="1"/>
  <c r="G32" i="8" a="1"/>
  <c r="G32" i="8" s="1"/>
  <c r="G146" i="8" a="1"/>
  <c r="G146" i="8" s="1"/>
  <c r="G164" i="8" a="1"/>
  <c r="G164" i="8" s="1"/>
  <c r="G187" i="8" a="1"/>
  <c r="G187" i="8" s="1"/>
  <c r="G211" i="8" a="1"/>
  <c r="G211" i="8" s="1"/>
  <c r="G235" i="8" a="1"/>
  <c r="G235" i="8" s="1"/>
  <c r="G259" i="8" a="1"/>
  <c r="G259" i="8" s="1"/>
  <c r="G285" i="8" a="1"/>
  <c r="G285" i="8" s="1"/>
  <c r="G321" i="8" a="1"/>
  <c r="G321" i="8" s="1"/>
  <c r="G117" i="8" a="1"/>
  <c r="G117" i="8" s="1"/>
  <c r="G16" i="8" a="1"/>
  <c r="G16" i="8" s="1"/>
  <c r="G38" i="8" a="1"/>
  <c r="G38" i="8" s="1"/>
  <c r="G91" i="8" a="1"/>
  <c r="G91" i="8" s="1"/>
  <c r="G56" i="8" a="1"/>
  <c r="G56" i="8" s="1"/>
  <c r="G92" i="8" a="1"/>
  <c r="G92" i="8" s="1"/>
  <c r="G110" i="8" a="1"/>
  <c r="G110" i="8" s="1"/>
  <c r="G128" i="8" a="1"/>
  <c r="G128" i="8" s="1"/>
  <c r="G9" i="8" a="1"/>
  <c r="G9" i="8" s="1"/>
  <c r="G25" i="8" a="1"/>
  <c r="G25" i="8" s="1"/>
  <c r="G39" i="8" a="1"/>
  <c r="G39" i="8" s="1"/>
  <c r="G99" i="8" a="1"/>
  <c r="G99" i="8" s="1"/>
  <c r="G199" i="8" a="1"/>
  <c r="G199" i="8" s="1"/>
  <c r="G103" i="8" a="1"/>
  <c r="G103" i="8" s="1"/>
  <c r="G19" i="8" a="1"/>
  <c r="G19" i="8" s="1"/>
  <c r="G104" i="8" a="1"/>
  <c r="G104" i="8" s="1"/>
  <c r="G201" i="8" a="1"/>
  <c r="G201" i="8" s="1"/>
  <c r="G4" i="8" a="1"/>
  <c r="G4" i="8" s="1"/>
  <c r="G37" i="8" a="1"/>
  <c r="G37" i="8" s="1"/>
  <c r="G22" i="8" a="1"/>
  <c r="G22" i="8" s="1"/>
  <c r="G26" i="8" a="1"/>
  <c r="G26" i="8" s="1"/>
  <c r="G43" i="8" a="1"/>
  <c r="G43" i="8" s="1"/>
  <c r="G57" i="8" a="1"/>
  <c r="G57" i="8" s="1"/>
  <c r="G75" i="8" a="1"/>
  <c r="G75" i="8" s="1"/>
  <c r="G93" i="8" a="1"/>
  <c r="G93" i="8" s="1"/>
  <c r="G111" i="8" a="1"/>
  <c r="G111" i="8" s="1"/>
  <c r="G129" i="8" a="1"/>
  <c r="G129" i="8" s="1"/>
  <c r="G147" i="8" a="1"/>
  <c r="G147" i="8" s="1"/>
  <c r="G165" i="8" a="1"/>
  <c r="G165" i="8" s="1"/>
  <c r="G189" i="8" a="1"/>
  <c r="G189" i="8" s="1"/>
  <c r="G213" i="8" a="1"/>
  <c r="G213" i="8" s="1"/>
  <c r="G237" i="8" a="1"/>
  <c r="G237" i="8" s="1"/>
  <c r="G261" i="8" a="1"/>
  <c r="G261" i="8" s="1"/>
  <c r="G291" i="8" a="1"/>
  <c r="G291" i="8" s="1"/>
  <c r="G327" i="8" a="1"/>
  <c r="G327" i="8" s="1"/>
  <c r="G46" i="8" a="1"/>
  <c r="G46" i="8" s="1"/>
  <c r="G153" i="8" a="1"/>
  <c r="G153" i="8" s="1"/>
  <c r="G157" i="8" a="1"/>
  <c r="G157" i="8" s="1"/>
  <c r="G68" i="8" a="1"/>
  <c r="G68" i="8" s="1"/>
  <c r="G273" i="8" a="1"/>
  <c r="G273" i="8" s="1"/>
  <c r="G7" i="8" a="1"/>
  <c r="G7" i="8" s="1"/>
  <c r="G21" i="8" a="1"/>
  <c r="G21" i="8" s="1"/>
  <c r="G109" i="8" a="1"/>
  <c r="G109" i="8" s="1"/>
  <c r="G74" i="8" a="1"/>
  <c r="G74" i="8" s="1"/>
  <c r="G13" i="8" a="1"/>
  <c r="G13" i="8" s="1"/>
  <c r="G44" i="8" a="1"/>
  <c r="G44" i="8" s="1"/>
  <c r="G61" i="8" a="1"/>
  <c r="G61" i="8" s="1"/>
  <c r="G79" i="8" a="1"/>
  <c r="G79" i="8" s="1"/>
  <c r="G97" i="8" a="1"/>
  <c r="G97" i="8" s="1"/>
  <c r="G115" i="8" a="1"/>
  <c r="G115" i="8" s="1"/>
  <c r="G133" i="8" a="1"/>
  <c r="G133" i="8" s="1"/>
  <c r="G151" i="8" a="1"/>
  <c r="G151" i="8" s="1"/>
  <c r="G169" i="8" a="1"/>
  <c r="G169" i="8" s="1"/>
  <c r="G193" i="8" a="1"/>
  <c r="G193" i="8" s="1"/>
  <c r="G217" i="8" a="1"/>
  <c r="G217" i="8" s="1"/>
  <c r="G241" i="8" a="1"/>
  <c r="G241" i="8" s="1"/>
  <c r="G186" i="8" a="1"/>
  <c r="G186" i="8" s="1"/>
  <c r="G144" i="8" a="1"/>
  <c r="G144" i="8" s="1"/>
  <c r="G126" i="8" a="1"/>
  <c r="G126" i="8" s="1"/>
  <c r="G114" i="8" a="1"/>
  <c r="G114" i="8" s="1"/>
  <c r="G102" i="8" a="1"/>
  <c r="G102" i="8" s="1"/>
  <c r="G90" i="8" a="1"/>
  <c r="G90" i="8" s="1"/>
  <c r="G78" i="8" a="1"/>
  <c r="G78" i="8" s="1"/>
  <c r="G66" i="8" a="1"/>
  <c r="G66" i="8" s="1"/>
  <c r="G54" i="8" a="1"/>
  <c r="G54" i="8" s="1"/>
  <c r="G42" i="8" a="1"/>
  <c r="G42" i="8" s="1"/>
  <c r="G30" i="8" a="1"/>
  <c r="G30" i="8" s="1"/>
  <c r="G18" i="8" a="1"/>
  <c r="G18" i="8" s="1"/>
  <c r="G6" i="8" a="1"/>
  <c r="G6" i="8" s="1"/>
  <c r="G11" i="8" a="1"/>
  <c r="G11" i="8" s="1"/>
  <c r="G196" i="8" a="1"/>
  <c r="G196" i="8" s="1"/>
  <c r="G148" i="8" a="1"/>
  <c r="G148" i="8" s="1"/>
  <c r="G112" i="8" a="1"/>
  <c r="G112" i="8" s="1"/>
  <c r="G88" i="8" a="1"/>
  <c r="G88" i="8" s="1"/>
  <c r="G58" i="8" a="1"/>
  <c r="G58" i="8" s="1"/>
  <c r="G336" i="8" a="1"/>
  <c r="G336" i="8" s="1"/>
  <c r="G330" i="8" a="1"/>
  <c r="G330" i="8" s="1"/>
  <c r="G324" i="8" a="1"/>
  <c r="G324" i="8" s="1"/>
  <c r="G318" i="8" a="1"/>
  <c r="G318" i="8" s="1"/>
  <c r="G312" i="8" a="1"/>
  <c r="G312" i="8" s="1"/>
  <c r="G306" i="8" a="1"/>
  <c r="G306" i="8" s="1"/>
  <c r="G300" i="8" a="1"/>
  <c r="G300" i="8" s="1"/>
  <c r="G294" i="8" a="1"/>
  <c r="G294" i="8" s="1"/>
  <c r="G288" i="8" a="1"/>
  <c r="G288" i="8" s="1"/>
  <c r="G282" i="8" a="1"/>
  <c r="G282" i="8" s="1"/>
  <c r="G276" i="8" a="1"/>
  <c r="G276" i="8" s="1"/>
  <c r="G270" i="8" a="1"/>
  <c r="G270" i="8" s="1"/>
  <c r="G264" i="8" a="1"/>
  <c r="G264" i="8" s="1"/>
  <c r="G258" i="8" a="1"/>
  <c r="G258" i="8" s="1"/>
  <c r="G252" i="8" a="1"/>
  <c r="G252" i="8" s="1"/>
  <c r="G246" i="8" a="1"/>
  <c r="G246" i="8" s="1"/>
  <c r="G240" i="8" a="1"/>
  <c r="G240" i="8" s="1"/>
  <c r="G234" i="8" a="1"/>
  <c r="G234" i="8" s="1"/>
  <c r="G228" i="8" a="1"/>
  <c r="G228" i="8" s="1"/>
  <c r="G222" i="8" a="1"/>
  <c r="G222" i="8" s="1"/>
  <c r="G216" i="8" a="1"/>
  <c r="G216" i="8" s="1"/>
  <c r="G210" i="8" a="1"/>
  <c r="G210" i="8" s="1"/>
  <c r="G204" i="8" a="1"/>
  <c r="G204" i="8" s="1"/>
  <c r="G198" i="8" a="1"/>
  <c r="G198" i="8" s="1"/>
  <c r="G192" i="8" a="1"/>
  <c r="G192" i="8" s="1"/>
  <c r="G180" i="8" a="1"/>
  <c r="G180" i="8" s="1"/>
  <c r="G174" i="8" a="1"/>
  <c r="G174" i="8" s="1"/>
  <c r="G168" i="8" a="1"/>
  <c r="G168" i="8" s="1"/>
  <c r="G162" i="8" a="1"/>
  <c r="G162" i="8" s="1"/>
  <c r="G156" i="8" a="1"/>
  <c r="G156" i="8" s="1"/>
  <c r="G150" i="8" a="1"/>
  <c r="G150" i="8" s="1"/>
  <c r="G138" i="8" a="1"/>
  <c r="G138" i="8" s="1"/>
  <c r="G132" i="8" a="1"/>
  <c r="G132" i="8" s="1"/>
  <c r="G120" i="8" a="1"/>
  <c r="G120" i="8" s="1"/>
  <c r="G108" i="8" a="1"/>
  <c r="G108" i="8" s="1"/>
  <c r="G96" i="8" a="1"/>
  <c r="G96" i="8" s="1"/>
  <c r="G84" i="8" a="1"/>
  <c r="G84" i="8" s="1"/>
  <c r="G72" i="8" a="1"/>
  <c r="G72" i="8" s="1"/>
  <c r="G60" i="8" a="1"/>
  <c r="G60" i="8" s="1"/>
  <c r="G48" i="8" a="1"/>
  <c r="G48" i="8" s="1"/>
  <c r="G36" i="8" a="1"/>
  <c r="G36" i="8" s="1"/>
  <c r="G24" i="8" a="1"/>
  <c r="G24" i="8" s="1"/>
  <c r="G12" i="8" a="1"/>
  <c r="G12" i="8" s="1"/>
  <c r="G5" i="8" a="1"/>
  <c r="G5" i="8" s="1"/>
  <c r="G190" i="8" a="1"/>
  <c r="G190" i="8" s="1"/>
  <c r="G142" i="8" a="1"/>
  <c r="G142" i="8" s="1"/>
  <c r="G118" i="8" a="1"/>
  <c r="G118" i="8" s="1"/>
  <c r="G82" i="8" a="1"/>
  <c r="G82" i="8" s="1"/>
  <c r="G52" i="8" a="1"/>
  <c r="G52" i="8" s="1"/>
  <c r="G239" i="8" a="1"/>
  <c r="G239" i="8" s="1"/>
  <c r="G185" i="8" a="1"/>
  <c r="G185" i="8" s="1"/>
  <c r="G173" i="8" a="1"/>
  <c r="G173" i="8" s="1"/>
  <c r="G161" i="8" a="1"/>
  <c r="G161" i="8" s="1"/>
  <c r="G149" i="8" a="1"/>
  <c r="G149" i="8" s="1"/>
  <c r="G137" i="8" a="1"/>
  <c r="G137" i="8" s="1"/>
  <c r="G125" i="8" a="1"/>
  <c r="G125" i="8" s="1"/>
  <c r="G113" i="8" a="1"/>
  <c r="G113" i="8" s="1"/>
  <c r="G107" i="8" a="1"/>
  <c r="G107" i="8" s="1"/>
  <c r="G95" i="8" a="1"/>
  <c r="G95" i="8" s="1"/>
  <c r="G83" i="8" a="1"/>
  <c r="G83" i="8" s="1"/>
  <c r="G71" i="8" a="1"/>
  <c r="G71" i="8" s="1"/>
  <c r="G59" i="8" a="1"/>
  <c r="G59" i="8" s="1"/>
  <c r="G47" i="8" a="1"/>
  <c r="G47" i="8" s="1"/>
  <c r="G35" i="8" a="1"/>
  <c r="G35" i="8" s="1"/>
  <c r="G17" i="8" a="1"/>
  <c r="G17" i="8" s="1"/>
  <c r="G184" i="8" a="1"/>
  <c r="G184" i="8" s="1"/>
  <c r="G154" i="8" a="1"/>
  <c r="G154" i="8" s="1"/>
  <c r="G124" i="8" a="1"/>
  <c r="G124" i="8" s="1"/>
  <c r="G94" i="8" a="1"/>
  <c r="G94" i="8" s="1"/>
  <c r="G64" i="8" a="1"/>
  <c r="G64" i="8" s="1"/>
  <c r="G34" i="8" a="1"/>
  <c r="G34" i="8" s="1"/>
  <c r="G335" i="8" a="1"/>
  <c r="G335" i="8" s="1"/>
  <c r="G329" i="8" a="1"/>
  <c r="G329" i="8" s="1"/>
  <c r="G323" i="8" a="1"/>
  <c r="G323" i="8" s="1"/>
  <c r="G317" i="8" a="1"/>
  <c r="G317" i="8" s="1"/>
  <c r="G311" i="8" a="1"/>
  <c r="G311" i="8" s="1"/>
  <c r="G305" i="8" a="1"/>
  <c r="G305" i="8" s="1"/>
  <c r="G299" i="8" a="1"/>
  <c r="G299" i="8" s="1"/>
  <c r="G293" i="8" a="1"/>
  <c r="G293" i="8" s="1"/>
  <c r="G287" i="8" a="1"/>
  <c r="G287" i="8" s="1"/>
  <c r="G281" i="8" a="1"/>
  <c r="G281" i="8" s="1"/>
  <c r="G275" i="8" a="1"/>
  <c r="G275" i="8" s="1"/>
  <c r="G269" i="8" a="1"/>
  <c r="G269" i="8" s="1"/>
  <c r="G263" i="8" a="1"/>
  <c r="G263" i="8" s="1"/>
  <c r="G257" i="8" a="1"/>
  <c r="G257" i="8" s="1"/>
  <c r="G251" i="8" a="1"/>
  <c r="G251" i="8" s="1"/>
  <c r="G245" i="8" a="1"/>
  <c r="G245" i="8" s="1"/>
  <c r="G233" i="8" a="1"/>
  <c r="G233" i="8" s="1"/>
  <c r="G227" i="8" a="1"/>
  <c r="G227" i="8" s="1"/>
  <c r="G221" i="8" a="1"/>
  <c r="G221" i="8" s="1"/>
  <c r="G215" i="8" a="1"/>
  <c r="G215" i="8" s="1"/>
  <c r="G209" i="8" a="1"/>
  <c r="G209" i="8" s="1"/>
  <c r="G203" i="8" a="1"/>
  <c r="G203" i="8" s="1"/>
  <c r="G197" i="8" a="1"/>
  <c r="G197" i="8" s="1"/>
  <c r="G191" i="8" a="1"/>
  <c r="G191" i="8" s="1"/>
  <c r="G179" i="8" a="1"/>
  <c r="G179" i="8" s="1"/>
  <c r="G167" i="8" a="1"/>
  <c r="G167" i="8" s="1"/>
  <c r="G155" i="8" a="1"/>
  <c r="G155" i="8" s="1"/>
  <c r="G143" i="8" a="1"/>
  <c r="G143" i="8" s="1"/>
  <c r="G131" i="8" a="1"/>
  <c r="G131" i="8" s="1"/>
  <c r="G119" i="8" a="1"/>
  <c r="G119" i="8" s="1"/>
  <c r="G101" i="8" a="1"/>
  <c r="G101" i="8" s="1"/>
  <c r="G89" i="8" a="1"/>
  <c r="G89" i="8" s="1"/>
  <c r="G77" i="8" a="1"/>
  <c r="G77" i="8" s="1"/>
  <c r="G65" i="8" a="1"/>
  <c r="G65" i="8" s="1"/>
  <c r="G53" i="8" a="1"/>
  <c r="G53" i="8" s="1"/>
  <c r="G41" i="8" a="1"/>
  <c r="G41" i="8" s="1"/>
  <c r="G29" i="8" a="1"/>
  <c r="G29" i="8" s="1"/>
  <c r="G23" i="8" a="1"/>
  <c r="G23" i="8" s="1"/>
  <c r="G178" i="8" a="1"/>
  <c r="G178" i="8" s="1"/>
  <c r="G136" i="8" a="1"/>
  <c r="G136" i="8" s="1"/>
  <c r="G106" i="8" a="1"/>
  <c r="G106" i="8" s="1"/>
  <c r="G70" i="8" a="1"/>
  <c r="G70" i="8" s="1"/>
  <c r="G40" i="8" a="1"/>
  <c r="G40" i="8" s="1"/>
  <c r="G334" i="8" a="1"/>
  <c r="G334" i="8" s="1"/>
  <c r="G328" i="8" a="1"/>
  <c r="G328" i="8" s="1"/>
  <c r="G322" i="8" a="1"/>
  <c r="G322" i="8" s="1"/>
  <c r="G316" i="8" a="1"/>
  <c r="G316" i="8" s="1"/>
  <c r="G310" i="8" a="1"/>
  <c r="G310" i="8" s="1"/>
  <c r="G304" i="8" a="1"/>
  <c r="G304" i="8" s="1"/>
  <c r="G298" i="8" a="1"/>
  <c r="G298" i="8" s="1"/>
  <c r="G292" i="8" a="1"/>
  <c r="G292" i="8" s="1"/>
  <c r="G286" i="8" a="1"/>
  <c r="G286" i="8" s="1"/>
  <c r="G280" i="8" a="1"/>
  <c r="G280" i="8" s="1"/>
  <c r="G274" i="8" a="1"/>
  <c r="G274" i="8" s="1"/>
  <c r="G268" i="8" a="1"/>
  <c r="G268" i="8" s="1"/>
  <c r="G262" i="8" a="1"/>
  <c r="G262" i="8" s="1"/>
  <c r="G256" i="8" a="1"/>
  <c r="G256" i="8" s="1"/>
  <c r="G250" i="8" a="1"/>
  <c r="G250" i="8" s="1"/>
  <c r="G244" i="8" a="1"/>
  <c r="G244" i="8" s="1"/>
  <c r="G238" i="8" a="1"/>
  <c r="G238" i="8" s="1"/>
  <c r="G232" i="8" a="1"/>
  <c r="G232" i="8" s="1"/>
  <c r="G226" i="8" a="1"/>
  <c r="G226" i="8" s="1"/>
  <c r="G220" i="8" a="1"/>
  <c r="G220" i="8" s="1"/>
  <c r="G214" i="8" a="1"/>
  <c r="G214" i="8" s="1"/>
  <c r="G208" i="8" a="1"/>
  <c r="G208" i="8" s="1"/>
  <c r="G202" i="8" a="1"/>
  <c r="G202" i="8" s="1"/>
  <c r="G172" i="8" a="1"/>
  <c r="G172" i="8" s="1"/>
  <c r="G166" i="8" a="1"/>
  <c r="G166" i="8" s="1"/>
  <c r="G160" i="8" a="1"/>
  <c r="G160" i="8" s="1"/>
  <c r="G130" i="8" a="1"/>
  <c r="G130" i="8" s="1"/>
  <c r="G100" i="8" a="1"/>
  <c r="G100" i="8" s="1"/>
  <c r="G76" i="8" a="1"/>
  <c r="G76" i="8" s="1"/>
  <c r="G332" i="8" a="1"/>
  <c r="G332" i="8" s="1"/>
  <c r="G326" i="8" a="1"/>
  <c r="G326" i="8" s="1"/>
  <c r="G320" i="8" a="1"/>
  <c r="G320" i="8" s="1"/>
  <c r="G314" i="8" a="1"/>
  <c r="G314" i="8" s="1"/>
  <c r="G308" i="8" a="1"/>
  <c r="G308" i="8" s="1"/>
  <c r="G302" i="8" a="1"/>
  <c r="G302" i="8" s="1"/>
  <c r="G296" i="8" a="1"/>
  <c r="G296" i="8" s="1"/>
  <c r="G290" i="8" a="1"/>
  <c r="G290" i="8" s="1"/>
  <c r="G284" i="8" a="1"/>
  <c r="G284" i="8" s="1"/>
  <c r="G278" i="8" a="1"/>
  <c r="G278" i="8" s="1"/>
  <c r="G272" i="8" a="1"/>
  <c r="G272" i="8" s="1"/>
  <c r="G266" i="8" a="1"/>
  <c r="G266" i="8" s="1"/>
  <c r="G260" i="8" a="1"/>
  <c r="G260" i="8" s="1"/>
  <c r="G254" i="8" a="1"/>
  <c r="G254" i="8" s="1"/>
  <c r="G248" i="8" a="1"/>
  <c r="G248" i="8" s="1"/>
  <c r="G242" i="8" a="1"/>
  <c r="G242" i="8" s="1"/>
  <c r="G236" i="8" a="1"/>
  <c r="G236" i="8" s="1"/>
  <c r="G230" i="8" a="1"/>
  <c r="G230" i="8" s="1"/>
  <c r="G224" i="8" a="1"/>
  <c r="G224" i="8" s="1"/>
  <c r="G218" i="8" a="1"/>
  <c r="G218" i="8" s="1"/>
  <c r="G212" i="8" a="1"/>
  <c r="G212" i="8" s="1"/>
  <c r="G206" i="8" a="1"/>
  <c r="G206" i="8" s="1"/>
  <c r="G200" i="8" a="1"/>
  <c r="G200" i="8" s="1"/>
  <c r="G194" i="8" a="1"/>
  <c r="G194" i="8" s="1"/>
  <c r="G188" i="8" a="1"/>
  <c r="G188" i="8" s="1"/>
  <c r="G182" i="8" a="1"/>
  <c r="G182" i="8" s="1"/>
  <c r="G176" i="8" a="1"/>
  <c r="G176" i="8" s="1"/>
  <c r="G170" i="8" a="1"/>
  <c r="G170" i="8" s="1"/>
  <c r="G325" i="8" a="1"/>
  <c r="G325" i="8" s="1"/>
  <c r="G319" i="8" a="1"/>
  <c r="G319" i="8" s="1"/>
  <c r="G307" i="8" a="1"/>
  <c r="G307" i="8" s="1"/>
  <c r="G301" i="8" a="1"/>
  <c r="G301" i="8" s="1"/>
  <c r="G295" i="8" a="1"/>
  <c r="G295" i="8" s="1"/>
  <c r="G283" i="8" a="1"/>
  <c r="G283" i="8" s="1"/>
  <c r="G331" i="8" a="1"/>
  <c r="G331" i="8" s="1"/>
  <c r="G313" i="8" a="1"/>
  <c r="G313" i="8" s="1"/>
  <c r="G289" i="8" a="1"/>
  <c r="G289" i="8" s="1"/>
  <c r="G277" i="8" a="1"/>
  <c r="G277" i="8" s="1"/>
  <c r="G303" i="8" a="1"/>
  <c r="G303" i="8" s="1"/>
  <c r="G67" i="8" a="1"/>
  <c r="G67" i="8" s="1"/>
  <c r="G3" i="8" a="1"/>
  <c r="G3" i="8" s="1"/>
  <c r="G177" i="8" a="1"/>
  <c r="G177" i="8" s="1"/>
  <c r="G181" i="8" a="1"/>
  <c r="G181" i="8" s="1"/>
  <c r="G73" i="8" a="1"/>
  <c r="G73" i="8" s="1"/>
  <c r="G10" i="8" a="1"/>
  <c r="G10" i="8" s="1"/>
  <c r="G14" i="8" a="1"/>
  <c r="G14" i="8" s="1"/>
  <c r="G27" i="8" a="1"/>
  <c r="G27" i="8" s="1"/>
  <c r="G62" i="8" a="1"/>
  <c r="G62" i="8" s="1"/>
  <c r="G80" i="8" a="1"/>
  <c r="G80" i="8" s="1"/>
  <c r="G98" i="8" a="1"/>
  <c r="G98" i="8" s="1"/>
  <c r="G116" i="8" a="1"/>
  <c r="G116" i="8" s="1"/>
  <c r="G134" i="8" a="1"/>
  <c r="G134" i="8" s="1"/>
  <c r="G152" i="8" a="1"/>
  <c r="G152" i="8" s="1"/>
  <c r="G297" i="8" a="1"/>
  <c r="G297" i="8" s="1"/>
  <c r="G333" i="8" a="1"/>
  <c r="G333" i="8" s="1"/>
  <c r="AI198" i="9" l="1"/>
  <c r="AI195" i="9"/>
  <c r="AI192" i="9"/>
  <c r="AI189" i="9"/>
  <c r="AI186" i="9"/>
  <c r="AI183" i="9"/>
  <c r="AI180" i="9"/>
  <c r="AI152" i="9"/>
  <c r="AI149" i="9"/>
  <c r="AI146" i="9"/>
  <c r="AI143" i="9"/>
  <c r="AI140" i="9"/>
  <c r="AI137" i="9"/>
  <c r="AI134" i="9"/>
  <c r="AI109" i="9"/>
  <c r="AI106" i="9"/>
  <c r="AI103" i="9"/>
  <c r="AI100" i="9"/>
  <c r="AI97" i="9"/>
  <c r="AI94" i="9"/>
  <c r="AI91" i="9"/>
  <c r="AI66" i="9"/>
  <c r="AI176" i="9"/>
  <c r="AI173" i="9"/>
  <c r="AI170" i="9"/>
  <c r="AI167" i="9"/>
  <c r="AI164" i="9"/>
  <c r="AI161" i="9"/>
  <c r="AI158" i="9"/>
  <c r="AI130" i="9"/>
  <c r="AI127" i="9"/>
  <c r="AI124" i="9"/>
  <c r="AI121" i="9"/>
  <c r="AI118" i="9"/>
  <c r="AI115" i="9"/>
  <c r="AI112" i="9"/>
  <c r="AI87" i="9"/>
  <c r="AI84" i="9"/>
  <c r="AI81" i="9"/>
  <c r="AI78" i="9"/>
  <c r="AI75" i="9"/>
  <c r="AI197" i="9"/>
  <c r="AI194" i="9"/>
  <c r="AI191" i="9"/>
  <c r="AI188" i="9"/>
  <c r="AI185" i="9"/>
  <c r="AI182" i="9"/>
  <c r="AI179" i="9"/>
  <c r="AI154" i="9"/>
  <c r="AI151" i="9"/>
  <c r="AI148" i="9"/>
  <c r="AI145" i="9"/>
  <c r="AI142" i="9"/>
  <c r="AI139" i="9"/>
  <c r="AI136" i="9"/>
  <c r="AI108" i="9"/>
  <c r="AI105" i="9"/>
  <c r="AI102" i="9"/>
  <c r="AI99" i="9"/>
  <c r="AI96" i="9"/>
  <c r="AI93" i="9"/>
  <c r="AI90" i="9"/>
  <c r="AI65" i="9"/>
  <c r="AI62" i="9"/>
  <c r="AI59" i="9"/>
  <c r="AI56" i="9"/>
  <c r="AI53" i="9"/>
  <c r="AI175" i="9"/>
  <c r="AI172" i="9"/>
  <c r="AI169" i="9"/>
  <c r="AI166" i="9"/>
  <c r="AI163" i="9"/>
  <c r="AI160" i="9"/>
  <c r="AI157" i="9"/>
  <c r="AI132" i="9"/>
  <c r="AI129" i="9"/>
  <c r="AI126" i="9"/>
  <c r="AI123" i="9"/>
  <c r="AI120" i="9"/>
  <c r="AI117" i="9"/>
  <c r="AI114" i="9"/>
  <c r="AI86" i="9"/>
  <c r="AI83" i="9"/>
  <c r="AI80" i="9"/>
  <c r="AI77" i="9"/>
  <c r="AI74" i="9"/>
  <c r="AI71" i="9"/>
  <c r="AI68" i="9"/>
  <c r="AI196" i="9"/>
  <c r="AI193" i="9"/>
  <c r="AI190" i="9"/>
  <c r="AI187" i="9"/>
  <c r="AI184" i="9"/>
  <c r="AI181" i="9"/>
  <c r="AI178" i="9"/>
  <c r="AI153" i="9"/>
  <c r="AI150" i="9"/>
  <c r="AI147" i="9"/>
  <c r="AI144" i="9"/>
  <c r="AI141" i="9"/>
  <c r="AI138" i="9"/>
  <c r="AI135" i="9"/>
  <c r="AI110" i="9"/>
  <c r="AI107" i="9"/>
  <c r="AI104" i="9"/>
  <c r="AI101" i="9"/>
  <c r="AI98" i="9"/>
  <c r="AI95" i="9"/>
  <c r="AI92" i="9"/>
  <c r="AI174" i="9"/>
  <c r="AI171" i="9"/>
  <c r="AI168" i="9"/>
  <c r="AI165" i="9"/>
  <c r="AI162" i="9"/>
  <c r="AI159" i="9"/>
  <c r="AI156" i="9"/>
  <c r="AI131" i="9"/>
  <c r="AI128" i="9"/>
  <c r="AI125" i="9"/>
  <c r="AI122" i="9"/>
  <c r="AI119" i="9"/>
  <c r="AI116" i="9"/>
  <c r="AI113" i="9"/>
  <c r="AI88" i="9"/>
  <c r="AI85" i="9"/>
  <c r="AI82" i="9"/>
  <c r="AI79" i="9"/>
  <c r="AI76" i="9"/>
  <c r="AI73" i="9"/>
  <c r="AI70" i="9"/>
  <c r="AI42" i="9"/>
  <c r="AI39" i="9"/>
  <c r="AI36" i="9"/>
  <c r="AI33" i="9"/>
  <c r="AI30" i="9"/>
  <c r="AI27" i="9"/>
  <c r="AI24" i="9"/>
  <c r="AI46" i="9"/>
  <c r="AI29" i="9"/>
  <c r="AI9" i="9"/>
  <c r="AI72" i="9"/>
  <c r="AI63" i="9"/>
  <c r="AI49" i="9"/>
  <c r="AI32" i="9"/>
  <c r="AI12" i="9"/>
  <c r="AI52" i="9"/>
  <c r="AI38" i="9"/>
  <c r="AI25" i="9"/>
  <c r="AI18" i="9"/>
  <c r="AI8" i="9"/>
  <c r="AI5" i="9"/>
  <c r="AI2" i="9"/>
  <c r="AI55" i="9"/>
  <c r="AI48" i="9"/>
  <c r="AI41" i="9"/>
  <c r="AI11" i="9"/>
  <c r="AI28" i="9"/>
  <c r="AI21" i="9"/>
  <c r="AI51" i="9"/>
  <c r="AI44" i="9"/>
  <c r="AI31" i="9"/>
  <c r="AI14" i="9"/>
  <c r="AI17" i="9"/>
  <c r="AI58" i="9"/>
  <c r="AI34" i="9"/>
  <c r="G2" i="9" a="1"/>
  <c r="G2" i="9" s="1"/>
  <c r="AI13" i="9"/>
  <c r="AI54" i="9"/>
  <c r="AI37" i="9"/>
  <c r="AI20" i="9"/>
  <c r="AI7" i="9"/>
  <c r="AI4" i="9"/>
  <c r="AI61" i="9"/>
  <c r="AI47" i="9"/>
  <c r="AI40" i="9"/>
  <c r="AI10" i="9"/>
  <c r="AI69" i="9"/>
  <c r="AI57" i="9"/>
  <c r="AI50" i="9"/>
  <c r="AI43" i="9"/>
  <c r="AI15" i="9"/>
  <c r="AI64" i="9"/>
  <c r="AI16" i="9"/>
  <c r="AI35" i="9"/>
  <c r="AI60" i="9"/>
  <c r="AI26" i="9"/>
  <c r="AI19" i="9"/>
  <c r="AI6" i="9"/>
  <c r="AI3" i="9"/>
  <c r="AI22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<sst xmlns="http://schemas.openxmlformats.org/spreadsheetml/2006/main" count="13401" uniqueCount="1232">
  <si>
    <r>
      <rPr>
        <sz val="11"/>
        <rFont val="Calibri"/>
        <family val="1"/>
      </rPr>
      <t>08:00 - 08:08</t>
    </r>
  </si>
  <si>
    <r>
      <rPr>
        <sz val="11"/>
        <rFont val="Calibri"/>
        <family val="1"/>
      </rPr>
      <t>Jap Tji Beng, Ph.D. Dr. Wasino</t>
    </r>
  </si>
  <si>
    <r>
      <rPr>
        <sz val="11"/>
        <rFont val="Calibri"/>
        <family val="1"/>
      </rPr>
      <t>08:08 - 08:16</t>
    </r>
  </si>
  <si>
    <r>
      <rPr>
        <sz val="11"/>
        <rFont val="Calibri"/>
        <family val="1"/>
      </rPr>
      <t xml:space="preserve">Jap Tji Beng, Ph.D.
</t>
    </r>
    <r>
      <rPr>
        <sz val="11"/>
        <rFont val="Calibri"/>
        <family val="1"/>
      </rPr>
      <t>Dr. Wasino</t>
    </r>
  </si>
  <si>
    <r>
      <rPr>
        <sz val="11"/>
        <rFont val="Calibri"/>
        <family val="1"/>
      </rPr>
      <t>08:16 - 08:24</t>
    </r>
  </si>
  <si>
    <r>
      <rPr>
        <sz val="11"/>
        <rFont val="Calibri"/>
        <family val="1"/>
      </rPr>
      <t>08:24 - 08:32</t>
    </r>
  </si>
  <si>
    <r>
      <rPr>
        <sz val="11"/>
        <rFont val="Calibri"/>
        <family val="1"/>
      </rPr>
      <t>08:32 - 08:40</t>
    </r>
  </si>
  <si>
    <r>
      <rPr>
        <sz val="11"/>
        <rFont val="Calibri"/>
        <family val="1"/>
      </rPr>
      <t>09:00 - 09:08</t>
    </r>
  </si>
  <si>
    <r>
      <rPr>
        <sz val="11"/>
        <rFont val="Calibri"/>
        <family val="1"/>
      </rPr>
      <t>09:08 - 09:16</t>
    </r>
  </si>
  <si>
    <r>
      <rPr>
        <sz val="11"/>
        <rFont val="Calibri"/>
        <family val="1"/>
      </rPr>
      <t>Jap Tji Beng, Ph.D.</t>
    </r>
  </si>
  <si>
    <r>
      <rPr>
        <sz val="11"/>
        <rFont val="Calibri"/>
        <family val="1"/>
      </rPr>
      <t>09:16 - 09:24</t>
    </r>
  </si>
  <si>
    <r>
      <rPr>
        <sz val="11"/>
        <rFont val="Calibri"/>
        <family val="1"/>
      </rPr>
      <t>09:24 - 09:32</t>
    </r>
  </si>
  <si>
    <r>
      <rPr>
        <sz val="11"/>
        <rFont val="Calibri"/>
        <family val="1"/>
      </rPr>
      <t>09:32 - 09:40</t>
    </r>
  </si>
  <si>
    <r>
      <rPr>
        <sz val="11"/>
        <rFont val="Calibri"/>
        <family val="1"/>
      </rPr>
      <t>Dra. Ery Dewayani, MMSI Jap Tji Beng, Ph.D.</t>
    </r>
  </si>
  <si>
    <r>
      <rPr>
        <sz val="11"/>
        <rFont val="Calibri"/>
        <family val="1"/>
      </rPr>
      <t>10:00 - 10:08</t>
    </r>
  </si>
  <si>
    <r>
      <rPr>
        <sz val="11"/>
        <rFont val="Calibri"/>
        <family val="1"/>
      </rPr>
      <t xml:space="preserve">Dra. Ery Dewayani, MMSI
</t>
    </r>
    <r>
      <rPr>
        <sz val="11"/>
        <rFont val="Calibri"/>
        <family val="1"/>
      </rPr>
      <t>Jap Tji Beng, Ph.D.</t>
    </r>
  </si>
  <si>
    <r>
      <rPr>
        <sz val="11"/>
        <rFont val="Calibri"/>
        <family val="1"/>
      </rPr>
      <t>10:08 - 10:16</t>
    </r>
  </si>
  <si>
    <r>
      <rPr>
        <sz val="11"/>
        <rFont val="Calibri"/>
        <family val="1"/>
      </rPr>
      <t>10:16 - 10:24</t>
    </r>
  </si>
  <si>
    <r>
      <rPr>
        <sz val="11"/>
        <rFont val="Calibri"/>
        <family val="1"/>
      </rPr>
      <t>10:24 - 10:32</t>
    </r>
  </si>
  <si>
    <r>
      <rPr>
        <sz val="11"/>
        <rFont val="Calibri"/>
        <family val="1"/>
      </rPr>
      <t>10:32 - 10:40</t>
    </r>
  </si>
  <si>
    <r>
      <rPr>
        <sz val="11"/>
        <rFont val="Calibri"/>
        <family val="1"/>
      </rPr>
      <t>11:00 - 11:08</t>
    </r>
  </si>
  <si>
    <r>
      <rPr>
        <sz val="11"/>
        <rFont val="Calibri"/>
        <family val="1"/>
      </rPr>
      <t xml:space="preserve">Dr. Wasino
</t>
    </r>
    <r>
      <rPr>
        <sz val="11"/>
        <rFont val="Calibri"/>
        <family val="1"/>
      </rPr>
      <t>Dra. Ery Dewayani, MMSI</t>
    </r>
  </si>
  <si>
    <r>
      <rPr>
        <sz val="11"/>
        <rFont val="Calibri"/>
        <family val="1"/>
      </rPr>
      <t>11:08 - 11:16</t>
    </r>
  </si>
  <si>
    <r>
      <rPr>
        <sz val="11"/>
        <rFont val="Calibri"/>
        <family val="1"/>
      </rPr>
      <t>11:16 - 11:24</t>
    </r>
  </si>
  <si>
    <r>
      <rPr>
        <sz val="11"/>
        <rFont val="Calibri"/>
        <family val="1"/>
      </rPr>
      <t>11:24 - 11:32</t>
    </r>
  </si>
  <si>
    <r>
      <rPr>
        <sz val="11"/>
        <rFont val="Calibri"/>
        <family val="1"/>
      </rPr>
      <t>11:32 - 11:40</t>
    </r>
  </si>
  <si>
    <r>
      <rPr>
        <sz val="11"/>
        <rFont val="Calibri"/>
        <family val="1"/>
      </rPr>
      <t>13:00 - 13:08</t>
    </r>
  </si>
  <si>
    <r>
      <rPr>
        <sz val="11"/>
        <rFont val="Calibri"/>
        <family val="1"/>
      </rPr>
      <t xml:space="preserve">Tony, Ph.D.
</t>
    </r>
    <r>
      <rPr>
        <sz val="11"/>
        <rFont val="Calibri"/>
        <family val="1"/>
      </rPr>
      <t>Darius Andana Haris, S.Kom., M.T.I.</t>
    </r>
  </si>
  <si>
    <r>
      <rPr>
        <sz val="11"/>
        <rFont val="Calibri"/>
        <family val="1"/>
      </rPr>
      <t>Janson Hendryli, M.Kom.</t>
    </r>
  </si>
  <si>
    <r>
      <rPr>
        <sz val="11"/>
        <rFont val="Calibri"/>
        <family val="1"/>
      </rPr>
      <t>13:08 - 13:16</t>
    </r>
  </si>
  <si>
    <r>
      <rPr>
        <sz val="11"/>
        <rFont val="Calibri"/>
        <family val="1"/>
      </rPr>
      <t>Darius Andana Haris, S.Kom., M.T.I. Tony, Ph.D.</t>
    </r>
  </si>
  <si>
    <r>
      <rPr>
        <sz val="11"/>
        <rFont val="Calibri"/>
        <family val="1"/>
      </rPr>
      <t>13:16 - 13:24</t>
    </r>
  </si>
  <si>
    <r>
      <rPr>
        <sz val="11"/>
        <rFont val="Calibri"/>
        <family val="1"/>
      </rPr>
      <t>13:24 - 13:32</t>
    </r>
  </si>
  <si>
    <r>
      <rPr>
        <sz val="11"/>
        <rFont val="Calibri"/>
        <family val="1"/>
      </rPr>
      <t>13:32 - 13:40</t>
    </r>
  </si>
  <si>
    <r>
      <rPr>
        <sz val="11"/>
        <rFont val="Calibri"/>
        <family val="1"/>
      </rPr>
      <t>14:00 - 14:08</t>
    </r>
  </si>
  <si>
    <r>
      <rPr>
        <sz val="11"/>
        <rFont val="Calibri"/>
        <family val="1"/>
      </rPr>
      <t xml:space="preserve">Janson Hendryli, M.Kom.
</t>
    </r>
    <r>
      <rPr>
        <sz val="11"/>
        <rFont val="Calibri"/>
        <family val="1"/>
      </rPr>
      <t>Tony, Ph.D.</t>
    </r>
  </si>
  <si>
    <r>
      <rPr>
        <sz val="11"/>
        <rFont val="Calibri"/>
        <family val="1"/>
      </rPr>
      <t>Herman Tusiadi, S.Kom., MM</t>
    </r>
  </si>
  <si>
    <r>
      <rPr>
        <sz val="11"/>
        <rFont val="Calibri"/>
        <family val="1"/>
      </rPr>
      <t>14:08 - 14:16</t>
    </r>
  </si>
  <si>
    <r>
      <rPr>
        <sz val="11"/>
        <rFont val="Calibri"/>
        <family val="1"/>
      </rPr>
      <t>Janson Hendryli, M.Kom. Tony, Ph.D.</t>
    </r>
  </si>
  <si>
    <r>
      <rPr>
        <sz val="11"/>
        <rFont val="Calibri"/>
        <family val="1"/>
      </rPr>
      <t>14:16 - 14:24</t>
    </r>
  </si>
  <si>
    <r>
      <rPr>
        <sz val="11"/>
        <rFont val="Calibri"/>
        <family val="1"/>
      </rPr>
      <t>14:24 - 14:32</t>
    </r>
  </si>
  <si>
    <r>
      <rPr>
        <sz val="11"/>
        <rFont val="Calibri"/>
        <family val="1"/>
      </rPr>
      <t>14:32 - 14:40</t>
    </r>
  </si>
  <si>
    <r>
      <rPr>
        <sz val="11"/>
        <rFont val="Calibri"/>
        <family val="1"/>
      </rPr>
      <t>15:00 - 15:08</t>
    </r>
  </si>
  <si>
    <r>
      <rPr>
        <sz val="11"/>
        <rFont val="Calibri"/>
        <family val="1"/>
      </rPr>
      <t xml:space="preserve">Janson Hendryli, M.Kom.
</t>
    </r>
    <r>
      <rPr>
        <sz val="11"/>
        <rFont val="Calibri"/>
        <family val="1"/>
      </rPr>
      <t>Herman Tusiadi, S.Kom., MM</t>
    </r>
  </si>
  <si>
    <r>
      <rPr>
        <sz val="11"/>
        <rFont val="Calibri"/>
        <family val="1"/>
      </rPr>
      <t>15:08 - 15:16</t>
    </r>
  </si>
  <si>
    <r>
      <rPr>
        <sz val="11"/>
        <rFont val="Calibri"/>
        <family val="1"/>
      </rPr>
      <t>Janson Hendryli, M.Kom. Herman Tusiadi, S.Kom., MM</t>
    </r>
  </si>
  <si>
    <r>
      <rPr>
        <sz val="11"/>
        <rFont val="Calibri"/>
        <family val="1"/>
      </rPr>
      <t>15:16 - 15:24</t>
    </r>
  </si>
  <si>
    <r>
      <rPr>
        <sz val="11"/>
        <rFont val="Calibri"/>
        <family val="1"/>
      </rPr>
      <t>15:24 - 15:32</t>
    </r>
  </si>
  <si>
    <r>
      <rPr>
        <sz val="11"/>
        <rFont val="Calibri"/>
        <family val="1"/>
      </rPr>
      <t>15:32 - 15:40</t>
    </r>
  </si>
  <si>
    <r>
      <rPr>
        <sz val="11"/>
        <rFont val="Calibri"/>
        <family val="1"/>
      </rPr>
      <t xml:space="preserve">Viny Christanti M., M.Kom.
</t>
    </r>
    <r>
      <rPr>
        <sz val="11"/>
        <rFont val="Calibri"/>
        <family val="1"/>
      </rPr>
      <t>Manatap Dolok Lauro, S.Kom., M.M.S.I.</t>
    </r>
  </si>
  <si>
    <r>
      <rPr>
        <sz val="11"/>
        <rFont val="Calibri"/>
        <family val="1"/>
      </rPr>
      <t xml:space="preserve">Viny Christanti M., M.Kom.
</t>
    </r>
    <r>
      <rPr>
        <sz val="11"/>
        <rFont val="Calibri"/>
        <family val="1"/>
      </rPr>
      <t>Teny Handhayani, Ph.D.</t>
    </r>
  </si>
  <si>
    <r>
      <rPr>
        <sz val="11"/>
        <rFont val="Calibri"/>
        <family val="1"/>
      </rPr>
      <t>Viny Christanti M., M.Kom. Teny Handhayani, Ph.D.</t>
    </r>
  </si>
  <si>
    <r>
      <rPr>
        <sz val="11"/>
        <rFont val="Calibri"/>
        <family val="1"/>
      </rPr>
      <t>Manatap Dolok Lauro, S.Kom., M.M.S.I. Viny Christanti M., M.Kom.</t>
    </r>
  </si>
  <si>
    <r>
      <rPr>
        <sz val="11"/>
        <rFont val="Calibri"/>
        <family val="1"/>
      </rPr>
      <t xml:space="preserve">Manatap Dolok Lauro, S.Kom., M.M.S.I.
</t>
    </r>
    <r>
      <rPr>
        <sz val="11"/>
        <rFont val="Calibri"/>
        <family val="1"/>
      </rPr>
      <t>Viny Christanti M., M.Kom.</t>
    </r>
  </si>
  <si>
    <r>
      <rPr>
        <sz val="11"/>
        <rFont val="Calibri"/>
        <family val="1"/>
      </rPr>
      <t xml:space="preserve">Teny Handhayani, Ph.D.
</t>
    </r>
    <r>
      <rPr>
        <sz val="11"/>
        <rFont val="Calibri"/>
        <family val="1"/>
      </rPr>
      <t>Manatap Dolok Lauro, S.Kom., M.M.S.I.</t>
    </r>
  </si>
  <si>
    <r>
      <rPr>
        <sz val="11"/>
        <rFont val="Calibri"/>
        <family val="1"/>
      </rPr>
      <t>Janson Hendryli, M.Kom. Teny Handhayani, Ph.D.</t>
    </r>
  </si>
  <si>
    <r>
      <rPr>
        <sz val="11"/>
        <rFont val="Calibri"/>
        <family val="1"/>
      </rPr>
      <t xml:space="preserve">Janson Hendryli, M.Kom.
</t>
    </r>
    <r>
      <rPr>
        <sz val="11"/>
        <rFont val="Calibri"/>
        <family val="1"/>
      </rPr>
      <t>Teny Handhayani, Ph.D.</t>
    </r>
  </si>
  <si>
    <r>
      <rPr>
        <sz val="11"/>
        <rFont val="Calibri"/>
        <family val="1"/>
      </rPr>
      <t xml:space="preserve">Janson Hendryli, M.Kom.
</t>
    </r>
    <r>
      <rPr>
        <sz val="11"/>
        <rFont val="Calibri"/>
        <family val="1"/>
      </rPr>
      <t>Tri Sutrisno, S.Si., M.Sc.</t>
    </r>
  </si>
  <si>
    <r>
      <rPr>
        <sz val="11"/>
        <rFont val="Calibri"/>
        <family val="1"/>
      </rPr>
      <t>Janson Hendryli, M.Kom. Tri Sutrisno, S.Si., M.Sc.</t>
    </r>
  </si>
  <si>
    <r>
      <rPr>
        <sz val="11"/>
        <rFont val="Calibri"/>
        <family val="1"/>
      </rPr>
      <t xml:space="preserve">Tri Sutrisno, S.Si., M.Sc.
</t>
    </r>
    <r>
      <rPr>
        <sz val="11"/>
        <rFont val="Calibri"/>
        <family val="1"/>
      </rPr>
      <t>Janson Hendryli, M.Kom.</t>
    </r>
  </si>
  <si>
    <r>
      <rPr>
        <sz val="11"/>
        <rFont val="Calibri"/>
        <family val="1"/>
      </rPr>
      <t>Tri Sutrisno, S.Si., M.Sc. Janson Hendryli, M.Kom.</t>
    </r>
  </si>
  <si>
    <r>
      <rPr>
        <sz val="11"/>
        <rFont val="Calibri"/>
        <family val="1"/>
      </rPr>
      <t>Tri Sutrisno, S.Si., M.Sc. Teny Handhayani, Ph.D.</t>
    </r>
  </si>
  <si>
    <r>
      <rPr>
        <sz val="11"/>
        <rFont val="Calibri"/>
        <family val="1"/>
      </rPr>
      <t xml:space="preserve">Teny Handhayani, Ph.D.
</t>
    </r>
    <r>
      <rPr>
        <sz val="11"/>
        <rFont val="Calibri"/>
        <family val="1"/>
      </rPr>
      <t>Tri Sutrisno, S.Si., M.Sc.</t>
    </r>
  </si>
  <si>
    <r>
      <rPr>
        <sz val="11"/>
        <rFont val="Calibri"/>
        <family val="1"/>
      </rPr>
      <t>Teny Handhayani, Ph.D. Tri Sutrisno, S.Si., M.Sc.</t>
    </r>
  </si>
  <si>
    <r>
      <rPr>
        <sz val="11"/>
        <rFont val="Calibri"/>
        <family val="1"/>
      </rPr>
      <t xml:space="preserve">Tony, Ph.D.
</t>
    </r>
    <r>
      <rPr>
        <sz val="11"/>
        <rFont val="Calibri"/>
        <family val="1"/>
      </rPr>
      <t>Irvan Lewenusa, S.Kom., M.Kom.</t>
    </r>
  </si>
  <si>
    <r>
      <rPr>
        <sz val="11"/>
        <rFont val="Calibri"/>
        <family val="1"/>
      </rPr>
      <t>Prof. Lina, Ph.D.</t>
    </r>
  </si>
  <si>
    <r>
      <rPr>
        <sz val="11"/>
        <rFont val="Calibri"/>
        <family val="1"/>
      </rPr>
      <t>Irvan Lewenusa, S.Kom., M.Kom. Tony, Ph.D.</t>
    </r>
  </si>
  <si>
    <r>
      <rPr>
        <sz val="11"/>
        <rFont val="Calibri"/>
        <family val="1"/>
      </rPr>
      <t>Irvan Lewenusa, S.Kom., M.Kom. Prof. Lina, Ph.D.</t>
    </r>
  </si>
  <si>
    <r>
      <rPr>
        <sz val="11"/>
        <rFont val="Calibri"/>
        <family val="1"/>
      </rPr>
      <t xml:space="preserve">Prof. Lina, Ph.D.
</t>
    </r>
    <r>
      <rPr>
        <sz val="11"/>
        <rFont val="Calibri"/>
        <family val="1"/>
      </rPr>
      <t>Irvan Lewenusa, S.Kom., M.Kom.</t>
    </r>
  </si>
  <si>
    <r>
      <rPr>
        <sz val="11"/>
        <rFont val="Calibri"/>
        <family val="1"/>
      </rPr>
      <t xml:space="preserve">Prof. Lina, Ph.D.
</t>
    </r>
    <r>
      <rPr>
        <sz val="11"/>
        <rFont val="Calibri"/>
        <family val="1"/>
      </rPr>
      <t>Dra. Chairisni Lubis, M.Kom.</t>
    </r>
  </si>
  <si>
    <r>
      <rPr>
        <sz val="11"/>
        <rFont val="Calibri"/>
        <family val="1"/>
      </rPr>
      <t>Dra. Chairisni Lubis, M.Kom. Prof. Lina, Ph.D.</t>
    </r>
  </si>
  <si>
    <r>
      <rPr>
        <sz val="11"/>
        <rFont val="Calibri"/>
        <family val="1"/>
      </rPr>
      <t xml:space="preserve">Dra. Chairisni Lubis, M.Kom.
</t>
    </r>
    <r>
      <rPr>
        <sz val="11"/>
        <rFont val="Calibri"/>
        <family val="1"/>
      </rPr>
      <t>Prof. Lina, Ph.D.</t>
    </r>
  </si>
  <si>
    <r>
      <rPr>
        <sz val="11"/>
        <rFont val="Calibri"/>
        <family val="1"/>
      </rPr>
      <t xml:space="preserve">Viny Christanti M., M.Kom.
</t>
    </r>
    <r>
      <rPr>
        <sz val="11"/>
        <rFont val="Calibri"/>
        <family val="1"/>
      </rPr>
      <t>Jap Tji Beng, Ph.D.</t>
    </r>
  </si>
  <si>
    <r>
      <rPr>
        <sz val="11"/>
        <rFont val="Calibri"/>
        <family val="1"/>
      </rPr>
      <t xml:space="preserve">Jap Tji Beng, Ph.D.
</t>
    </r>
    <r>
      <rPr>
        <sz val="11"/>
        <rFont val="Calibri"/>
        <family val="1"/>
      </rPr>
      <t>Viny Christanti M., M.Kom.</t>
    </r>
  </si>
  <si>
    <r>
      <rPr>
        <sz val="11"/>
        <rFont val="Calibri"/>
        <family val="1"/>
      </rPr>
      <t>Viny Christanti M., M.Kom. Jap Tji Beng, Ph.D.</t>
    </r>
  </si>
  <si>
    <r>
      <rPr>
        <sz val="11"/>
        <rFont val="Calibri"/>
        <family val="1"/>
      </rPr>
      <t>Prof. Lina, Ph.D. Jap Tji Beng, Ph.D.</t>
    </r>
  </si>
  <si>
    <r>
      <rPr>
        <sz val="11"/>
        <rFont val="Calibri"/>
        <family val="1"/>
      </rPr>
      <t>Jap Tji Beng, Ph.D. Tony, Ph.D.</t>
    </r>
  </si>
  <si>
    <r>
      <rPr>
        <sz val="11"/>
        <rFont val="Calibri"/>
        <family val="1"/>
      </rPr>
      <t xml:space="preserve">Tony, Ph.D.
</t>
    </r>
    <r>
      <rPr>
        <sz val="11"/>
        <rFont val="Calibri"/>
        <family val="1"/>
      </rPr>
      <t>Jap Tji Beng, Ph.D.</t>
    </r>
  </si>
  <si>
    <r>
      <rPr>
        <sz val="11"/>
        <rFont val="Calibri"/>
        <family val="1"/>
      </rPr>
      <t xml:space="preserve">Lely Hiryanto, Ph.D.
</t>
    </r>
    <r>
      <rPr>
        <sz val="11"/>
        <rFont val="Calibri"/>
        <family val="1"/>
      </rPr>
      <t>Teny Handhayani, Ph.D.</t>
    </r>
  </si>
  <si>
    <r>
      <rPr>
        <sz val="11"/>
        <rFont val="Calibri"/>
        <family val="1"/>
      </rPr>
      <t>Lely Hiryanto, Ph.D. Teny Handhayani, Ph.D.</t>
    </r>
  </si>
  <si>
    <r>
      <rPr>
        <sz val="11"/>
        <rFont val="Calibri"/>
        <family val="1"/>
      </rPr>
      <t>Dr. Wasino, S.Kom., M.Kom. Teny Handhayani, Ph.D.</t>
    </r>
  </si>
  <si>
    <r>
      <rPr>
        <sz val="11"/>
        <rFont val="Calibri"/>
        <family val="1"/>
      </rPr>
      <t xml:space="preserve">Dr. Wasino, S.Kom., M.Kom.
</t>
    </r>
    <r>
      <rPr>
        <sz val="11"/>
        <rFont val="Calibri"/>
        <family val="1"/>
      </rPr>
      <t>Teny Handhayani, Ph.D.</t>
    </r>
  </si>
  <si>
    <r>
      <rPr>
        <sz val="11"/>
        <rFont val="Calibri"/>
        <family val="1"/>
      </rPr>
      <t xml:space="preserve">Teny Handhayani, Ph.D.
</t>
    </r>
    <r>
      <rPr>
        <sz val="11"/>
        <rFont val="Calibri"/>
        <family val="1"/>
      </rPr>
      <t>Dr. Wasino, S.Kom., M.Kom.</t>
    </r>
  </si>
  <si>
    <r>
      <rPr>
        <sz val="11"/>
        <rFont val="Calibri"/>
        <family val="1"/>
      </rPr>
      <t>Irvan Lewenusa, S.Kom., M.Kom. Darius Andana Haris, S.Kom., M.T.I.</t>
    </r>
  </si>
  <si>
    <r>
      <rPr>
        <sz val="11"/>
        <rFont val="Calibri"/>
        <family val="1"/>
      </rPr>
      <t xml:space="preserve">Irvan Lewenusa, S.Kom., M.Kom.
</t>
    </r>
    <r>
      <rPr>
        <sz val="11"/>
        <rFont val="Calibri"/>
        <family val="1"/>
      </rPr>
      <t>Darius Andana Haris, S.Kom., M.T.I.</t>
    </r>
  </si>
  <si>
    <r>
      <rPr>
        <sz val="11"/>
        <rFont val="Calibri"/>
        <family val="1"/>
      </rPr>
      <t xml:space="preserve">Darius Andana Haris, S.Kom., M.T.I.
</t>
    </r>
    <r>
      <rPr>
        <sz val="11"/>
        <rFont val="Calibri"/>
        <family val="1"/>
      </rPr>
      <t>Irvan Lewenusa, S.Kom., M.Kom.</t>
    </r>
  </si>
  <si>
    <r>
      <rPr>
        <sz val="11"/>
        <rFont val="Calibri"/>
        <family val="1"/>
      </rPr>
      <t>Darius Andana Haris, S.Kom., M.T.I. Irvan Lewenusa, S.Kom., M.Kom.</t>
    </r>
  </si>
  <si>
    <r>
      <rPr>
        <sz val="11"/>
        <rFont val="Calibri"/>
        <family val="1"/>
      </rPr>
      <t>Ir. Jeanny Pragantha, M.Eng. Dra. Chairisni Lubis, M.Kom.</t>
    </r>
  </si>
  <si>
    <r>
      <rPr>
        <sz val="11"/>
        <rFont val="Calibri"/>
        <family val="1"/>
      </rPr>
      <t xml:space="preserve">Ir. Jeanny Pragantha, M.Eng.
</t>
    </r>
    <r>
      <rPr>
        <sz val="11"/>
        <rFont val="Calibri"/>
        <family val="1"/>
      </rPr>
      <t>Dra. Chairisni Lubis, M.Kom.</t>
    </r>
  </si>
  <si>
    <r>
      <rPr>
        <sz val="11"/>
        <rFont val="Calibri"/>
        <family val="1"/>
      </rPr>
      <t xml:space="preserve">Dra. Chairisni Lubis, M.Kom.
</t>
    </r>
    <r>
      <rPr>
        <sz val="11"/>
        <rFont val="Calibri"/>
        <family val="1"/>
      </rPr>
      <t>Ir. Jeanny Pragantha, M.Eng.</t>
    </r>
  </si>
  <si>
    <r>
      <rPr>
        <sz val="11"/>
        <rFont val="Calibri"/>
        <family val="1"/>
      </rPr>
      <t>Dra. Chairisni Lubis, M.Kom. Ir. Jeanny Pragantha, M.Eng.</t>
    </r>
  </si>
  <si>
    <r>
      <rPr>
        <sz val="11"/>
        <rFont val="Calibri"/>
        <family val="1"/>
      </rPr>
      <t>Dr. Wasino, S.Kom., M.Kom. Tri Sutrisno, S.Si., M.Sc.</t>
    </r>
  </si>
  <si>
    <r>
      <rPr>
        <sz val="11"/>
        <rFont val="Calibri"/>
        <family val="1"/>
      </rPr>
      <t xml:space="preserve">Tri Sutrisno, S.Si., M.Sc.
</t>
    </r>
    <r>
      <rPr>
        <sz val="11"/>
        <rFont val="Calibri"/>
        <family val="1"/>
      </rPr>
      <t>Dr. Wasino, S.Kom., M.Kom.</t>
    </r>
  </si>
  <si>
    <r>
      <rPr>
        <sz val="11"/>
        <rFont val="Calibri"/>
        <family val="1"/>
      </rPr>
      <t>Tri Sutrisno, S.Si., M.Sc. Tony, Ph.D.</t>
    </r>
  </si>
  <si>
    <r>
      <rPr>
        <sz val="11"/>
        <rFont val="Calibri"/>
        <family val="1"/>
      </rPr>
      <t xml:space="preserve">Tri Sutrisno, S.Si., M.Sc.
</t>
    </r>
    <r>
      <rPr>
        <sz val="11"/>
        <rFont val="Calibri"/>
        <family val="1"/>
      </rPr>
      <t>Tony, Ph.D.</t>
    </r>
  </si>
  <si>
    <r>
      <rPr>
        <sz val="11"/>
        <rFont val="Calibri"/>
        <family val="1"/>
      </rPr>
      <t xml:space="preserve">Tony, Ph.D.
</t>
    </r>
    <r>
      <rPr>
        <sz val="11"/>
        <rFont val="Calibri"/>
        <family val="1"/>
      </rPr>
      <t>Tri Sutrisno, S.Si., M.Sc.</t>
    </r>
  </si>
  <si>
    <r>
      <rPr>
        <sz val="11"/>
        <rFont val="Calibri"/>
        <family val="1"/>
      </rPr>
      <t>Ir. Jeanny Pragantha, M.Eng. Dra. Ery Dewayani, M.M.S.I.</t>
    </r>
  </si>
  <si>
    <r>
      <rPr>
        <sz val="11"/>
        <rFont val="Calibri"/>
        <family val="1"/>
      </rPr>
      <t xml:space="preserve">Dr. Wasino, S.Kom., M.Kom.
</t>
    </r>
    <r>
      <rPr>
        <sz val="11"/>
        <rFont val="Calibri"/>
        <family val="1"/>
      </rPr>
      <t>Dra. Ery Dewayani, M.M.S.I.</t>
    </r>
  </si>
  <si>
    <r>
      <rPr>
        <sz val="11"/>
        <rFont val="Calibri"/>
        <family val="1"/>
      </rPr>
      <t>Dr. Wasino, S.Kom., M.Kom. Dra. Ery Dewayani, M.M.S.I.</t>
    </r>
  </si>
  <si>
    <r>
      <rPr>
        <sz val="11"/>
        <rFont val="Calibri"/>
        <family val="1"/>
      </rPr>
      <t>Dra. Ery Dewayani, M.M.S.I. Ir. Jeanny Pragantha, M.Eng.</t>
    </r>
  </si>
  <si>
    <r>
      <rPr>
        <sz val="11"/>
        <rFont val="Calibri"/>
        <family val="1"/>
      </rPr>
      <t xml:space="preserve">Dra. Ery Dewayani, M.M.S.I.
</t>
    </r>
    <r>
      <rPr>
        <sz val="11"/>
        <rFont val="Calibri"/>
        <family val="1"/>
      </rPr>
      <t>Ir. Jeanny Pragantha, M.Eng.</t>
    </r>
  </si>
  <si>
    <r>
      <rPr>
        <sz val="11"/>
        <rFont val="Calibri"/>
        <family val="1"/>
      </rPr>
      <t>Prof. Dr. Dyah Erny Herwindiati Lely Hiryanto, Ph.D.</t>
    </r>
  </si>
  <si>
    <r>
      <rPr>
        <sz val="11"/>
        <rFont val="Calibri"/>
        <family val="1"/>
      </rPr>
      <t xml:space="preserve">Prof. Dr. Dyah Erny Herwindiati
</t>
    </r>
    <r>
      <rPr>
        <sz val="11"/>
        <rFont val="Calibri"/>
        <family val="1"/>
      </rPr>
      <t>Lely Hiryanto, Ph.D.</t>
    </r>
  </si>
  <si>
    <r>
      <rPr>
        <sz val="11"/>
        <rFont val="Calibri"/>
        <family val="1"/>
      </rPr>
      <t xml:space="preserve">Lely Hiryanto, Ph.D.
</t>
    </r>
    <r>
      <rPr>
        <sz val="11"/>
        <rFont val="Calibri"/>
        <family val="1"/>
      </rPr>
      <t>Prof. Dr. Dyah Erny Herwindiati</t>
    </r>
  </si>
  <si>
    <r>
      <rPr>
        <sz val="11"/>
        <rFont val="Calibri"/>
        <family val="1"/>
      </rPr>
      <t>Prof. Dr. Dyah Erny Herwindiati Teny Handhayani, Ph.D.</t>
    </r>
  </si>
  <si>
    <r>
      <rPr>
        <sz val="11"/>
        <rFont val="Calibri"/>
        <family val="1"/>
      </rPr>
      <t xml:space="preserve">Teny Handhayani, Ph.D.
</t>
    </r>
    <r>
      <rPr>
        <sz val="11"/>
        <rFont val="Calibri"/>
        <family val="1"/>
      </rPr>
      <t>Prof. Dr. Dyah Erny Herwindiati</t>
    </r>
  </si>
  <si>
    <r>
      <rPr>
        <sz val="11"/>
        <rFont val="Calibri"/>
        <family val="1"/>
      </rPr>
      <t xml:space="preserve">Novario J. Perdana, M.T.
</t>
    </r>
    <r>
      <rPr>
        <sz val="11"/>
        <rFont val="Calibri"/>
        <family val="1"/>
      </rPr>
      <t>Darius Andana Haris, S.Kom., M.T.I.</t>
    </r>
  </si>
  <si>
    <r>
      <rPr>
        <sz val="11"/>
        <rFont val="Calibri"/>
        <family val="1"/>
      </rPr>
      <t>Darius Andana Haris, S.Kom., M.T.I. Novario J. Perdana, M.T.</t>
    </r>
  </si>
  <si>
    <r>
      <rPr>
        <sz val="11"/>
        <rFont val="Calibri"/>
        <family val="1"/>
      </rPr>
      <t xml:space="preserve">Darius Andana Haris, S.Kom., M.T.I. </t>
    </r>
    <r>
      <rPr>
        <sz val="11"/>
        <color rgb="FFFF0000"/>
        <rFont val="Calibri"/>
        <family val="1"/>
      </rPr>
      <t>Tony, Ph.D.</t>
    </r>
  </si>
  <si>
    <r>
      <rPr>
        <sz val="11"/>
        <rFont val="Calibri"/>
        <family val="1"/>
      </rPr>
      <t xml:space="preserve">Darius Andana Haris, S.Kom., M.T.I.
</t>
    </r>
    <r>
      <rPr>
        <sz val="11"/>
        <color rgb="FFFF0000"/>
        <rFont val="Calibri"/>
        <family val="1"/>
      </rPr>
      <t>Tony, Ph.D.</t>
    </r>
  </si>
  <si>
    <r>
      <rPr>
        <sz val="11"/>
        <rFont val="Calibri"/>
        <family val="1"/>
      </rPr>
      <t>Darius Andana Haris, S.Kom., M.T.I. Manatap Dolok Lauro, S.Kom., M.M.S.I.</t>
    </r>
  </si>
  <si>
    <r>
      <rPr>
        <sz val="11"/>
        <rFont val="Calibri"/>
        <family val="1"/>
      </rPr>
      <t>Manatap Dolok Lauro, S.Kom., M.M.S.I. Darius Andana Haris, S.Kom., M.T.I.</t>
    </r>
  </si>
  <si>
    <r>
      <rPr>
        <sz val="11"/>
        <rFont val="Calibri"/>
        <family val="1"/>
      </rPr>
      <t xml:space="preserve">Manatap Dolok Lauro, S.Kom., M.M.S.I.
</t>
    </r>
    <r>
      <rPr>
        <sz val="11"/>
        <rFont val="Calibri"/>
        <family val="1"/>
      </rPr>
      <t>Darius Andana Haris, S.Kom., M.T.I.</t>
    </r>
  </si>
  <si>
    <r>
      <rPr>
        <sz val="11"/>
        <rFont val="Calibri"/>
        <family val="1"/>
      </rPr>
      <t>Dr. Dedi Trisnawarman, S.Si., M.Kom. Bagus Mulyawan, S.Kom., M.M.</t>
    </r>
  </si>
  <si>
    <r>
      <rPr>
        <sz val="11"/>
        <rFont val="Calibri"/>
        <family val="1"/>
      </rPr>
      <t xml:space="preserve">Dr. Dedi Trisnawarman, S.Si., M.Kom.
</t>
    </r>
    <r>
      <rPr>
        <sz val="11"/>
        <rFont val="Calibri"/>
        <family val="1"/>
      </rPr>
      <t>Bagus Mulyawan, S.Kom., M.M.</t>
    </r>
  </si>
  <si>
    <r>
      <rPr>
        <sz val="11"/>
        <rFont val="Calibri"/>
        <family val="1"/>
      </rPr>
      <t>Bagus Mulyawan, S.Kom., M.M. Herman Tusiadi, S.Kom., MM</t>
    </r>
  </si>
  <si>
    <r>
      <rPr>
        <sz val="11"/>
        <rFont val="Calibri"/>
        <family val="1"/>
      </rPr>
      <t xml:space="preserve">Herman Tusiadi, S.Kom., MM
</t>
    </r>
    <r>
      <rPr>
        <sz val="11"/>
        <rFont val="Calibri"/>
        <family val="1"/>
      </rPr>
      <t>Dr. Dedi Trisnawarman, S.Si., M.Kom.</t>
    </r>
  </si>
  <si>
    <r>
      <rPr>
        <sz val="11"/>
        <rFont val="Calibri"/>
        <family val="1"/>
      </rPr>
      <t>Bagus Mulyawan, S.Kom., M.M.</t>
    </r>
  </si>
  <si>
    <r>
      <rPr>
        <sz val="11"/>
        <rFont val="Calibri"/>
        <family val="1"/>
      </rPr>
      <t xml:space="preserve">Bagus Mulyawan, S.Kom., M.M.
</t>
    </r>
    <r>
      <rPr>
        <sz val="11"/>
        <rFont val="Calibri"/>
        <family val="1"/>
      </rPr>
      <t>Dr. Dedi Trisnawarman, S.Si., M.Kom.</t>
    </r>
  </si>
  <si>
    <r>
      <rPr>
        <sz val="11"/>
        <rFont val="Calibri"/>
        <family val="1"/>
      </rPr>
      <t xml:space="preserve">Lely Hiryanto, Ph.D.
</t>
    </r>
    <r>
      <rPr>
        <sz val="11"/>
        <rFont val="Calibri"/>
        <family val="1"/>
      </rPr>
      <t>Manatap Dolok Lauro, S.Kom., M.M.S.I.</t>
    </r>
  </si>
  <si>
    <r>
      <rPr>
        <sz val="11"/>
        <rFont val="Calibri"/>
        <family val="1"/>
      </rPr>
      <t>Manatap Dolok Lauro, S.Kom., M.M.S.I. Lely Hiryanto, Ph.D.</t>
    </r>
  </si>
  <si>
    <r>
      <rPr>
        <sz val="11"/>
        <rFont val="Calibri"/>
        <family val="1"/>
      </rPr>
      <t>Manatap Dolok Lauro, S.Kom., M.M.S.I. Irvan Lewenusa, S.Kom., M.Kom.</t>
    </r>
  </si>
  <si>
    <r>
      <rPr>
        <sz val="11"/>
        <rFont val="Calibri"/>
        <family val="1"/>
      </rPr>
      <t xml:space="preserve">Manatap Dolok Lauro, S.Kom., M.M.S.I.
</t>
    </r>
    <r>
      <rPr>
        <sz val="11"/>
        <rFont val="Calibri"/>
        <family val="1"/>
      </rPr>
      <t>Irvan Lewenusa, S.Kom., M.Kom.</t>
    </r>
  </si>
  <si>
    <r>
      <rPr>
        <sz val="11"/>
        <rFont val="Calibri"/>
        <family val="1"/>
      </rPr>
      <t xml:space="preserve">Novario J. Perdana, M.T.
</t>
    </r>
    <r>
      <rPr>
        <sz val="11"/>
        <rFont val="Calibri"/>
        <family val="1"/>
      </rPr>
      <t>Agus Budi Dharmawan, M.T., M.Sc.</t>
    </r>
  </si>
  <si>
    <r>
      <rPr>
        <sz val="11"/>
        <rFont val="Calibri"/>
        <family val="1"/>
      </rPr>
      <t xml:space="preserve">Agus Budi Dharmawan, M.T., M.Sc.
</t>
    </r>
    <r>
      <rPr>
        <sz val="11"/>
        <rFont val="Calibri"/>
        <family val="1"/>
      </rPr>
      <t>Novario J. Perdana, M.T.</t>
    </r>
  </si>
  <si>
    <r>
      <rPr>
        <sz val="11"/>
        <rFont val="Calibri"/>
        <family val="1"/>
      </rPr>
      <t>Agus Budi Dharmawan, M.T., M.Sc. Novario J. Perdana, M.T.</t>
    </r>
  </si>
  <si>
    <r>
      <rPr>
        <sz val="11"/>
        <rFont val="Calibri"/>
        <family val="1"/>
      </rPr>
      <t>Agus Budi Dharmawan, M.T., M.Sc. Prof. Lina, Ph.D.</t>
    </r>
  </si>
  <si>
    <r>
      <rPr>
        <sz val="11"/>
        <rFont val="Calibri"/>
        <family val="1"/>
      </rPr>
      <t xml:space="preserve">Agus Budi Dharmawan, M.T., M.Sc.
</t>
    </r>
    <r>
      <rPr>
        <sz val="11"/>
        <rFont val="Calibri"/>
        <family val="1"/>
      </rPr>
      <t>Prof. Lina, Ph.D.</t>
    </r>
  </si>
  <si>
    <r>
      <rPr>
        <sz val="11"/>
        <rFont val="Calibri"/>
        <family val="1"/>
      </rPr>
      <t xml:space="preserve">Prof. Lina, Ph.D.
</t>
    </r>
    <r>
      <rPr>
        <sz val="11"/>
        <rFont val="Calibri"/>
        <family val="1"/>
      </rPr>
      <t>Agus Budi Dharmawan, M.T., M.Sc.</t>
    </r>
  </si>
  <si>
    <r>
      <rPr>
        <sz val="11"/>
        <rFont val="Calibri"/>
        <family val="1"/>
      </rPr>
      <t xml:space="preserve">Bagus Mulyawan, S.Kom., M.M.
</t>
    </r>
    <r>
      <rPr>
        <sz val="11"/>
        <rFont val="Calibri"/>
        <family val="1"/>
      </rPr>
      <t>Herman Tusiadi, S.Kom., MM</t>
    </r>
  </si>
  <si>
    <r>
      <rPr>
        <sz val="11"/>
        <rFont val="Calibri"/>
        <family val="1"/>
      </rPr>
      <t>Dr. Dedi Trisnawarman, S.Si., M.Kom. Irvan Lewenusa, S.Kom., M.Kom.</t>
    </r>
  </si>
  <si>
    <r>
      <rPr>
        <sz val="11"/>
        <rFont val="Calibri"/>
        <family val="1"/>
      </rPr>
      <t xml:space="preserve">Dr. Dedi Trisnawarman, S.Si., M.Kom.
</t>
    </r>
    <r>
      <rPr>
        <sz val="11"/>
        <rFont val="Calibri"/>
        <family val="1"/>
      </rPr>
      <t>Irvan Lewenusa, S.Kom., M.Kom.</t>
    </r>
  </si>
  <si>
    <r>
      <rPr>
        <sz val="11"/>
        <rFont val="Calibri"/>
        <family val="1"/>
      </rPr>
      <t>Dr. Dedi Trisnawarman, S.Si., M.Kom. Herman Tusiadi, S.Kom., MM</t>
    </r>
  </si>
  <si>
    <r>
      <rPr>
        <sz val="11"/>
        <rFont val="Calibri"/>
        <family val="1"/>
      </rPr>
      <t>Herman Tusiadi, S.Kom., MM Irvan Lewenusa, S.Kom., M.Kom.</t>
    </r>
  </si>
  <si>
    <r>
      <rPr>
        <sz val="11"/>
        <rFont val="Calibri"/>
        <family val="1"/>
      </rPr>
      <t xml:space="preserve">Herman Tusiadi, S.Kom., MM
</t>
    </r>
    <r>
      <rPr>
        <sz val="11"/>
        <rFont val="Calibri"/>
        <family val="1"/>
      </rPr>
      <t>Irvan Lewenusa, S.Kom., M.Kom.</t>
    </r>
  </si>
  <si>
    <r>
      <rPr>
        <sz val="11"/>
        <rFont val="Calibri"/>
        <family val="1"/>
      </rPr>
      <t>Irvan Lewenusa, S.Kom., M.Kom. Herman Tusiadi, S.Kom., MM</t>
    </r>
  </si>
  <si>
    <r>
      <rPr>
        <sz val="11"/>
        <rFont val="Calibri"/>
        <family val="1"/>
      </rPr>
      <t xml:space="preserve">Irvan Lewenusa, S.Kom., M.Kom.
</t>
    </r>
    <r>
      <rPr>
        <sz val="11"/>
        <rFont val="Calibri"/>
        <family val="1"/>
      </rPr>
      <t>Herman Tusiadi, S.Kom., MM</t>
    </r>
  </si>
  <si>
    <r>
      <rPr>
        <sz val="11"/>
        <rFont val="Calibri"/>
        <family val="1"/>
      </rPr>
      <t xml:space="preserve">Desi Arisandi, S.Kom., MTI
</t>
    </r>
    <r>
      <rPr>
        <sz val="11"/>
        <rFont val="Calibri"/>
        <family val="1"/>
      </rPr>
      <t>Agus Budi Dharmawan, M.T., M.Sc.</t>
    </r>
  </si>
  <si>
    <r>
      <rPr>
        <sz val="11"/>
        <rFont val="Calibri"/>
        <family val="1"/>
      </rPr>
      <t>Desi Arisandi, S.Kom., MTI</t>
    </r>
  </si>
  <si>
    <r>
      <rPr>
        <sz val="11"/>
        <rFont val="Calibri"/>
        <family val="1"/>
      </rPr>
      <t>Agus Budi Dharmawan, M.T., M.Sc. Dr. Dedi Trisnawarman, S.Si., M.Kom.</t>
    </r>
  </si>
  <si>
    <r>
      <rPr>
        <sz val="11"/>
        <rFont val="Calibri"/>
        <family val="1"/>
      </rPr>
      <t xml:space="preserve">Agus Budi Dharmawan, M.T., M.Sc.
</t>
    </r>
    <r>
      <rPr>
        <sz val="11"/>
        <rFont val="Calibri"/>
        <family val="1"/>
      </rPr>
      <t>Dr. Dedi Trisnawarman, S.Si., M.Kom.</t>
    </r>
  </si>
  <si>
    <r>
      <rPr>
        <sz val="11"/>
        <rFont val="Calibri"/>
        <family val="1"/>
      </rPr>
      <t xml:space="preserve">Tony, Ph.D.
</t>
    </r>
    <r>
      <rPr>
        <sz val="11"/>
        <rFont val="Calibri"/>
        <family val="1"/>
      </rPr>
      <t>Agus Budi Dharmawan, M.T., M.Sc.</t>
    </r>
  </si>
  <si>
    <t>Magang</t>
  </si>
  <si>
    <t>Stupen</t>
  </si>
  <si>
    <t>Penelitian</t>
  </si>
  <si>
    <t>Mengajar</t>
  </si>
  <si>
    <t>KKN</t>
  </si>
  <si>
    <t>Wirausaha</t>
  </si>
  <si>
    <t>hari ke-</t>
  </si>
  <si>
    <t>slot ke-</t>
  </si>
  <si>
    <t>ruangan ke-</t>
  </si>
  <si>
    <t>MBKM</t>
  </si>
  <si>
    <t>PEMBIMBING</t>
  </si>
  <si>
    <t>Dra. Ery Dewayani, MMSI</t>
  </si>
  <si>
    <t>Viny Christanti Mawardi, S.Kom., M.Kom.</t>
  </si>
  <si>
    <t>Dr. Wasino, S.Kom., M.Kom.</t>
  </si>
  <si>
    <t>Manatap Dolok Lauro, S.Kom., MMSI</t>
  </si>
  <si>
    <t>Dra. Chairisni Lubis, M.Kom.</t>
  </si>
  <si>
    <t>Herman Tusiadi, S.Kom., MM</t>
  </si>
  <si>
    <t>Janson Hendryli, S.Kom., M.Kom.</t>
  </si>
  <si>
    <t>Ir. Jap Tji Beng, MMSI, M.Psi., Ph.D., PE, M.ASCE</t>
  </si>
  <si>
    <t>Tri Sutrisno, S.Si., M.Sc.</t>
  </si>
  <si>
    <t>Desi Arisandi, S.Kom., MTI</t>
  </si>
  <si>
    <t>Ir. Jeanny Pragantha, M.Eng.</t>
  </si>
  <si>
    <t>Irvan Lewenusa, S.Kom., M.Kom.</t>
  </si>
  <si>
    <t>Darius Andana Haris, S.Kom., MTI</t>
  </si>
  <si>
    <t>Lely Hiryanto, ST, M.Sc., Ph.D</t>
  </si>
  <si>
    <t>Teny Handhayani, S.Kom., M.Kom., Ph.D.</t>
  </si>
  <si>
    <t>Tony, S.Kom., M.Kom., Ph.D.</t>
  </si>
  <si>
    <t>Prof. Lina, ST, M.Kom., Ph.D.</t>
  </si>
  <si>
    <t>Prof. Dr. Ir. Dyah Erny Herwindiati, M.Si.</t>
  </si>
  <si>
    <t>-</t>
  </si>
  <si>
    <t>Dr. Dedi Trisnawarman, S.Si., M.Kom.</t>
  </si>
  <si>
    <t>Novario Jaya Perdana, S.Kom., MT</t>
  </si>
  <si>
    <t>Bagus Mulyawan, S.Kom., MM</t>
  </si>
  <si>
    <t>Dr. Ing. Agus Budi Dharmawan, S.Kom., MT, M.Sc.</t>
  </si>
  <si>
    <t>NIM</t>
  </si>
  <si>
    <t>825220046</t>
  </si>
  <si>
    <t>825220048</t>
  </si>
  <si>
    <t>825220057</t>
  </si>
  <si>
    <t>825220060</t>
  </si>
  <si>
    <t>825220061</t>
  </si>
  <si>
    <t>535220022</t>
  </si>
  <si>
    <t>535220023</t>
  </si>
  <si>
    <t>535220028</t>
  </si>
  <si>
    <t>535220031</t>
  </si>
  <si>
    <t>535220060</t>
  </si>
  <si>
    <t>825220012</t>
  </si>
  <si>
    <t>825220016</t>
  </si>
  <si>
    <t>825220020</t>
  </si>
  <si>
    <t>825220023</t>
  </si>
  <si>
    <t>825220028</t>
  </si>
  <si>
    <t>825220064</t>
  </si>
  <si>
    <t>825220068</t>
  </si>
  <si>
    <t>825220071</t>
  </si>
  <si>
    <t>825220072</t>
  </si>
  <si>
    <t>825220073</t>
  </si>
  <si>
    <t>535220062</t>
  </si>
  <si>
    <t>535220063</t>
  </si>
  <si>
    <t>535220071</t>
  </si>
  <si>
    <t>535220123</t>
  </si>
  <si>
    <t>535220126</t>
  </si>
  <si>
    <t>825220041</t>
  </si>
  <si>
    <t>825220065</t>
  </si>
  <si>
    <t>825220067</t>
  </si>
  <si>
    <t>825220083</t>
  </si>
  <si>
    <t>825220108</t>
  </si>
  <si>
    <t>825220074</t>
  </si>
  <si>
    <t>825220159</t>
  </si>
  <si>
    <t>825220160</t>
  </si>
  <si>
    <t>825220161</t>
  </si>
  <si>
    <t>825220163</t>
  </si>
  <si>
    <t>535220129</t>
  </si>
  <si>
    <t>535220131</t>
  </si>
  <si>
    <t>535220186</t>
  </si>
  <si>
    <t>535220187</t>
  </si>
  <si>
    <t>535220198</t>
  </si>
  <si>
    <t>825220125</t>
  </si>
  <si>
    <t>825220135</t>
  </si>
  <si>
    <t>825220136</t>
  </si>
  <si>
    <t>825220138</t>
  </si>
  <si>
    <t>825220139</t>
  </si>
  <si>
    <t>825220164</t>
  </si>
  <si>
    <t>535220006</t>
  </si>
  <si>
    <t>535220007</t>
  </si>
  <si>
    <t>535220012</t>
  </si>
  <si>
    <t>535220055</t>
  </si>
  <si>
    <t>535220204</t>
  </si>
  <si>
    <t>535200033</t>
  </si>
  <si>
    <t>825220165</t>
  </si>
  <si>
    <t>535220013</t>
  </si>
  <si>
    <t>535220033</t>
  </si>
  <si>
    <t>535220052</t>
  </si>
  <si>
    <t>535220085</t>
  </si>
  <si>
    <t>535220087</t>
  </si>
  <si>
    <t>535220089</t>
  </si>
  <si>
    <t>535220091</t>
  </si>
  <si>
    <t>535220009</t>
  </si>
  <si>
    <t>535220011</t>
  </si>
  <si>
    <t>535220026</t>
  </si>
  <si>
    <t>535220072</t>
  </si>
  <si>
    <t>535220083</t>
  </si>
  <si>
    <t>825220002</t>
  </si>
  <si>
    <t>825220009</t>
  </si>
  <si>
    <t>825220024</t>
  </si>
  <si>
    <t>825220040</t>
  </si>
  <si>
    <t>825220045</t>
  </si>
  <si>
    <t>825220003</t>
  </si>
  <si>
    <t>825220014</t>
  </si>
  <si>
    <t>825220019</t>
  </si>
  <si>
    <t>825220036</t>
  </si>
  <si>
    <t>825220062</t>
  </si>
  <si>
    <t>535220086</t>
  </si>
  <si>
    <t>535220088</t>
  </si>
  <si>
    <t>535220107</t>
  </si>
  <si>
    <t>535220113</t>
  </si>
  <si>
    <t>535220114</t>
  </si>
  <si>
    <t>825220049</t>
  </si>
  <si>
    <t>825220055</t>
  </si>
  <si>
    <t>825220089</t>
  </si>
  <si>
    <t>825220132</t>
  </si>
  <si>
    <t>825220151</t>
  </si>
  <si>
    <t>825220120</t>
  </si>
  <si>
    <t>825220134</t>
  </si>
  <si>
    <t>825220155</t>
  </si>
  <si>
    <t>825220182</t>
  </si>
  <si>
    <t>825249102</t>
  </si>
  <si>
    <t>535220115</t>
  </si>
  <si>
    <t>535220116</t>
  </si>
  <si>
    <t>535220118</t>
  </si>
  <si>
    <t>535220124</t>
  </si>
  <si>
    <t>535220125</t>
  </si>
  <si>
    <t>825220154</t>
  </si>
  <si>
    <t>825220006</t>
  </si>
  <si>
    <t>825220011</t>
  </si>
  <si>
    <t>825220162</t>
  </si>
  <si>
    <t>825220183</t>
  </si>
  <si>
    <t>825220145</t>
  </si>
  <si>
    <t>825220148</t>
  </si>
  <si>
    <t>825220150</t>
  </si>
  <si>
    <t>825220181</t>
  </si>
  <si>
    <t>825239201</t>
  </si>
  <si>
    <t>825220075</t>
  </si>
  <si>
    <t>825220084</t>
  </si>
  <si>
    <t>825220087</t>
  </si>
  <si>
    <t>825220088</t>
  </si>
  <si>
    <t>825220093</t>
  </si>
  <si>
    <t>535220021</t>
  </si>
  <si>
    <t>535220050</t>
  </si>
  <si>
    <t>535220076</t>
  </si>
  <si>
    <t>535220172</t>
  </si>
  <si>
    <t>535220173</t>
  </si>
  <si>
    <t>535220056</t>
  </si>
  <si>
    <t>535220057</t>
  </si>
  <si>
    <t>535220106</t>
  </si>
  <si>
    <t>535220108</t>
  </si>
  <si>
    <t>535220109</t>
  </si>
  <si>
    <t>825220094</t>
  </si>
  <si>
    <t>825220095</t>
  </si>
  <si>
    <t>825220105</t>
  </si>
  <si>
    <t>825220113</t>
  </si>
  <si>
    <t>825220114</t>
  </si>
  <si>
    <t>535220221</t>
  </si>
  <si>
    <t>535220224</t>
  </si>
  <si>
    <t>535220234</t>
  </si>
  <si>
    <t>535220242</t>
  </si>
  <si>
    <t>535220266</t>
  </si>
  <si>
    <t>535220162</t>
  </si>
  <si>
    <t>535220166</t>
  </si>
  <si>
    <t>535220170</t>
  </si>
  <si>
    <t>535220145</t>
  </si>
  <si>
    <t>535220228</t>
  </si>
  <si>
    <t>825220115</t>
  </si>
  <si>
    <t>825220121</t>
  </si>
  <si>
    <t>825220124</t>
  </si>
  <si>
    <t>825220131</t>
  </si>
  <si>
    <t>825220133</t>
  </si>
  <si>
    <t>535220229</t>
  </si>
  <si>
    <t>825220022</t>
  </si>
  <si>
    <t>535220042</t>
  </si>
  <si>
    <t>535220043</t>
  </si>
  <si>
    <t>535220048</t>
  </si>
  <si>
    <t>535220044</t>
  </si>
  <si>
    <t>535220075</t>
  </si>
  <si>
    <t>535220090</t>
  </si>
  <si>
    <t>535220093</t>
  </si>
  <si>
    <t>535220095</t>
  </si>
  <si>
    <t>825220137</t>
  </si>
  <si>
    <t>535220049</t>
  </si>
  <si>
    <t>535220073</t>
  </si>
  <si>
    <t>535220074</t>
  </si>
  <si>
    <t>535220081</t>
  </si>
  <si>
    <t>535220112</t>
  </si>
  <si>
    <t>535220207</t>
  </si>
  <si>
    <t>535220245</t>
  </si>
  <si>
    <t>535220014</t>
  </si>
  <si>
    <t>535220020</t>
  </si>
  <si>
    <t>535220001</t>
  </si>
  <si>
    <t>535220010</t>
  </si>
  <si>
    <t>535220017</t>
  </si>
  <si>
    <t>535220019</t>
  </si>
  <si>
    <t>535220039</t>
  </si>
  <si>
    <t>535220244</t>
  </si>
  <si>
    <t>535220267</t>
  </si>
  <si>
    <t>535220121</t>
  </si>
  <si>
    <t>535220097</t>
  </si>
  <si>
    <t>535220105</t>
  </si>
  <si>
    <t>535220041</t>
  </si>
  <si>
    <t>535220051</t>
  </si>
  <si>
    <t>535220146</t>
  </si>
  <si>
    <t>535220151</t>
  </si>
  <si>
    <t>535220161</t>
  </si>
  <si>
    <t>535220034</t>
  </si>
  <si>
    <t>535220035</t>
  </si>
  <si>
    <t>535220037</t>
  </si>
  <si>
    <t>535220040</t>
  </si>
  <si>
    <t>535220064</t>
  </si>
  <si>
    <t>535220127</t>
  </si>
  <si>
    <t>535220130</t>
  </si>
  <si>
    <t>535220185</t>
  </si>
  <si>
    <t>535220190</t>
  </si>
  <si>
    <t>535220192</t>
  </si>
  <si>
    <t>535220235</t>
  </si>
  <si>
    <t>535220262</t>
  </si>
  <si>
    <t>535220128</t>
  </si>
  <si>
    <t>535220024</t>
  </si>
  <si>
    <t>535220045</t>
  </si>
  <si>
    <t>535220065</t>
  </si>
  <si>
    <t>535220066</t>
  </si>
  <si>
    <t>535220067</t>
  </si>
  <si>
    <t>535220134</t>
  </si>
  <si>
    <t>535220135</t>
  </si>
  <si>
    <t>535220227</t>
  </si>
  <si>
    <t>825220001</t>
  </si>
  <si>
    <t>825220029</t>
  </si>
  <si>
    <t>825220030</t>
  </si>
  <si>
    <t>825220069</t>
  </si>
  <si>
    <t>535220175</t>
  </si>
  <si>
    <t>535220212</t>
  </si>
  <si>
    <t>535220140</t>
  </si>
  <si>
    <t>535220148</t>
  </si>
  <si>
    <t>535220176</t>
  </si>
  <si>
    <t>535220096</t>
  </si>
  <si>
    <t>535220101</t>
  </si>
  <si>
    <t>535220103</t>
  </si>
  <si>
    <t>535220104</t>
  </si>
  <si>
    <t>535220164</t>
  </si>
  <si>
    <t>535220016</t>
  </si>
  <si>
    <t>535220018</t>
  </si>
  <si>
    <t>535220058</t>
  </si>
  <si>
    <t>535220059</t>
  </si>
  <si>
    <t>535220069</t>
  </si>
  <si>
    <t>535220082</t>
  </si>
  <si>
    <t>535220133</t>
  </si>
  <si>
    <t>535220149</t>
  </si>
  <si>
    <t>535220152</t>
  </si>
  <si>
    <t>535220154</t>
  </si>
  <si>
    <t>825220112</t>
  </si>
  <si>
    <t>535220182</t>
  </si>
  <si>
    <t>535220183</t>
  </si>
  <si>
    <t>535220189</t>
  </si>
  <si>
    <t>535220259</t>
  </si>
  <si>
    <t>535220110</t>
  </si>
  <si>
    <t>535220117</t>
  </si>
  <si>
    <t>535220177</t>
  </si>
  <si>
    <t>535220180</t>
  </si>
  <si>
    <t>535220181</t>
  </si>
  <si>
    <t>535220191</t>
  </si>
  <si>
    <t>535220206</t>
  </si>
  <si>
    <t>535220210</t>
  </si>
  <si>
    <t>535220213</t>
  </si>
  <si>
    <t>535220247</t>
  </si>
  <si>
    <t>535220165</t>
  </si>
  <si>
    <t>535220197</t>
  </si>
  <si>
    <t>535220201</t>
  </si>
  <si>
    <t>535229202</t>
  </si>
  <si>
    <t>825220051</t>
  </si>
  <si>
    <t>535220263</t>
  </si>
  <si>
    <t>535220243</t>
  </si>
  <si>
    <t>535220248</t>
  </si>
  <si>
    <t>535220252</t>
  </si>
  <si>
    <t>535220254</t>
  </si>
  <si>
    <t>825220054</t>
  </si>
  <si>
    <t>825220129</t>
  </si>
  <si>
    <t>825220147</t>
  </si>
  <si>
    <t>825220153</t>
  </si>
  <si>
    <t>825220168</t>
  </si>
  <si>
    <t>535220261</t>
  </si>
  <si>
    <t>825220167</t>
  </si>
  <si>
    <t>535220079</t>
  </si>
  <si>
    <t>535220002</t>
  </si>
  <si>
    <t>535220004</t>
  </si>
  <si>
    <t>535220027</t>
  </si>
  <si>
    <t>535220030</t>
  </si>
  <si>
    <t>535220038</t>
  </si>
  <si>
    <t>535220077</t>
  </si>
  <si>
    <t>535220084</t>
  </si>
  <si>
    <t>535220053</t>
  </si>
  <si>
    <t>825210038</t>
  </si>
  <si>
    <t>825220080</t>
  </si>
  <si>
    <t>825220082</t>
  </si>
  <si>
    <t>825220085</t>
  </si>
  <si>
    <t>825220086</t>
  </si>
  <si>
    <t>535220094</t>
  </si>
  <si>
    <t>535220098</t>
  </si>
  <si>
    <t>535220102</t>
  </si>
  <si>
    <t>535220155</t>
  </si>
  <si>
    <t>535220156</t>
  </si>
  <si>
    <t>825220090</t>
  </si>
  <si>
    <t>825220091</t>
  </si>
  <si>
    <t>825220092</t>
  </si>
  <si>
    <t>825220097</t>
  </si>
  <si>
    <t>825220098</t>
  </si>
  <si>
    <t>535220157</t>
  </si>
  <si>
    <t>535220159</t>
  </si>
  <si>
    <t>535220220</t>
  </si>
  <si>
    <t>535220225</t>
  </si>
  <si>
    <t>535220246</t>
  </si>
  <si>
    <t>825220099</t>
  </si>
  <si>
    <t>825220102</t>
  </si>
  <si>
    <t>825220103</t>
  </si>
  <si>
    <t>825220110</t>
  </si>
  <si>
    <t>825220111</t>
  </si>
  <si>
    <t>535220258</t>
  </si>
  <si>
    <t>825220117</t>
  </si>
  <si>
    <t>825220005</t>
  </si>
  <si>
    <t>825220007</t>
  </si>
  <si>
    <t>825220015</t>
  </si>
  <si>
    <t>825220017</t>
  </si>
  <si>
    <t>825220021</t>
  </si>
  <si>
    <t>825220026</t>
  </si>
  <si>
    <t>825220042</t>
  </si>
  <si>
    <t>825220043</t>
  </si>
  <si>
    <t>825220044</t>
  </si>
  <si>
    <t>825220053</t>
  </si>
  <si>
    <t>535220092</t>
  </si>
  <si>
    <t>535220136</t>
  </si>
  <si>
    <t>535220139</t>
  </si>
  <si>
    <t>535220142</t>
  </si>
  <si>
    <t>535220143</t>
  </si>
  <si>
    <t>825220031</t>
  </si>
  <si>
    <t>825220032</t>
  </si>
  <si>
    <t>825220033</t>
  </si>
  <si>
    <t>825220035</t>
  </si>
  <si>
    <t>825220039</t>
  </si>
  <si>
    <t>825220076</t>
  </si>
  <si>
    <t>825220077</t>
  </si>
  <si>
    <t>825220078</t>
  </si>
  <si>
    <t>825220079</t>
  </si>
  <si>
    <t>825220127</t>
  </si>
  <si>
    <t>535220160</t>
  </si>
  <si>
    <t>535220178</t>
  </si>
  <si>
    <t>535220196</t>
  </si>
  <si>
    <t>535220216</t>
  </si>
  <si>
    <t>535220219</t>
  </si>
  <si>
    <t>825220050</t>
  </si>
  <si>
    <t>825220052</t>
  </si>
  <si>
    <t>825220066</t>
  </si>
  <si>
    <t>825220170</t>
  </si>
  <si>
    <t>825200094</t>
  </si>
  <si>
    <t>825220141</t>
  </si>
  <si>
    <t>825220143</t>
  </si>
  <si>
    <t>825220156</t>
  </si>
  <si>
    <t>825220172</t>
  </si>
  <si>
    <t>825220173</t>
  </si>
  <si>
    <t>535220222</t>
  </si>
  <si>
    <t>535220226</t>
  </si>
  <si>
    <t>535220231</t>
  </si>
  <si>
    <t>535220237</t>
  </si>
  <si>
    <t>535220241</t>
  </si>
  <si>
    <t>825220096</t>
  </si>
  <si>
    <t>825220070</t>
  </si>
  <si>
    <t>RUANG                 : A - R11 HARI/TANGGAL  : Senin, 16 Juni 2025</t>
  </si>
  <si>
    <r>
      <rPr>
        <sz val="11"/>
        <rFont val="Calibri"/>
        <family val="1"/>
      </rPr>
      <t>RACHELLE MARVELLA NARTO ATMODJO</t>
    </r>
  </si>
  <si>
    <r>
      <rPr>
        <sz val="11"/>
        <rFont val="Calibri"/>
        <family val="1"/>
      </rPr>
      <t>Dra. Ery Dewayani, MMSI</t>
    </r>
  </si>
  <si>
    <r>
      <rPr>
        <sz val="11"/>
        <rFont val="Calibri"/>
        <family val="1"/>
      </rPr>
      <t>JENNIFER</t>
    </r>
  </si>
  <si>
    <r>
      <rPr>
        <sz val="11"/>
        <rFont val="Calibri"/>
        <family val="1"/>
      </rPr>
      <t>JOSELIN SANDRA WIJAYA</t>
    </r>
  </si>
  <si>
    <r>
      <rPr>
        <sz val="11"/>
        <rFont val="Calibri"/>
        <family val="1"/>
      </rPr>
      <t>CLAUDYA CHRISTINE</t>
    </r>
  </si>
  <si>
    <r>
      <rPr>
        <sz val="11"/>
        <rFont val="Calibri"/>
        <family val="1"/>
      </rPr>
      <t>LAUREN KEZIA VANESSA</t>
    </r>
  </si>
  <si>
    <r>
      <rPr>
        <sz val="11"/>
        <rFont val="Calibri"/>
        <family val="1"/>
      </rPr>
      <t>MELINDA GLORIA</t>
    </r>
  </si>
  <si>
    <r>
      <rPr>
        <sz val="11"/>
        <rFont val="Calibri"/>
        <family val="1"/>
      </rPr>
      <t>DHIRA FRANCESCO</t>
    </r>
  </si>
  <si>
    <r>
      <rPr>
        <sz val="11"/>
        <rFont val="Calibri"/>
        <family val="1"/>
      </rPr>
      <t>Dr. Wasino</t>
    </r>
  </si>
  <si>
    <r>
      <rPr>
        <sz val="11"/>
        <rFont val="Calibri"/>
        <family val="1"/>
      </rPr>
      <t>SULTAN SAID ABDUL RAHIM</t>
    </r>
  </si>
  <si>
    <r>
      <rPr>
        <sz val="11"/>
        <rFont val="Calibri"/>
        <family val="1"/>
      </rPr>
      <t>GLADYS ANAWAI OHYVER</t>
    </r>
  </si>
  <si>
    <r>
      <rPr>
        <sz val="11"/>
        <rFont val="Calibri"/>
        <family val="1"/>
      </rPr>
      <t>JONATHAN FERDINAND</t>
    </r>
  </si>
  <si>
    <r>
      <rPr>
        <sz val="11"/>
        <rFont val="Calibri"/>
        <family val="1"/>
      </rPr>
      <t>JUSTIN BRUNELT LAUWDE</t>
    </r>
  </si>
  <si>
    <r>
      <rPr>
        <sz val="11"/>
        <rFont val="Calibri"/>
        <family val="1"/>
      </rPr>
      <t>IE CHEN</t>
    </r>
  </si>
  <si>
    <r>
      <rPr>
        <sz val="11"/>
        <rFont val="Calibri"/>
        <family val="1"/>
      </rPr>
      <t>VANESSA</t>
    </r>
  </si>
  <si>
    <r>
      <rPr>
        <sz val="11"/>
        <rFont val="Calibri"/>
        <family val="1"/>
      </rPr>
      <t>HANSEN CHRISTIAN LIE</t>
    </r>
  </si>
  <si>
    <r>
      <rPr>
        <sz val="11"/>
        <rFont val="Calibri"/>
        <family val="1"/>
      </rPr>
      <t>JESSICA WIDODO</t>
    </r>
  </si>
  <si>
    <r>
      <rPr>
        <sz val="11"/>
        <rFont val="Calibri"/>
        <family val="1"/>
      </rPr>
      <t>ARYO PRAYOGI</t>
    </r>
  </si>
  <si>
    <r>
      <rPr>
        <sz val="11"/>
        <rFont val="Calibri"/>
        <family val="1"/>
      </rPr>
      <t>VINCEN LEONARDY</t>
    </r>
  </si>
  <si>
    <r>
      <rPr>
        <sz val="11"/>
        <rFont val="Calibri"/>
        <family val="1"/>
      </rPr>
      <t>PHILLIP MARCHEGIANY</t>
    </r>
  </si>
  <si>
    <r>
      <rPr>
        <sz val="11"/>
        <rFont val="Calibri"/>
        <family val="1"/>
      </rPr>
      <t>NICOLAS</t>
    </r>
  </si>
  <si>
    <r>
      <rPr>
        <sz val="11"/>
        <rFont val="Calibri"/>
        <family val="1"/>
      </rPr>
      <t>RAFAEL CHRISTOPER SUHANDI</t>
    </r>
  </si>
  <si>
    <r>
      <rPr>
        <sz val="11"/>
        <rFont val="Calibri"/>
        <family val="1"/>
      </rPr>
      <t>AHMAD RORY</t>
    </r>
  </si>
  <si>
    <r>
      <rPr>
        <sz val="11"/>
        <rFont val="Calibri"/>
        <family val="1"/>
      </rPr>
      <t>LEONARDEZ FLOBERT GUNAWAN</t>
    </r>
  </si>
  <si>
    <r>
      <rPr>
        <sz val="11"/>
        <rFont val="Calibri"/>
        <family val="1"/>
      </rPr>
      <t>STEPHEN YOHANES CHRISTOPHER</t>
    </r>
  </si>
  <si>
    <r>
      <rPr>
        <sz val="11"/>
        <rFont val="Calibri"/>
        <family val="1"/>
      </rPr>
      <t>JONATHAN KENNEDY TORSANDY</t>
    </r>
  </si>
  <si>
    <r>
      <rPr>
        <sz val="11"/>
        <rFont val="Calibri"/>
        <family val="1"/>
      </rPr>
      <t>MARYANTO</t>
    </r>
  </si>
  <si>
    <r>
      <rPr>
        <sz val="11"/>
        <rFont val="Calibri"/>
        <family val="1"/>
      </rPr>
      <t>JONATAN PUTRA GUNAWAN</t>
    </r>
  </si>
  <si>
    <r>
      <rPr>
        <sz val="11"/>
        <rFont val="Calibri"/>
        <family val="1"/>
      </rPr>
      <t>DEVIN SAPUTRA WIJAYA</t>
    </r>
  </si>
  <si>
    <r>
      <rPr>
        <sz val="11"/>
        <rFont val="Calibri"/>
        <family val="1"/>
      </rPr>
      <t>JONATHAN</t>
    </r>
  </si>
  <si>
    <r>
      <rPr>
        <sz val="11"/>
        <rFont val="Calibri"/>
        <family val="1"/>
      </rPr>
      <t>GARRENT NATHANAEL</t>
    </r>
  </si>
  <si>
    <r>
      <rPr>
        <sz val="11"/>
        <rFont val="Calibri"/>
        <family val="1"/>
      </rPr>
      <t>CHELSIA CINDELERIA HERWANTO</t>
    </r>
  </si>
  <si>
    <r>
      <rPr>
        <sz val="11"/>
        <rFont val="Calibri"/>
        <family val="1"/>
      </rPr>
      <t>RAFAEL EVALDO SETIANTO</t>
    </r>
  </si>
  <si>
    <r>
      <rPr>
        <sz val="11"/>
        <rFont val="Calibri"/>
        <family val="1"/>
      </rPr>
      <t>Tony, Ph.D.</t>
    </r>
  </si>
  <si>
    <r>
      <rPr>
        <sz val="11"/>
        <rFont val="Calibri"/>
        <family val="1"/>
      </rPr>
      <t>ALEK PITER WARDOYO</t>
    </r>
  </si>
  <si>
    <r>
      <rPr>
        <sz val="11"/>
        <rFont val="Calibri"/>
        <family val="1"/>
      </rPr>
      <t>MARCHELINO BENEDIKTUS LEINTAN</t>
    </r>
  </si>
  <si>
    <r>
      <rPr>
        <sz val="11"/>
        <rFont val="Calibri"/>
        <family val="1"/>
      </rPr>
      <t>RIZKY SUGIHARTO</t>
    </r>
  </si>
  <si>
    <r>
      <rPr>
        <sz val="11"/>
        <rFont val="Calibri"/>
        <family val="1"/>
      </rPr>
      <t>RIDHWAN ARDIYANSYAH</t>
    </r>
  </si>
  <si>
    <r>
      <rPr>
        <b/>
        <sz val="12"/>
        <rFont val="Calibri"/>
        <family val="1"/>
      </rPr>
      <t>RUANG                 : A - R11 HARI/TANGGAL  : Selasa, 17 Juni 2025</t>
    </r>
  </si>
  <si>
    <r>
      <rPr>
        <sz val="11"/>
        <rFont val="Calibri"/>
        <family val="1"/>
      </rPr>
      <t>KELVYN NATHANAEL MAULANA</t>
    </r>
  </si>
  <si>
    <r>
      <rPr>
        <sz val="11"/>
        <rFont val="Calibri"/>
        <family val="1"/>
      </rPr>
      <t>Teny Handhayani, Ph.D.</t>
    </r>
  </si>
  <si>
    <r>
      <rPr>
        <sz val="11"/>
        <rFont val="Calibri"/>
        <family val="1"/>
      </rPr>
      <t>KENT DYLAN SANJAYA</t>
    </r>
  </si>
  <si>
    <r>
      <rPr>
        <sz val="11"/>
        <rFont val="Calibri"/>
        <family val="1"/>
      </rPr>
      <t>RAFEL SUTRA DHARMA</t>
    </r>
  </si>
  <si>
    <r>
      <rPr>
        <sz val="11"/>
        <rFont val="Calibri"/>
        <family val="1"/>
      </rPr>
      <t>JASON SUNARYO</t>
    </r>
  </si>
  <si>
    <r>
      <rPr>
        <sz val="11"/>
        <rFont val="Calibri"/>
        <family val="1"/>
      </rPr>
      <t>JEFFRY LINGAU</t>
    </r>
  </si>
  <si>
    <r>
      <rPr>
        <sz val="11"/>
        <rFont val="Calibri"/>
        <family val="1"/>
      </rPr>
      <t>HANS SANTOSO</t>
    </r>
  </si>
  <si>
    <r>
      <rPr>
        <sz val="11"/>
        <rFont val="Calibri"/>
        <family val="1"/>
      </rPr>
      <t>Manatap Dolok Lauro, S.Kom., M.M.S.I.</t>
    </r>
  </si>
  <si>
    <r>
      <rPr>
        <sz val="11"/>
        <rFont val="Calibri"/>
        <family val="1"/>
      </rPr>
      <t>SABRINA PHALOSA PHAI</t>
    </r>
  </si>
  <si>
    <r>
      <rPr>
        <sz val="11"/>
        <rFont val="Calibri"/>
        <family val="1"/>
      </rPr>
      <t>VALENTINO RICHARDO LIM</t>
    </r>
  </si>
  <si>
    <r>
      <rPr>
        <sz val="11"/>
        <rFont val="Calibri"/>
        <family val="1"/>
      </rPr>
      <t>JESSICA HO</t>
    </r>
  </si>
  <si>
    <r>
      <rPr>
        <sz val="11"/>
        <rFont val="Calibri"/>
        <family val="1"/>
      </rPr>
      <t>MARVIN GULTOM</t>
    </r>
  </si>
  <si>
    <r>
      <rPr>
        <sz val="11"/>
        <rFont val="Calibri"/>
        <family val="1"/>
      </rPr>
      <t>SHANNON ANDREA ©</t>
    </r>
  </si>
  <si>
    <r>
      <rPr>
        <sz val="11"/>
        <rFont val="Calibri"/>
        <family val="1"/>
      </rPr>
      <t>RAKHA NAUFAL SUJANA</t>
    </r>
  </si>
  <si>
    <r>
      <rPr>
        <sz val="11"/>
        <rFont val="Calibri"/>
        <family val="1"/>
      </rPr>
      <t>KANE PRADIPA KOMALA</t>
    </r>
  </si>
  <si>
    <r>
      <rPr>
        <sz val="11"/>
        <rFont val="Calibri"/>
        <family val="1"/>
      </rPr>
      <t>BENNY DWIYANTO</t>
    </r>
  </si>
  <si>
    <r>
      <rPr>
        <sz val="11"/>
        <rFont val="Calibri"/>
        <family val="1"/>
      </rPr>
      <t>CHRISTIAN FERNANDO</t>
    </r>
  </si>
  <si>
    <r>
      <rPr>
        <sz val="11"/>
        <rFont val="Calibri"/>
        <family val="1"/>
      </rPr>
      <t>BRYAN MEYVALDO KANGSADIPUTRA</t>
    </r>
  </si>
  <si>
    <r>
      <rPr>
        <sz val="11"/>
        <rFont val="Calibri"/>
        <family val="1"/>
      </rPr>
      <t>Viny Christanti M., M.Kom.</t>
    </r>
  </si>
  <si>
    <r>
      <rPr>
        <sz val="11"/>
        <rFont val="Calibri"/>
        <family val="1"/>
      </rPr>
      <t>NATHANAEL KENNETH LAY</t>
    </r>
  </si>
  <si>
    <r>
      <rPr>
        <sz val="11"/>
        <rFont val="Calibri"/>
        <family val="1"/>
      </rPr>
      <t>NAYAKA WANGSHA LIMPUTRA</t>
    </r>
  </si>
  <si>
    <r>
      <rPr>
        <sz val="11"/>
        <rFont val="Calibri"/>
        <family val="1"/>
      </rPr>
      <t>LEKREY JEREL JACOB LAIPIOPA</t>
    </r>
  </si>
  <si>
    <r>
      <rPr>
        <sz val="11"/>
        <rFont val="Calibri"/>
        <family val="1"/>
      </rPr>
      <t>ALDO HARTANTO DEWANTORO</t>
    </r>
  </si>
  <si>
    <r>
      <rPr>
        <sz val="11"/>
        <rFont val="Calibri"/>
        <family val="1"/>
      </rPr>
      <t>JOVANKA CESSYLIA TESALONIKA MIKHA WENAS</t>
    </r>
  </si>
  <si>
    <r>
      <rPr>
        <sz val="11"/>
        <rFont val="Calibri"/>
        <family val="1"/>
      </rPr>
      <t>Tri Sutrisno, S.Si., M.Sc.</t>
    </r>
  </si>
  <si>
    <r>
      <rPr>
        <sz val="11"/>
        <rFont val="Calibri"/>
        <family val="1"/>
      </rPr>
      <t>LUIS FERNANDO</t>
    </r>
  </si>
  <si>
    <r>
      <rPr>
        <sz val="11"/>
        <rFont val="Calibri"/>
        <family val="1"/>
      </rPr>
      <t>SHINZI ©</t>
    </r>
  </si>
  <si>
    <r>
      <rPr>
        <sz val="11"/>
        <rFont val="Calibri"/>
        <family val="1"/>
      </rPr>
      <t>BRILIONA</t>
    </r>
  </si>
  <si>
    <r>
      <rPr>
        <sz val="11"/>
        <rFont val="Calibri"/>
        <family val="1"/>
      </rPr>
      <t>WITRIATNA KOSAHI</t>
    </r>
  </si>
  <si>
    <r>
      <rPr>
        <sz val="11"/>
        <rFont val="Calibri"/>
        <family val="1"/>
      </rPr>
      <t>GREGORIUS SATRIONAN PAMUNGKAS</t>
    </r>
  </si>
  <si>
    <r>
      <rPr>
        <sz val="11"/>
        <rFont val="Calibri"/>
        <family val="1"/>
      </rPr>
      <t>RIDHWAN KAUTSAR DWI JULIANTO</t>
    </r>
  </si>
  <si>
    <r>
      <rPr>
        <sz val="11"/>
        <rFont val="Calibri"/>
        <family val="1"/>
      </rPr>
      <t>VIONA</t>
    </r>
  </si>
  <si>
    <r>
      <rPr>
        <sz val="11"/>
        <rFont val="Calibri"/>
        <family val="1"/>
      </rPr>
      <t>CARLSON JINGGA</t>
    </r>
  </si>
  <si>
    <r>
      <rPr>
        <sz val="11"/>
        <rFont val="Calibri"/>
        <family val="1"/>
      </rPr>
      <t>ARIEFAH NANDA EKA PUTRIANTI</t>
    </r>
  </si>
  <si>
    <r>
      <rPr>
        <sz val="11"/>
        <rFont val="Calibri"/>
        <family val="1"/>
      </rPr>
      <t>SUDHIVADDHANA GOEN</t>
    </r>
  </si>
  <si>
    <r>
      <rPr>
        <sz val="11"/>
        <rFont val="Calibri"/>
        <family val="1"/>
      </rPr>
      <t>JASSEN SANDRIO</t>
    </r>
  </si>
  <si>
    <r>
      <rPr>
        <sz val="11"/>
        <rFont val="Calibri"/>
        <family val="1"/>
      </rPr>
      <t>WAHYU PAMUNGKAS</t>
    </r>
  </si>
  <si>
    <r>
      <rPr>
        <sz val="11"/>
        <rFont val="Calibri"/>
        <family val="1"/>
      </rPr>
      <t>VALENTINO ALMENDO RADJAWANE</t>
    </r>
  </si>
  <si>
    <r>
      <rPr>
        <sz val="11"/>
        <rFont val="Calibri"/>
        <family val="1"/>
      </rPr>
      <t>VINCENT WIJAYA</t>
    </r>
  </si>
  <si>
    <r>
      <rPr>
        <b/>
        <sz val="12"/>
        <rFont val="Calibri"/>
        <family val="1"/>
      </rPr>
      <t>RUANG                 : B - R11 HARI/TANGGAL  : Selasa, 17 Juni 2025</t>
    </r>
  </si>
  <si>
    <r>
      <rPr>
        <sz val="11"/>
        <rFont val="Calibri"/>
        <family val="1"/>
      </rPr>
      <t>ALDHO LEONARDI</t>
    </r>
  </si>
  <si>
    <r>
      <rPr>
        <sz val="11"/>
        <rFont val="Calibri"/>
        <family val="1"/>
      </rPr>
      <t>FELICIUS EDWARD TJENDRA</t>
    </r>
  </si>
  <si>
    <r>
      <rPr>
        <sz val="11"/>
        <rFont val="Calibri"/>
        <family val="1"/>
      </rPr>
      <t>EMMANUEL GARCIA SUMARGO</t>
    </r>
  </si>
  <si>
    <r>
      <rPr>
        <sz val="11"/>
        <rFont val="Calibri"/>
        <family val="1"/>
      </rPr>
      <t>NATHANIEL ROWEN</t>
    </r>
  </si>
  <si>
    <r>
      <rPr>
        <sz val="11"/>
        <rFont val="Calibri"/>
        <family val="1"/>
      </rPr>
      <t>NICO THOMAS</t>
    </r>
  </si>
  <si>
    <r>
      <rPr>
        <sz val="11"/>
        <rFont val="Calibri"/>
        <family val="1"/>
      </rPr>
      <t>VINCENT ALEXANDER</t>
    </r>
  </si>
  <si>
    <r>
      <rPr>
        <sz val="11"/>
        <rFont val="Calibri"/>
        <family val="1"/>
      </rPr>
      <t>Dra. Chairisni Lubis, M.Kom.</t>
    </r>
  </si>
  <si>
    <r>
      <rPr>
        <sz val="11"/>
        <rFont val="Calibri"/>
        <family val="1"/>
      </rPr>
      <t>KEVIN IVANDER CHASKA</t>
    </r>
  </si>
  <si>
    <r>
      <rPr>
        <sz val="11"/>
        <rFont val="Calibri"/>
        <family val="1"/>
      </rPr>
      <t>RICKY FERNANDO JF</t>
    </r>
  </si>
  <si>
    <r>
      <rPr>
        <sz val="11"/>
        <rFont val="Calibri"/>
        <family val="1"/>
      </rPr>
      <t>NANDA GOAW PUTRA ©</t>
    </r>
  </si>
  <si>
    <r>
      <rPr>
        <sz val="11"/>
        <rFont val="Calibri"/>
        <family val="1"/>
      </rPr>
      <t>Irvan Lewenusa, S.Kom., M.Kom.</t>
    </r>
  </si>
  <si>
    <r>
      <rPr>
        <sz val="11"/>
        <rFont val="Calibri"/>
        <family val="1"/>
      </rPr>
      <t>CINDY AURELIA HARDI</t>
    </r>
  </si>
  <si>
    <r>
      <rPr>
        <sz val="11"/>
        <rFont val="Calibri"/>
        <family val="1"/>
      </rPr>
      <t>MATTHEW ALEXANDER TJAHJADI</t>
    </r>
  </si>
  <si>
    <r>
      <rPr>
        <sz val="11"/>
        <rFont val="Calibri"/>
        <family val="1"/>
      </rPr>
      <t>DAFLAH TSANY GUSRA</t>
    </r>
  </si>
  <si>
    <r>
      <rPr>
        <sz val="11"/>
        <rFont val="Calibri"/>
        <family val="1"/>
      </rPr>
      <t>RANDY GUNAWAN</t>
    </r>
  </si>
  <si>
    <r>
      <rPr>
        <sz val="11"/>
        <rFont val="Calibri"/>
        <family val="1"/>
      </rPr>
      <t>RAVELINO RADISSEY</t>
    </r>
  </si>
  <si>
    <r>
      <rPr>
        <sz val="11"/>
        <rFont val="Calibri"/>
        <family val="1"/>
      </rPr>
      <t>MERRY ULI ARTHA MANURUNG</t>
    </r>
  </si>
  <si>
    <r>
      <rPr>
        <sz val="11"/>
        <rFont val="Calibri"/>
        <family val="1"/>
      </rPr>
      <t>MILSON FELICIANO</t>
    </r>
  </si>
  <si>
    <r>
      <rPr>
        <sz val="11"/>
        <rFont val="Calibri"/>
        <family val="1"/>
      </rPr>
      <t>NATHANIEL ERVIN JAHJA</t>
    </r>
  </si>
  <si>
    <r>
      <rPr>
        <sz val="11"/>
        <rFont val="Calibri"/>
        <family val="1"/>
      </rPr>
      <t>SHAREEN STEPHANIE</t>
    </r>
  </si>
  <si>
    <r>
      <rPr>
        <sz val="11"/>
        <rFont val="Calibri"/>
        <family val="1"/>
      </rPr>
      <t>KELLY CHRISTELLA GYWEN</t>
    </r>
  </si>
  <si>
    <r>
      <rPr>
        <sz val="11"/>
        <rFont val="Calibri"/>
        <family val="1"/>
      </rPr>
      <t>YUDO ALFARISZI ©</t>
    </r>
  </si>
  <si>
    <r>
      <rPr>
        <sz val="11"/>
        <rFont val="Calibri"/>
        <family val="1"/>
      </rPr>
      <t>VALENTINO MICHAEL</t>
    </r>
  </si>
  <si>
    <r>
      <rPr>
        <sz val="11"/>
        <rFont val="Calibri"/>
        <family val="1"/>
      </rPr>
      <t>KHALLIFAH MUBARAK ARMANDO ©</t>
    </r>
  </si>
  <si>
    <r>
      <rPr>
        <sz val="11"/>
        <rFont val="Calibri"/>
        <family val="1"/>
      </rPr>
      <t>ESTERIA TIFFANY ERFROVINA TAMBUNAN</t>
    </r>
  </si>
  <si>
    <r>
      <rPr>
        <sz val="11"/>
        <rFont val="Calibri"/>
        <family val="1"/>
      </rPr>
      <t>WINNI SETIAWATI</t>
    </r>
  </si>
  <si>
    <r>
      <rPr>
        <sz val="11"/>
        <rFont val="Calibri"/>
        <family val="1"/>
      </rPr>
      <t>FEDRIK PANGESTU</t>
    </r>
  </si>
  <si>
    <r>
      <rPr>
        <sz val="11"/>
        <rFont val="Calibri"/>
        <family val="1"/>
      </rPr>
      <t>DAVE KEANE WIJAYA</t>
    </r>
  </si>
  <si>
    <r>
      <rPr>
        <sz val="11"/>
        <rFont val="Calibri"/>
        <family val="1"/>
      </rPr>
      <t>JESSEN CHAYADI</t>
    </r>
  </si>
  <si>
    <r>
      <rPr>
        <sz val="11"/>
        <rFont val="Calibri"/>
        <family val="1"/>
      </rPr>
      <t>SHEILA TANIA</t>
    </r>
  </si>
  <si>
    <r>
      <rPr>
        <sz val="11"/>
        <rFont val="Calibri"/>
        <family val="1"/>
      </rPr>
      <t>FERDINAND</t>
    </r>
  </si>
  <si>
    <r>
      <rPr>
        <sz val="11"/>
        <rFont val="Calibri"/>
        <family val="1"/>
      </rPr>
      <t>ARI WIJAYA</t>
    </r>
  </si>
  <si>
    <r>
      <rPr>
        <sz val="11"/>
        <rFont val="Calibri"/>
        <family val="1"/>
      </rPr>
      <t xml:space="preserve">Prof. Lina, Ph.D.
</t>
    </r>
    <r>
      <rPr>
        <sz val="11"/>
        <rFont val="Calibri"/>
        <family val="1"/>
      </rPr>
      <t>Jap Tji Beng, Ph.D.</t>
    </r>
  </si>
  <si>
    <r>
      <rPr>
        <b/>
        <sz val="12"/>
        <rFont val="Calibri"/>
        <family val="1"/>
      </rPr>
      <t>RUANG                 : A - R11 HARI/TANGGAL  : Rabu, 18 Juni 2025</t>
    </r>
  </si>
  <si>
    <r>
      <rPr>
        <sz val="11"/>
        <rFont val="Calibri"/>
        <family val="1"/>
      </rPr>
      <t>FASIA META SEFIRA</t>
    </r>
  </si>
  <si>
    <r>
      <rPr>
        <sz val="11"/>
        <rFont val="Calibri"/>
        <family val="1"/>
      </rPr>
      <t>TIARA ZAHRO</t>
    </r>
  </si>
  <si>
    <r>
      <rPr>
        <sz val="11"/>
        <rFont val="Calibri"/>
        <family val="1"/>
      </rPr>
      <t>MICHAEL CHAN</t>
    </r>
  </si>
  <si>
    <r>
      <rPr>
        <sz val="11"/>
        <rFont val="Calibri"/>
        <family val="1"/>
      </rPr>
      <t>VIE HUANG</t>
    </r>
  </si>
  <si>
    <r>
      <rPr>
        <sz val="11"/>
        <rFont val="Calibri"/>
        <family val="1"/>
      </rPr>
      <t>RICHARD CHRISTIAN</t>
    </r>
  </si>
  <si>
    <r>
      <rPr>
        <sz val="11"/>
        <rFont val="Calibri"/>
        <family val="1"/>
      </rPr>
      <t>MARCHELLA ANGELINA</t>
    </r>
  </si>
  <si>
    <r>
      <rPr>
        <sz val="11"/>
        <rFont val="Calibri"/>
        <family val="1"/>
      </rPr>
      <t>Dr. Wasino, S.Kom., M.Kom.</t>
    </r>
  </si>
  <si>
    <r>
      <rPr>
        <sz val="11"/>
        <rFont val="Calibri"/>
        <family val="1"/>
      </rPr>
      <t>WILLSEN YOGI PRASETIA</t>
    </r>
  </si>
  <si>
    <r>
      <rPr>
        <sz val="11"/>
        <rFont val="Calibri"/>
        <family val="1"/>
      </rPr>
      <t>JUSTIN SALIM</t>
    </r>
  </si>
  <si>
    <r>
      <rPr>
        <sz val="11"/>
        <rFont val="Calibri"/>
        <family val="1"/>
      </rPr>
      <t>SEAN HENRY WIJAYA</t>
    </r>
  </si>
  <si>
    <r>
      <rPr>
        <sz val="11"/>
        <rFont val="Calibri"/>
        <family val="1"/>
      </rPr>
      <t>WIDYA KHAERUNNISYAH</t>
    </r>
  </si>
  <si>
    <r>
      <rPr>
        <sz val="11"/>
        <rFont val="Calibri"/>
        <family val="1"/>
      </rPr>
      <t>BINTANG NOVIANSYAH SYAMSU</t>
    </r>
  </si>
  <si>
    <r>
      <rPr>
        <sz val="11"/>
        <rFont val="Calibri"/>
        <family val="1"/>
      </rPr>
      <t>Lely Hiryanto, Ph.D.</t>
    </r>
  </si>
  <si>
    <r>
      <rPr>
        <sz val="11"/>
        <rFont val="Calibri"/>
        <family val="1"/>
      </rPr>
      <t>THIRZA JUAN HALIM</t>
    </r>
  </si>
  <si>
    <r>
      <rPr>
        <sz val="11"/>
        <rFont val="Calibri"/>
        <family val="1"/>
      </rPr>
      <t>HANA FATHIYAH SALSABILA</t>
    </r>
  </si>
  <si>
    <r>
      <rPr>
        <sz val="11"/>
        <rFont val="Calibri"/>
        <family val="1"/>
      </rPr>
      <t>JAVIER GUSTVIN</t>
    </r>
  </si>
  <si>
    <r>
      <rPr>
        <sz val="11"/>
        <rFont val="Calibri"/>
        <family val="1"/>
      </rPr>
      <t>SURYA DHARMA KANG ©</t>
    </r>
  </si>
  <si>
    <r>
      <rPr>
        <sz val="11"/>
        <rFont val="Calibri"/>
        <family val="1"/>
      </rPr>
      <t>SASKIA LAVINSKY</t>
    </r>
  </si>
  <si>
    <r>
      <rPr>
        <sz val="11"/>
        <rFont val="Calibri"/>
        <family val="1"/>
      </rPr>
      <t>FADHEL PUTRA FELMI</t>
    </r>
  </si>
  <si>
    <r>
      <rPr>
        <sz val="11"/>
        <rFont val="Calibri"/>
        <family val="1"/>
      </rPr>
      <t>KENNETH MARLON TAN</t>
    </r>
  </si>
  <si>
    <r>
      <rPr>
        <sz val="11"/>
        <rFont val="Calibri"/>
        <family val="1"/>
      </rPr>
      <t>JHONATAN MARIKROS</t>
    </r>
  </si>
  <si>
    <r>
      <rPr>
        <sz val="11"/>
        <rFont val="Calibri"/>
        <family val="1"/>
      </rPr>
      <t>MUHAMMAD RAFFI HERMAWAN</t>
    </r>
  </si>
  <si>
    <r>
      <rPr>
        <b/>
        <sz val="12"/>
        <rFont val="Calibri"/>
        <family val="1"/>
      </rPr>
      <t>RUANG                 : B - R11 HARI/TANGGAL  : Rabu, 18 Juni 2025</t>
    </r>
  </si>
  <si>
    <r>
      <rPr>
        <sz val="11"/>
        <rFont val="Calibri"/>
        <family val="1"/>
      </rPr>
      <t>FU ANDRY PUTRA</t>
    </r>
  </si>
  <si>
    <r>
      <rPr>
        <sz val="11"/>
        <rFont val="Calibri"/>
        <family val="1"/>
      </rPr>
      <t>Ir. Jeanny Pragantha, M.Eng.</t>
    </r>
  </si>
  <si>
    <r>
      <rPr>
        <sz val="11"/>
        <rFont val="Calibri"/>
        <family val="1"/>
      </rPr>
      <t>HENOKH MIKHAEL KRISTIANTAN</t>
    </r>
  </si>
  <si>
    <r>
      <rPr>
        <sz val="11"/>
        <rFont val="Calibri"/>
        <family val="1"/>
      </rPr>
      <t>AMOS VALENTINO NABABAN ©</t>
    </r>
  </si>
  <si>
    <r>
      <rPr>
        <sz val="11"/>
        <rFont val="Calibri"/>
        <family val="1"/>
      </rPr>
      <t>DANIEL HARTONO HONORIS</t>
    </r>
  </si>
  <si>
    <r>
      <rPr>
        <sz val="11"/>
        <rFont val="Calibri"/>
        <family val="1"/>
      </rPr>
      <t>RICKY CANGNIAGO</t>
    </r>
  </si>
  <si>
    <r>
      <rPr>
        <sz val="11"/>
        <rFont val="Calibri"/>
        <family val="1"/>
      </rPr>
      <t>AURELLIUS JEREMIAH THOMAS</t>
    </r>
  </si>
  <si>
    <r>
      <rPr>
        <sz val="11"/>
        <rFont val="Calibri"/>
        <family val="1"/>
      </rPr>
      <t>YOGA RAMADHANI KABAKORA</t>
    </r>
  </si>
  <si>
    <r>
      <rPr>
        <sz val="11"/>
        <rFont val="Calibri"/>
        <family val="1"/>
      </rPr>
      <t>ERIKO LEVINO SASMITRA</t>
    </r>
  </si>
  <si>
    <r>
      <rPr>
        <sz val="11"/>
        <rFont val="Calibri"/>
        <family val="1"/>
      </rPr>
      <t>IVANDER</t>
    </r>
  </si>
  <si>
    <r>
      <rPr>
        <sz val="11"/>
        <rFont val="Calibri"/>
        <family val="1"/>
      </rPr>
      <t>HANSON NICHOLAS</t>
    </r>
  </si>
  <si>
    <r>
      <rPr>
        <sz val="11"/>
        <rFont val="Calibri"/>
        <family val="1"/>
      </rPr>
      <t>NELSON</t>
    </r>
  </si>
  <si>
    <r>
      <rPr>
        <sz val="11"/>
        <rFont val="Calibri"/>
        <family val="1"/>
      </rPr>
      <t>Darius Andana Haris, S.Kom., M.T.I.</t>
    </r>
  </si>
  <si>
    <r>
      <rPr>
        <sz val="11"/>
        <rFont val="Calibri"/>
        <family val="1"/>
      </rPr>
      <t>OLIVIA CLARABELLA KHOTIERA</t>
    </r>
  </si>
  <si>
    <r>
      <rPr>
        <sz val="11"/>
        <rFont val="Calibri"/>
        <family val="1"/>
      </rPr>
      <t>ELSIE</t>
    </r>
  </si>
  <si>
    <r>
      <rPr>
        <sz val="11"/>
        <rFont val="Calibri"/>
        <family val="1"/>
      </rPr>
      <t>ASRUL ALIF FATIHAH</t>
    </r>
  </si>
  <si>
    <r>
      <rPr>
        <sz val="11"/>
        <rFont val="Calibri"/>
        <family val="1"/>
      </rPr>
      <t>GEORGE WEILIS JUNIOR ©</t>
    </r>
  </si>
  <si>
    <r>
      <rPr>
        <sz val="11"/>
        <rFont val="Calibri"/>
        <family val="1"/>
      </rPr>
      <t>JAFIER ANDREAS</t>
    </r>
  </si>
  <si>
    <r>
      <rPr>
        <sz val="11"/>
        <rFont val="Calibri"/>
        <family val="1"/>
      </rPr>
      <t>RUBEN SETIAJI</t>
    </r>
  </si>
  <si>
    <r>
      <rPr>
        <sz val="11"/>
        <rFont val="Calibri"/>
        <family val="1"/>
      </rPr>
      <t>MARCIA YANPRINCESSA UTAMA</t>
    </r>
  </si>
  <si>
    <r>
      <rPr>
        <sz val="11"/>
        <rFont val="Calibri"/>
        <family val="1"/>
      </rPr>
      <t>VINCENT CALISTA</t>
    </r>
  </si>
  <si>
    <r>
      <rPr>
        <sz val="11"/>
        <rFont val="Calibri"/>
        <family val="1"/>
      </rPr>
      <t>GEORGE WIELIANTO</t>
    </r>
  </si>
  <si>
    <r>
      <rPr>
        <b/>
        <sz val="12"/>
        <rFont val="Calibri"/>
        <family val="1"/>
      </rPr>
      <t>RUANG                 : C - R11 HARI/TANGGAL  : Rabu, 18 Juni 2025</t>
    </r>
  </si>
  <si>
    <r>
      <rPr>
        <sz val="11"/>
        <rFont val="Calibri"/>
        <family val="1"/>
      </rPr>
      <t>GRACE TRIFOSA SAGALA</t>
    </r>
  </si>
  <si>
    <r>
      <rPr>
        <sz val="11"/>
        <color rgb="FFFF0000"/>
        <rFont val="Calibri"/>
        <family val="1"/>
      </rPr>
      <t>Lely Hiryanto, Ph.D.</t>
    </r>
  </si>
  <si>
    <r>
      <rPr>
        <sz val="11"/>
        <rFont val="Calibri"/>
        <family val="1"/>
      </rPr>
      <t>PUTRI DEWI ZABITA</t>
    </r>
  </si>
  <si>
    <r>
      <rPr>
        <sz val="11"/>
        <rFont val="Calibri"/>
        <family val="1"/>
      </rPr>
      <t>ANDREAN PUTRA OSMAN</t>
    </r>
  </si>
  <si>
    <r>
      <rPr>
        <sz val="11"/>
        <rFont val="Calibri"/>
        <family val="1"/>
      </rPr>
      <t>MARCO HADISURYA</t>
    </r>
  </si>
  <si>
    <r>
      <rPr>
        <sz val="11"/>
        <rFont val="Calibri"/>
        <family val="1"/>
      </rPr>
      <t>MILLY MILLAGROS</t>
    </r>
  </si>
  <si>
    <r>
      <rPr>
        <sz val="11"/>
        <rFont val="Calibri"/>
        <family val="1"/>
      </rPr>
      <t>CINDY ANGELLINE</t>
    </r>
  </si>
  <si>
    <r>
      <rPr>
        <sz val="11"/>
        <rFont val="Calibri"/>
        <family val="1"/>
      </rPr>
      <t>MICHAEL</t>
    </r>
  </si>
  <si>
    <r>
      <rPr>
        <sz val="11"/>
        <rFont val="Calibri"/>
        <family val="1"/>
      </rPr>
      <t>JOSHUA MARVIN</t>
    </r>
  </si>
  <si>
    <r>
      <rPr>
        <sz val="11"/>
        <rFont val="Calibri"/>
        <family val="1"/>
      </rPr>
      <t>AURELIA PANGESTU</t>
    </r>
  </si>
  <si>
    <r>
      <rPr>
        <sz val="11"/>
        <rFont val="Calibri"/>
        <family val="1"/>
      </rPr>
      <t>SAOLOAN NATAN YOEL SILALAHI</t>
    </r>
  </si>
  <si>
    <r>
      <rPr>
        <sz val="11"/>
        <rFont val="Calibri"/>
        <family val="1"/>
      </rPr>
      <t>DIMAS PRATAMA MARCEL</t>
    </r>
  </si>
  <si>
    <r>
      <rPr>
        <sz val="11"/>
        <rFont val="Calibri"/>
        <family val="1"/>
      </rPr>
      <t>MIGUEL FLORENSIUS SUSANTO</t>
    </r>
  </si>
  <si>
    <r>
      <rPr>
        <sz val="11"/>
        <rFont val="Calibri"/>
        <family val="1"/>
      </rPr>
      <t>RADEN RORY SOLOMON REKSOHADINOTO ©</t>
    </r>
  </si>
  <si>
    <r>
      <rPr>
        <sz val="11"/>
        <rFont val="Calibri"/>
        <family val="1"/>
      </rPr>
      <t>GABRIELLA IGNATIA</t>
    </r>
  </si>
  <si>
    <r>
      <rPr>
        <sz val="11"/>
        <rFont val="Calibri"/>
        <family val="1"/>
      </rPr>
      <t>ARETHUSA RAYHAN SUBRATA</t>
    </r>
  </si>
  <si>
    <r>
      <rPr>
        <sz val="11"/>
        <rFont val="Calibri"/>
        <family val="1"/>
      </rPr>
      <t>NOVANDRY APRILIAN</t>
    </r>
  </si>
  <si>
    <r>
      <rPr>
        <sz val="11"/>
        <rFont val="Calibri"/>
        <family val="1"/>
      </rPr>
      <t>RUDI HARTARTO</t>
    </r>
  </si>
  <si>
    <r>
      <rPr>
        <sz val="11"/>
        <rFont val="Calibri"/>
        <family val="1"/>
      </rPr>
      <t>REYNALDO</t>
    </r>
  </si>
  <si>
    <r>
      <rPr>
        <sz val="11"/>
        <rFont val="Calibri"/>
        <family val="1"/>
      </rPr>
      <t>GILANG SAMUDRO SUWARJONO</t>
    </r>
  </si>
  <si>
    <r>
      <rPr>
        <sz val="11"/>
        <rFont val="Calibri"/>
        <family val="1"/>
      </rPr>
      <t>CHERYL NATHANIA</t>
    </r>
  </si>
  <si>
    <r>
      <rPr>
        <b/>
        <sz val="12"/>
        <rFont val="Calibri"/>
        <family val="1"/>
      </rPr>
      <t>RUANG                 : A - R11 HARI/TANGGAL  : Kamis, 19 Juni 2025</t>
    </r>
  </si>
  <si>
    <r>
      <rPr>
        <sz val="11"/>
        <rFont val="Calibri"/>
        <family val="1"/>
      </rPr>
      <t>MUHAMMAD SYAUQI RASYID</t>
    </r>
  </si>
  <si>
    <r>
      <rPr>
        <sz val="11"/>
        <rFont val="Calibri"/>
        <family val="1"/>
      </rPr>
      <t>RAFFI CAHYA TRIAPUTRA YASIN</t>
    </r>
  </si>
  <si>
    <r>
      <rPr>
        <sz val="11"/>
        <rFont val="Calibri"/>
        <family val="1"/>
      </rPr>
      <t>JONATHAN SETIAWAN</t>
    </r>
  </si>
  <si>
    <r>
      <rPr>
        <sz val="11"/>
        <rFont val="Calibri"/>
        <family val="1"/>
      </rPr>
      <t>CHRISTOPHER TITAN</t>
    </r>
  </si>
  <si>
    <r>
      <rPr>
        <sz val="11"/>
        <rFont val="Calibri"/>
        <family val="1"/>
      </rPr>
      <t>BENAYA JUANDA</t>
    </r>
  </si>
  <si>
    <r>
      <rPr>
        <sz val="11"/>
        <rFont val="Calibri"/>
        <family val="1"/>
      </rPr>
      <t>MARCELL BUDIMAN ©</t>
    </r>
  </si>
  <si>
    <r>
      <rPr>
        <sz val="11"/>
        <rFont val="Calibri"/>
        <family val="1"/>
      </rPr>
      <t>GUSTIAN ROSADI</t>
    </r>
  </si>
  <si>
    <r>
      <rPr>
        <sz val="11"/>
        <rFont val="Calibri"/>
        <family val="1"/>
      </rPr>
      <t>VEREN THIOVANDA</t>
    </r>
  </si>
  <si>
    <r>
      <rPr>
        <sz val="11"/>
        <rFont val="Calibri"/>
        <family val="1"/>
      </rPr>
      <t>VALENTINO</t>
    </r>
  </si>
  <si>
    <r>
      <rPr>
        <sz val="11"/>
        <rFont val="Calibri"/>
        <family val="1"/>
      </rPr>
      <t>VALENCIA</t>
    </r>
  </si>
  <si>
    <r>
      <rPr>
        <sz val="11"/>
        <rFont val="Calibri"/>
        <family val="1"/>
      </rPr>
      <t>NICO SUWANTO ©</t>
    </r>
  </si>
  <si>
    <r>
      <rPr>
        <sz val="11"/>
        <rFont val="Calibri"/>
        <family val="1"/>
      </rPr>
      <t>JONATHAN LUCAS PAKPAHAN</t>
    </r>
  </si>
  <si>
    <r>
      <rPr>
        <sz val="11"/>
        <rFont val="Calibri"/>
        <family val="1"/>
      </rPr>
      <t>GRASYA B LAMPALA L MUNTHE</t>
    </r>
  </si>
  <si>
    <r>
      <rPr>
        <sz val="11"/>
        <rFont val="Calibri"/>
        <family val="1"/>
      </rPr>
      <t>GRACE APRILIANI PUTERI SANTOSO</t>
    </r>
  </si>
  <si>
    <r>
      <rPr>
        <sz val="11"/>
        <rFont val="Calibri"/>
        <family val="1"/>
      </rPr>
      <t>DEA AULIYA RAHMAWATI</t>
    </r>
  </si>
  <si>
    <r>
      <rPr>
        <sz val="11"/>
        <rFont val="Calibri"/>
        <family val="1"/>
      </rPr>
      <t>MUHAMMAD DAFFA AL HAKIM</t>
    </r>
  </si>
  <si>
    <r>
      <rPr>
        <sz val="11"/>
        <rFont val="Calibri"/>
        <family val="1"/>
      </rPr>
      <t>PAMELA METTA OKTAVIANA</t>
    </r>
  </si>
  <si>
    <r>
      <rPr>
        <sz val="11"/>
        <rFont val="Calibri"/>
        <family val="1"/>
      </rPr>
      <t>MICHAEL TRISTAN PRAMONO</t>
    </r>
  </si>
  <si>
    <r>
      <rPr>
        <sz val="11"/>
        <rFont val="Calibri"/>
        <family val="1"/>
      </rPr>
      <t>RAFAEL DAVRIO SUTHYA</t>
    </r>
  </si>
  <si>
    <r>
      <rPr>
        <sz val="11"/>
        <rFont val="Calibri"/>
        <family val="1"/>
      </rPr>
      <t>JOHANES NICHOLAS VIERY</t>
    </r>
  </si>
  <si>
    <r>
      <rPr>
        <sz val="11"/>
        <rFont val="Calibri"/>
        <family val="1"/>
      </rPr>
      <t>JASON PERMANA</t>
    </r>
  </si>
  <si>
    <r>
      <rPr>
        <sz val="11"/>
        <rFont val="Calibri"/>
        <family val="1"/>
      </rPr>
      <t>ARYA WIRA KRISTANTO</t>
    </r>
  </si>
  <si>
    <r>
      <rPr>
        <sz val="11"/>
        <rFont val="Calibri"/>
        <family val="1"/>
      </rPr>
      <t>NICHOLAS MARTIN</t>
    </r>
  </si>
  <si>
    <r>
      <rPr>
        <sz val="11"/>
        <rFont val="Calibri"/>
        <family val="1"/>
      </rPr>
      <t>FINNIA LI</t>
    </r>
  </si>
  <si>
    <r>
      <rPr>
        <sz val="11"/>
        <rFont val="Calibri"/>
        <family val="1"/>
      </rPr>
      <t>KEVIN JONATHAN JM</t>
    </r>
  </si>
  <si>
    <r>
      <rPr>
        <sz val="11"/>
        <rFont val="Calibri"/>
        <family val="1"/>
      </rPr>
      <t>STEVAN LUKAS SIAHAAN</t>
    </r>
  </si>
  <si>
    <r>
      <rPr>
        <sz val="11"/>
        <rFont val="Calibri"/>
        <family val="1"/>
      </rPr>
      <t>ALBERT</t>
    </r>
  </si>
  <si>
    <r>
      <rPr>
        <sz val="11"/>
        <rFont val="Calibri"/>
        <family val="1"/>
      </rPr>
      <t>RANDY CENSON</t>
    </r>
  </si>
  <si>
    <r>
      <rPr>
        <sz val="11"/>
        <rFont val="Calibri"/>
        <family val="1"/>
      </rPr>
      <t>JASON WIEDARDI LIMTARA</t>
    </r>
  </si>
  <si>
    <r>
      <rPr>
        <sz val="11"/>
        <rFont val="Calibri"/>
        <family val="1"/>
      </rPr>
      <t>JASON CHAINARA PUTRA</t>
    </r>
  </si>
  <si>
    <r>
      <rPr>
        <sz val="11"/>
        <rFont val="Calibri"/>
        <family val="1"/>
      </rPr>
      <t>RICHARD VINCENTIUS</t>
    </r>
  </si>
  <si>
    <r>
      <rPr>
        <sz val="11"/>
        <rFont val="Calibri"/>
        <family val="1"/>
      </rPr>
      <t>KEVIN NATANAEL ©</t>
    </r>
  </si>
  <si>
    <r>
      <rPr>
        <sz val="11"/>
        <rFont val="Calibri"/>
        <family val="1"/>
      </rPr>
      <t>DHIO SAMUDRA</t>
    </r>
  </si>
  <si>
    <r>
      <rPr>
        <sz val="11"/>
        <rFont val="Calibri"/>
        <family val="1"/>
      </rPr>
      <t>PUSPA INDAH</t>
    </r>
  </si>
  <si>
    <r>
      <rPr>
        <sz val="11"/>
        <rFont val="Calibri"/>
        <family val="1"/>
      </rPr>
      <t>HANSEN PRATAMA</t>
    </r>
  </si>
  <si>
    <r>
      <rPr>
        <sz val="11"/>
        <rFont val="Calibri"/>
        <family val="1"/>
      </rPr>
      <t>Prof. Dr. Dyah Erny Herwindiati</t>
    </r>
  </si>
  <si>
    <r>
      <rPr>
        <sz val="11"/>
        <rFont val="Calibri"/>
        <family val="1"/>
      </rPr>
      <t>RAFAEL RASHEL RUNTU</t>
    </r>
  </si>
  <si>
    <r>
      <rPr>
        <sz val="11"/>
        <color rgb="FFFF0000"/>
        <rFont val="Calibri"/>
        <family val="1"/>
      </rPr>
      <t>Tony, Ph.D.</t>
    </r>
  </si>
  <si>
    <r>
      <rPr>
        <sz val="11"/>
        <rFont val="Calibri"/>
        <family val="1"/>
      </rPr>
      <t>GABRIELLA ADELINE HALIM</t>
    </r>
  </si>
  <si>
    <r>
      <rPr>
        <sz val="11"/>
        <rFont val="Calibri"/>
        <family val="1"/>
      </rPr>
      <t>GRACE CAKRA</t>
    </r>
  </si>
  <si>
    <r>
      <rPr>
        <sz val="11"/>
        <rFont val="Calibri"/>
        <family val="1"/>
      </rPr>
      <t>ALIF FAZJRUL CAESAR IFMAINI ©</t>
    </r>
  </si>
  <si>
    <r>
      <rPr>
        <sz val="11"/>
        <rFont val="Calibri"/>
        <family val="1"/>
      </rPr>
      <t>MUHAMAD AKBAR MAULANA</t>
    </r>
  </si>
  <si>
    <r>
      <rPr>
        <sz val="11"/>
        <rFont val="Calibri"/>
        <family val="1"/>
      </rPr>
      <t>KALIS JOVIAL TELAUMBANUA</t>
    </r>
  </si>
  <si>
    <r>
      <rPr>
        <sz val="11"/>
        <rFont val="Calibri"/>
        <family val="1"/>
      </rPr>
      <t>RENSHI YEHEZKIEL</t>
    </r>
  </si>
  <si>
    <r>
      <rPr>
        <sz val="11"/>
        <rFont val="Calibri"/>
        <family val="1"/>
      </rPr>
      <t>CARISHA PUSPA GOZALI</t>
    </r>
  </si>
  <si>
    <r>
      <rPr>
        <sz val="11"/>
        <rFont val="Calibri"/>
        <family val="1"/>
      </rPr>
      <t>RYAN SATRIA</t>
    </r>
  </si>
  <si>
    <r>
      <rPr>
        <sz val="11"/>
        <rFont val="Calibri"/>
        <family val="1"/>
      </rPr>
      <t>ADANG IRAWAN</t>
    </r>
  </si>
  <si>
    <r>
      <rPr>
        <sz val="11"/>
        <rFont val="Calibri"/>
        <family val="1"/>
      </rPr>
      <t>TIGA WIRA PRASIDYA</t>
    </r>
  </si>
  <si>
    <r>
      <rPr>
        <sz val="11"/>
        <rFont val="Calibri"/>
        <family val="1"/>
      </rPr>
      <t>Novario J. Perdana, M.T.</t>
    </r>
  </si>
  <si>
    <r>
      <rPr>
        <sz val="11"/>
        <rFont val="Calibri"/>
        <family val="1"/>
      </rPr>
      <t>STEVEN LUCIO AUSTEN</t>
    </r>
  </si>
  <si>
    <r>
      <rPr>
        <sz val="11"/>
        <rFont val="Calibri"/>
        <family val="1"/>
      </rPr>
      <t>KENAZ REISHA</t>
    </r>
  </si>
  <si>
    <r>
      <rPr>
        <sz val="11"/>
        <rFont val="Calibri"/>
        <family val="1"/>
      </rPr>
      <t>VINCENTIUS</t>
    </r>
  </si>
  <si>
    <r>
      <rPr>
        <sz val="11"/>
        <rFont val="Calibri"/>
        <family val="1"/>
      </rPr>
      <t>CECILLIA CHUNG ©</t>
    </r>
  </si>
  <si>
    <r>
      <rPr>
        <sz val="11"/>
        <rFont val="Calibri"/>
        <family val="1"/>
      </rPr>
      <t>KEVIN SUSANTO DHARMAWAN</t>
    </r>
  </si>
  <si>
    <r>
      <rPr>
        <sz val="11"/>
        <rFont val="Calibri"/>
        <family val="1"/>
      </rPr>
      <t>DIMAS SAPUTRA</t>
    </r>
  </si>
  <si>
    <r>
      <rPr>
        <sz val="11"/>
        <rFont val="Calibri"/>
        <family val="1"/>
      </rPr>
      <t>FARHAN ADHI WIDIARSONO</t>
    </r>
  </si>
  <si>
    <r>
      <rPr>
        <sz val="11"/>
        <rFont val="Calibri"/>
        <family val="1"/>
      </rPr>
      <t>MUHAMMAD HAFIZH MULYANSYAH</t>
    </r>
  </si>
  <si>
    <r>
      <rPr>
        <sz val="11"/>
        <rFont val="Calibri"/>
        <family val="1"/>
      </rPr>
      <t>DIO FATURAMDANI</t>
    </r>
  </si>
  <si>
    <r>
      <rPr>
        <sz val="11"/>
        <rFont val="Calibri"/>
        <family val="1"/>
      </rPr>
      <t>GULIELMUS JASON</t>
    </r>
  </si>
  <si>
    <r>
      <rPr>
        <sz val="11"/>
        <rFont val="Calibri"/>
        <family val="1"/>
      </rPr>
      <t>RICHWILL RONALDY</t>
    </r>
  </si>
  <si>
    <r>
      <rPr>
        <sz val="11"/>
        <rFont val="Calibri"/>
        <family val="1"/>
      </rPr>
      <t>DELON CHRISTOPHER TANDY</t>
    </r>
  </si>
  <si>
    <r>
      <rPr>
        <sz val="11"/>
        <rFont val="Calibri"/>
        <family val="1"/>
      </rPr>
      <t>ONGGO JULIUS SIDDHARTA</t>
    </r>
  </si>
  <si>
    <r>
      <rPr>
        <sz val="11"/>
        <rFont val="Calibri"/>
        <family val="1"/>
      </rPr>
      <t>JASON TERRENCE</t>
    </r>
  </si>
  <si>
    <r>
      <rPr>
        <sz val="11"/>
        <rFont val="Calibri"/>
        <family val="1"/>
      </rPr>
      <t>ANDRES MALVIN JIU ©</t>
    </r>
  </si>
  <si>
    <r>
      <rPr>
        <sz val="11"/>
        <rFont val="Calibri"/>
        <family val="1"/>
      </rPr>
      <t>Dr. Dedi Trisnawarman, S.Si., M.Kom.</t>
    </r>
  </si>
  <si>
    <r>
      <rPr>
        <sz val="11"/>
        <rFont val="Calibri"/>
        <family val="1"/>
      </rPr>
      <t>DAVID HARIADI</t>
    </r>
  </si>
  <si>
    <r>
      <rPr>
        <sz val="11"/>
        <rFont val="Calibri"/>
        <family val="1"/>
      </rPr>
      <t>MALVIN ALFREDO</t>
    </r>
  </si>
  <si>
    <r>
      <rPr>
        <sz val="11"/>
        <rFont val="Calibri"/>
        <family val="1"/>
      </rPr>
      <t>FABIO SANTOSO</t>
    </r>
  </si>
  <si>
    <r>
      <rPr>
        <sz val="11"/>
        <rFont val="Calibri"/>
        <family val="1"/>
      </rPr>
      <t>FEDRIKO ARTYA RUVI</t>
    </r>
  </si>
  <si>
    <r>
      <rPr>
        <sz val="11"/>
        <rFont val="Calibri"/>
        <family val="1"/>
      </rPr>
      <t>JASON SUTANTO</t>
    </r>
  </si>
  <si>
    <r>
      <rPr>
        <sz val="11"/>
        <rFont val="Calibri"/>
        <family val="1"/>
      </rPr>
      <t>GREGORIO MELVIN KARNIKOV</t>
    </r>
  </si>
  <si>
    <r>
      <rPr>
        <sz val="11"/>
        <rFont val="Calibri"/>
        <family val="1"/>
      </rPr>
      <t>FIGO VINCENZO</t>
    </r>
  </si>
  <si>
    <r>
      <rPr>
        <sz val="11"/>
        <rFont val="Calibri"/>
        <family val="1"/>
      </rPr>
      <t>DEVANSKA UZIELTAMA MARDANUS</t>
    </r>
  </si>
  <si>
    <r>
      <rPr>
        <sz val="11"/>
        <rFont val="Calibri"/>
        <family val="1"/>
      </rPr>
      <t>STEVEN</t>
    </r>
  </si>
  <si>
    <r>
      <rPr>
        <sz val="11"/>
        <rFont val="Calibri"/>
        <family val="1"/>
      </rPr>
      <t>LOUIS FRANCIS TALI</t>
    </r>
  </si>
  <si>
    <r>
      <rPr>
        <sz val="11"/>
        <rFont val="Calibri"/>
        <family val="1"/>
      </rPr>
      <t>CHRISTINA ANGELICA</t>
    </r>
  </si>
  <si>
    <r>
      <rPr>
        <sz val="11"/>
        <rFont val="Calibri"/>
        <family val="1"/>
      </rPr>
      <t>KHANIA LUIZA CAHYA TULUSWATI</t>
    </r>
  </si>
  <si>
    <r>
      <rPr>
        <sz val="11"/>
        <rFont val="Calibri"/>
        <family val="1"/>
      </rPr>
      <t>ZICHO OCTOZEUS TAN</t>
    </r>
  </si>
  <si>
    <r>
      <rPr>
        <sz val="11"/>
        <rFont val="Calibri"/>
        <family val="1"/>
      </rPr>
      <t>ANTHONY BERNARD</t>
    </r>
  </si>
  <si>
    <r>
      <rPr>
        <sz val="11"/>
        <rFont val="Calibri"/>
        <family val="1"/>
      </rPr>
      <t>HEZEKIAH IVANDI</t>
    </r>
  </si>
  <si>
    <r>
      <rPr>
        <sz val="11"/>
        <rFont val="Calibri"/>
        <family val="1"/>
      </rPr>
      <t>TANJAYA JASON WINATA</t>
    </r>
  </si>
  <si>
    <r>
      <rPr>
        <sz val="11"/>
        <rFont val="Calibri"/>
        <family val="1"/>
      </rPr>
      <t>RUBEN TOBIA CHAIYADI</t>
    </r>
  </si>
  <si>
    <r>
      <rPr>
        <sz val="11"/>
        <rFont val="Calibri"/>
        <family val="1"/>
      </rPr>
      <t>STEFANUS ANTHONY HARRY</t>
    </r>
  </si>
  <si>
    <r>
      <rPr>
        <sz val="11"/>
        <rFont val="Calibri"/>
        <family val="1"/>
      </rPr>
      <t>VALEROY PUTRA SIENTIKA ©</t>
    </r>
  </si>
  <si>
    <r>
      <rPr>
        <sz val="11"/>
        <rFont val="Calibri"/>
        <family val="1"/>
      </rPr>
      <t>FELIX FERDINAND</t>
    </r>
  </si>
  <si>
    <r>
      <rPr>
        <sz val="11"/>
        <rFont val="Calibri"/>
        <family val="1"/>
      </rPr>
      <t>TIGO ILHAMI FASYAH</t>
    </r>
  </si>
  <si>
    <r>
      <rPr>
        <sz val="11"/>
        <rFont val="Calibri"/>
        <family val="1"/>
      </rPr>
      <t>CARIN GUNAWAN</t>
    </r>
  </si>
  <si>
    <r>
      <rPr>
        <sz val="11"/>
        <rFont val="Calibri"/>
        <family val="1"/>
      </rPr>
      <t>STEVEN FLIANTO ©</t>
    </r>
  </si>
  <si>
    <r>
      <rPr>
        <sz val="11"/>
        <rFont val="Calibri"/>
        <family val="1"/>
      </rPr>
      <t>FRANSISKUS DHARMA HADI WIJAYA</t>
    </r>
  </si>
  <si>
    <r>
      <rPr>
        <sz val="11"/>
        <rFont val="Calibri"/>
        <family val="1"/>
      </rPr>
      <t>ANGELINE SHEVENIA</t>
    </r>
  </si>
  <si>
    <r>
      <rPr>
        <sz val="11"/>
        <rFont val="Calibri"/>
        <family val="1"/>
      </rPr>
      <t>LEVINA GRACE EVANGELINE</t>
    </r>
  </si>
  <si>
    <r>
      <rPr>
        <sz val="11"/>
        <rFont val="Calibri"/>
        <family val="1"/>
      </rPr>
      <t>RAYNALDO GRACIA BUNTORO</t>
    </r>
  </si>
  <si>
    <r>
      <rPr>
        <sz val="11"/>
        <rFont val="Calibri"/>
        <family val="1"/>
      </rPr>
      <t>CHRISTABELLA JOCELYNNE CHANDRA</t>
    </r>
  </si>
  <si>
    <r>
      <rPr>
        <sz val="11"/>
        <rFont val="Calibri"/>
        <family val="1"/>
      </rPr>
      <t>ANGELA CHOW</t>
    </r>
  </si>
  <si>
    <r>
      <rPr>
        <b/>
        <sz val="12"/>
        <rFont val="Calibri"/>
        <family val="1"/>
      </rPr>
      <t>RUANG                 : A - R11 HARI/TANGGAL  : Rabu, 25 Juni 2025</t>
    </r>
  </si>
  <si>
    <r>
      <rPr>
        <sz val="11"/>
        <rFont val="Calibri"/>
        <family val="1"/>
      </rPr>
      <t>MARCELLINO FREDERICK WIJAYA</t>
    </r>
  </si>
  <si>
    <r>
      <rPr>
        <sz val="11"/>
        <rFont val="Calibri"/>
        <family val="1"/>
      </rPr>
      <t>MARCELLINUS ANTHONY</t>
    </r>
  </si>
  <si>
    <r>
      <rPr>
        <sz val="11"/>
        <rFont val="Calibri"/>
        <family val="1"/>
      </rPr>
      <t>YANSEN</t>
    </r>
  </si>
  <si>
    <r>
      <rPr>
        <sz val="11"/>
        <rFont val="Calibri"/>
        <family val="1"/>
      </rPr>
      <t>WILSON FELIANO JUSEL</t>
    </r>
  </si>
  <si>
    <r>
      <rPr>
        <sz val="11"/>
        <rFont val="Calibri"/>
        <family val="1"/>
      </rPr>
      <t>VINCENT</t>
    </r>
  </si>
  <si>
    <r>
      <rPr>
        <sz val="11"/>
        <rFont val="Calibri"/>
        <family val="1"/>
      </rPr>
      <t>ADHITYA INDRA RAHARJA</t>
    </r>
  </si>
  <si>
    <r>
      <rPr>
        <sz val="11"/>
        <rFont val="Calibri"/>
        <family val="1"/>
      </rPr>
      <t>AULIA DWI YULIANTI</t>
    </r>
  </si>
  <si>
    <r>
      <rPr>
        <sz val="11"/>
        <rFont val="Calibri"/>
        <family val="1"/>
      </rPr>
      <t>CHRIST THADDEUS</t>
    </r>
  </si>
  <si>
    <r>
      <rPr>
        <sz val="11"/>
        <rFont val="Calibri"/>
        <family val="1"/>
      </rPr>
      <t>WILLY MICHAEL</t>
    </r>
  </si>
  <si>
    <r>
      <rPr>
        <sz val="11"/>
        <rFont val="Calibri"/>
        <family val="1"/>
      </rPr>
      <t>WILSON ALFANDO</t>
    </r>
  </si>
  <si>
    <r>
      <rPr>
        <sz val="11"/>
        <rFont val="Calibri"/>
        <family val="1"/>
      </rPr>
      <t>BENEVITO KEVIN SEBASTIAN HARIANDJA</t>
    </r>
  </si>
  <si>
    <r>
      <rPr>
        <sz val="11"/>
        <rFont val="Calibri"/>
        <family val="1"/>
      </rPr>
      <t>PARVEEN UZMA HABIDIN</t>
    </r>
  </si>
  <si>
    <r>
      <rPr>
        <sz val="11"/>
        <rFont val="Calibri"/>
        <family val="1"/>
      </rPr>
      <t>ANGGA RIZKI RAMADHAN</t>
    </r>
  </si>
  <si>
    <r>
      <rPr>
        <sz val="11"/>
        <rFont val="Calibri"/>
        <family val="1"/>
      </rPr>
      <t>JUVENTIA AGNECIA</t>
    </r>
  </si>
  <si>
    <r>
      <rPr>
        <sz val="11"/>
        <rFont val="Calibri"/>
        <family val="1"/>
      </rPr>
      <t>KHANSA MARITZA AR-RAHMAH</t>
    </r>
  </si>
  <si>
    <r>
      <rPr>
        <sz val="11"/>
        <rFont val="Calibri"/>
        <family val="1"/>
      </rPr>
      <t>ALIYAH ZAHRAH</t>
    </r>
  </si>
  <si>
    <r>
      <rPr>
        <sz val="11"/>
        <rFont val="Calibri"/>
        <family val="1"/>
      </rPr>
      <t>IQBAL ALFARIDZI BALMAN</t>
    </r>
  </si>
  <si>
    <r>
      <rPr>
        <sz val="11"/>
        <rFont val="Calibri"/>
        <family val="1"/>
      </rPr>
      <t>NASWA AZAHRA</t>
    </r>
  </si>
  <si>
    <r>
      <rPr>
        <sz val="11"/>
        <rFont val="Calibri"/>
        <family val="1"/>
      </rPr>
      <t>FERARRY WIJAYA</t>
    </r>
  </si>
  <si>
    <r>
      <rPr>
        <sz val="11"/>
        <rFont val="Calibri"/>
        <family val="1"/>
      </rPr>
      <t>JANE SYAHWALINA KAPRICA SANDRA</t>
    </r>
  </si>
  <si>
    <r>
      <rPr>
        <sz val="11"/>
        <rFont val="Calibri"/>
        <family val="1"/>
      </rPr>
      <t>ANDREW GUNAWAN</t>
    </r>
  </si>
  <si>
    <r>
      <rPr>
        <sz val="11"/>
        <rFont val="Calibri"/>
        <family val="1"/>
      </rPr>
      <t>NOVIA SYAHFITRI</t>
    </r>
  </si>
  <si>
    <r>
      <rPr>
        <sz val="11"/>
        <rFont val="Calibri"/>
        <family val="1"/>
      </rPr>
      <t>CAESHA RACHMA DHANI</t>
    </r>
  </si>
  <si>
    <r>
      <rPr>
        <sz val="11"/>
        <rFont val="Calibri"/>
        <family val="1"/>
      </rPr>
      <t>MIKHAEL EDO SINAMBELA</t>
    </r>
  </si>
  <si>
    <r>
      <rPr>
        <sz val="11"/>
        <rFont val="Calibri"/>
        <family val="1"/>
      </rPr>
      <t>SRI BINTANG PRATOMO</t>
    </r>
  </si>
  <si>
    <r>
      <rPr>
        <sz val="11"/>
        <rFont val="Calibri"/>
        <family val="1"/>
      </rPr>
      <t>CECILLIA CHERISH MARDJUKI</t>
    </r>
  </si>
  <si>
    <r>
      <rPr>
        <sz val="11"/>
        <rFont val="Calibri"/>
        <family val="1"/>
      </rPr>
      <t>MATTHEW SHANE WILIE</t>
    </r>
  </si>
  <si>
    <r>
      <rPr>
        <sz val="11"/>
        <rFont val="Calibri"/>
        <family val="1"/>
      </rPr>
      <t>YESSIKA MAHARANI TANJUNG</t>
    </r>
  </si>
  <si>
    <r>
      <rPr>
        <sz val="11"/>
        <rFont val="Calibri"/>
        <family val="1"/>
      </rPr>
      <t>REINERIUS SUKMA DIMAS KRISTIANTORO</t>
    </r>
  </si>
  <si>
    <r>
      <rPr>
        <sz val="11"/>
        <rFont val="Calibri"/>
        <family val="1"/>
      </rPr>
      <t>STEVE CARINDRA</t>
    </r>
  </si>
  <si>
    <r>
      <rPr>
        <sz val="11"/>
        <rFont val="Calibri"/>
        <family val="1"/>
      </rPr>
      <t>HANVIN ADITYA</t>
    </r>
  </si>
  <si>
    <r>
      <rPr>
        <sz val="11"/>
        <rFont val="Calibri"/>
        <family val="1"/>
      </rPr>
      <t>NICHOLAS EUGENE SUPARDI</t>
    </r>
  </si>
  <si>
    <r>
      <rPr>
        <sz val="11"/>
        <rFont val="Calibri"/>
        <family val="1"/>
      </rPr>
      <t>HANS NATHANAEL TEDJA</t>
    </r>
  </si>
  <si>
    <r>
      <rPr>
        <sz val="11"/>
        <rFont val="Calibri"/>
        <family val="1"/>
      </rPr>
      <t>CARLOUIS FERNANDO HARIYADI</t>
    </r>
  </si>
  <si>
    <r>
      <rPr>
        <b/>
        <sz val="12"/>
        <rFont val="Calibri"/>
        <family val="1"/>
      </rPr>
      <t>RUANG                 : B - R11 HARI/TANGGAL  : Rabu, 25 Juni 2025</t>
    </r>
  </si>
  <si>
    <r>
      <rPr>
        <sz val="11"/>
        <rFont val="Calibri"/>
        <family val="1"/>
      </rPr>
      <t>YUDHISTIRA WIJAYA KESUMA</t>
    </r>
  </si>
  <si>
    <r>
      <rPr>
        <sz val="11"/>
        <rFont val="Calibri"/>
        <family val="1"/>
      </rPr>
      <t>WHITNEY</t>
    </r>
  </si>
  <si>
    <r>
      <rPr>
        <sz val="11"/>
        <rFont val="Calibri"/>
        <family val="1"/>
      </rPr>
      <t>NATHASYA KRISTIANTI FERDIANA</t>
    </r>
  </si>
  <si>
    <r>
      <rPr>
        <sz val="11"/>
        <rFont val="Calibri"/>
        <family val="1"/>
      </rPr>
      <t>SHIFA AZAHRA PUTRI KURNIA</t>
    </r>
  </si>
  <si>
    <r>
      <rPr>
        <sz val="11"/>
        <rFont val="Calibri"/>
        <family val="1"/>
      </rPr>
      <t>CARISSA PUTERI ©</t>
    </r>
  </si>
  <si>
    <r>
      <rPr>
        <sz val="11"/>
        <rFont val="Calibri"/>
        <family val="1"/>
      </rPr>
      <t>DEDE DWI PRANATA PANNAVUDHO</t>
    </r>
  </si>
  <si>
    <r>
      <rPr>
        <sz val="11"/>
        <rFont val="Calibri"/>
        <family val="1"/>
      </rPr>
      <t>WILLIAM ALEXANDER</t>
    </r>
  </si>
  <si>
    <r>
      <rPr>
        <sz val="11"/>
        <rFont val="Calibri"/>
        <family val="1"/>
      </rPr>
      <t>DUSTIN JOSHUA ARMANDO WELLIKEN</t>
    </r>
  </si>
  <si>
    <r>
      <rPr>
        <sz val="11"/>
        <rFont val="Calibri"/>
        <family val="1"/>
      </rPr>
      <t>HANS CHRISTIAN HANDOTO ©</t>
    </r>
  </si>
  <si>
    <r>
      <rPr>
        <sz val="11"/>
        <rFont val="Calibri"/>
        <family val="1"/>
      </rPr>
      <t>NASHWA SAWITRI DEWAYANI</t>
    </r>
  </si>
  <si>
    <r>
      <rPr>
        <sz val="11"/>
        <rFont val="Calibri"/>
        <family val="1"/>
      </rPr>
      <t>GERRY DOMINIKI SINAGA</t>
    </r>
  </si>
  <si>
    <r>
      <rPr>
        <sz val="11"/>
        <rFont val="Calibri"/>
        <family val="1"/>
      </rPr>
      <t>MICHAEL ANGELO JORDAN</t>
    </r>
  </si>
  <si>
    <r>
      <rPr>
        <sz val="11"/>
        <rFont val="Calibri"/>
        <family val="1"/>
      </rPr>
      <t>WENLY RUSLI</t>
    </r>
  </si>
  <si>
    <r>
      <rPr>
        <sz val="11"/>
        <rFont val="Calibri"/>
        <family val="1"/>
      </rPr>
      <t>RICHARD SOUWIKO</t>
    </r>
  </si>
  <si>
    <r>
      <rPr>
        <sz val="11"/>
        <rFont val="Calibri"/>
        <family val="1"/>
      </rPr>
      <t>TIMOTY WAHYUDI PAKPAHAN</t>
    </r>
  </si>
  <si>
    <r>
      <rPr>
        <sz val="11"/>
        <rFont val="Calibri"/>
        <family val="1"/>
      </rPr>
      <t>PAULINA AGUSIA</t>
    </r>
  </si>
  <si>
    <r>
      <rPr>
        <sz val="11"/>
        <rFont val="Calibri"/>
        <family val="1"/>
      </rPr>
      <t>GAVRIEL JOSEPH LIM</t>
    </r>
  </si>
  <si>
    <r>
      <rPr>
        <sz val="11"/>
        <rFont val="Calibri"/>
        <family val="1"/>
      </rPr>
      <t>MICHAEL PANGIHUTAN PARDOMUAN MANALU</t>
    </r>
  </si>
  <si>
    <r>
      <rPr>
        <sz val="11"/>
        <rFont val="Calibri"/>
        <family val="1"/>
      </rPr>
      <t>RYAN ANTHONY</t>
    </r>
  </si>
  <si>
    <r>
      <rPr>
        <sz val="11"/>
        <rFont val="Calibri"/>
        <family val="1"/>
      </rPr>
      <t>JECHENTHIA MARIA TASO</t>
    </r>
  </si>
  <si>
    <r>
      <rPr>
        <b/>
        <sz val="12"/>
        <rFont val="Calibri"/>
        <family val="1"/>
      </rPr>
      <t>RUANG                 : A - R11 HARI/TANGGAL  : Kamis, 26 Juni 2025</t>
    </r>
  </si>
  <si>
    <r>
      <rPr>
        <sz val="11"/>
        <rFont val="Calibri"/>
        <family val="1"/>
      </rPr>
      <t>GARY ANDERSON THENG</t>
    </r>
  </si>
  <si>
    <r>
      <rPr>
        <sz val="11"/>
        <rFont val="Calibri"/>
        <family val="1"/>
      </rPr>
      <t>JOURDAN TANARDI</t>
    </r>
  </si>
  <si>
    <r>
      <rPr>
        <sz val="11"/>
        <rFont val="Calibri"/>
        <family val="1"/>
      </rPr>
      <t>JUSTIN AARON HO</t>
    </r>
  </si>
  <si>
    <r>
      <rPr>
        <sz val="11"/>
        <rFont val="Calibri"/>
        <family val="1"/>
      </rPr>
      <t>FERNANDO EDISON</t>
    </r>
  </si>
  <si>
    <r>
      <rPr>
        <sz val="11"/>
        <rFont val="Calibri"/>
        <family val="1"/>
      </rPr>
      <t>DAFFA IMANI SAPUTRA</t>
    </r>
  </si>
  <si>
    <r>
      <rPr>
        <sz val="11"/>
        <rFont val="Calibri"/>
        <family val="1"/>
      </rPr>
      <t>SAYYIDINAA ALI</t>
    </r>
  </si>
  <si>
    <r>
      <rPr>
        <sz val="11"/>
        <rFont val="Calibri"/>
        <family val="1"/>
      </rPr>
      <t>ROBERT</t>
    </r>
  </si>
  <si>
    <r>
      <rPr>
        <sz val="11"/>
        <rFont val="Calibri"/>
        <family val="1"/>
      </rPr>
      <t>DENNIS MATTHEW</t>
    </r>
  </si>
  <si>
    <r>
      <rPr>
        <sz val="11"/>
        <rFont val="Calibri"/>
        <family val="1"/>
      </rPr>
      <t>JAVIER ELIAN PUTRA KARJADI ©</t>
    </r>
  </si>
  <si>
    <r>
      <rPr>
        <sz val="11"/>
        <rFont val="Calibri"/>
        <family val="1"/>
      </rPr>
      <t>NATHANAEL DENNIS GUNAWAN</t>
    </r>
  </si>
  <si>
    <r>
      <rPr>
        <sz val="11"/>
        <rFont val="Calibri"/>
        <family val="1"/>
      </rPr>
      <t>ZAKI RAMDANI</t>
    </r>
  </si>
  <si>
    <r>
      <rPr>
        <sz val="11"/>
        <rFont val="Calibri"/>
        <family val="1"/>
      </rPr>
      <t>ASTON WILLIAM</t>
    </r>
  </si>
  <si>
    <r>
      <rPr>
        <sz val="11"/>
        <rFont val="Calibri"/>
        <family val="1"/>
      </rPr>
      <t>ADRIANNUS JUSTIN SETIAWAN</t>
    </r>
  </si>
  <si>
    <r>
      <rPr>
        <sz val="11"/>
        <rFont val="Calibri"/>
        <family val="1"/>
      </rPr>
      <t>LUISSANDRO HERMAWAN</t>
    </r>
  </si>
  <si>
    <r>
      <rPr>
        <sz val="11"/>
        <rFont val="Calibri"/>
        <family val="1"/>
      </rPr>
      <t>DANIEL OKTAVIANUS</t>
    </r>
  </si>
  <si>
    <r>
      <rPr>
        <sz val="11"/>
        <rFont val="Calibri"/>
        <family val="1"/>
      </rPr>
      <t>EDWARD HARLLEYANDY CUANGARTA</t>
    </r>
  </si>
  <si>
    <r>
      <rPr>
        <sz val="11"/>
        <rFont val="Calibri"/>
        <family val="1"/>
      </rPr>
      <t>LUIS FEBRY</t>
    </r>
  </si>
  <si>
    <r>
      <rPr>
        <sz val="11"/>
        <rFont val="Calibri"/>
        <family val="1"/>
      </rPr>
      <t>ALLEGRA FLAVIA FELITA</t>
    </r>
  </si>
  <si>
    <r>
      <rPr>
        <sz val="11"/>
        <rFont val="Calibri"/>
        <family val="1"/>
      </rPr>
      <t>NICOLAS PHI</t>
    </r>
  </si>
  <si>
    <r>
      <rPr>
        <sz val="11"/>
        <rFont val="Calibri"/>
        <family val="1"/>
      </rPr>
      <t>WILLIAM</t>
    </r>
  </si>
  <si>
    <r>
      <rPr>
        <sz val="11"/>
        <rFont val="Calibri"/>
        <family val="1"/>
      </rPr>
      <t>WILLIAM GUNAWAN</t>
    </r>
  </si>
  <si>
    <r>
      <rPr>
        <sz val="11"/>
        <rFont val="Calibri"/>
        <family val="1"/>
      </rPr>
      <t>ALFIAN INDRAJAYA</t>
    </r>
  </si>
  <si>
    <r>
      <rPr>
        <sz val="11"/>
        <rFont val="Calibri"/>
        <family val="1"/>
      </rPr>
      <t>KEVIN SAPUTRA</t>
    </r>
  </si>
  <si>
    <r>
      <rPr>
        <sz val="11"/>
        <rFont val="Calibri"/>
        <family val="1"/>
      </rPr>
      <t>GABRIEL NATHANAEL IRAWAN</t>
    </r>
  </si>
  <si>
    <r>
      <rPr>
        <sz val="11"/>
        <rFont val="Calibri"/>
        <family val="1"/>
      </rPr>
      <t>GIVEN PUTRA ©</t>
    </r>
  </si>
  <si>
    <r>
      <rPr>
        <sz val="11"/>
        <rFont val="Calibri"/>
        <family val="1"/>
      </rPr>
      <t>LI WEI ©</t>
    </r>
  </si>
  <si>
    <r>
      <rPr>
        <sz val="11"/>
        <rFont val="Calibri"/>
        <family val="1"/>
      </rPr>
      <t>ARMANTA TARIGAN</t>
    </r>
  </si>
  <si>
    <r>
      <rPr>
        <sz val="11"/>
        <rFont val="Calibri"/>
        <family val="1"/>
      </rPr>
      <t>GERRANT ENRIQO HIYA</t>
    </r>
  </si>
  <si>
    <r>
      <rPr>
        <sz val="11"/>
        <rFont val="Calibri"/>
        <family val="1"/>
      </rPr>
      <t>AMARA THURIDHA</t>
    </r>
  </si>
  <si>
    <r>
      <rPr>
        <sz val="11"/>
        <rFont val="Calibri"/>
        <family val="1"/>
      </rPr>
      <t>ANDRI RIZKIKA</t>
    </r>
  </si>
  <si>
    <r>
      <rPr>
        <b/>
        <sz val="12"/>
        <rFont val="Calibri"/>
        <family val="1"/>
      </rPr>
      <t>RUANG                 : A - R11</t>
    </r>
    <r>
      <rPr>
        <b/>
        <sz val="12"/>
        <rFont val="Calibri"/>
        <family val="2"/>
      </rPr>
      <t xml:space="preserve"> Selasa 24 june 2025</t>
    </r>
  </si>
  <si>
    <r>
      <rPr>
        <b/>
        <sz val="12"/>
        <rFont val="Calibri"/>
        <family val="1"/>
      </rPr>
      <t>RUANG                 : B - R11</t>
    </r>
    <r>
      <rPr>
        <b/>
        <sz val="12"/>
        <rFont val="Calibri"/>
        <family val="2"/>
      </rPr>
      <t xml:space="preserve"> selasa, 24 june 2025</t>
    </r>
  </si>
  <si>
    <r>
      <rPr>
        <b/>
        <sz val="12"/>
        <rFont val="Calibri"/>
        <family val="1"/>
      </rPr>
      <t>RUANG                 : C - R11</t>
    </r>
    <r>
      <rPr>
        <b/>
        <sz val="12"/>
        <rFont val="Calibri"/>
        <family val="2"/>
      </rPr>
      <t>, selasa 24 june 2025</t>
    </r>
  </si>
  <si>
    <t>slot</t>
  </si>
  <si>
    <t>Hari</t>
  </si>
  <si>
    <t>Ruang</t>
  </si>
  <si>
    <t xml:space="preserve">Bagus Mulyawan, S.Kom., M.M.             Dr. Dedi Trisnawarman, S.Si., M.Kom. </t>
  </si>
  <si>
    <t>Sum(matched)</t>
  </si>
  <si>
    <t>obj 1</t>
  </si>
  <si>
    <t>blm buang duplikat</t>
  </si>
  <si>
    <t>Hasil Greedy =&gt;</t>
  </si>
  <si>
    <t>is_matched</t>
  </si>
  <si>
    <t>NAMA</t>
  </si>
  <si>
    <t>JONATHAN FERDINAND</t>
  </si>
  <si>
    <t>JUSTIN BRUNELT LAUWDE</t>
  </si>
  <si>
    <t>IE CHEN</t>
  </si>
  <si>
    <t>VANESSA</t>
  </si>
  <si>
    <t>HANSEN CHRISTIAN LIE</t>
  </si>
  <si>
    <t>DAVE KEANE WIJAYA</t>
  </si>
  <si>
    <t>JESSEN CHAYADI</t>
  </si>
  <si>
    <t>SHEILA TANIA</t>
  </si>
  <si>
    <t>FERDINAND</t>
  </si>
  <si>
    <t>ARI WIJAYA</t>
  </si>
  <si>
    <t>ARYO PRAYOGI</t>
  </si>
  <si>
    <t>VINCEN LEONARDY</t>
  </si>
  <si>
    <t>PHILLIP MARCHEGIANY</t>
  </si>
  <si>
    <t>NICOLAS</t>
  </si>
  <si>
    <t>RAFAEL CHRISTOPER SUHANDI</t>
  </si>
  <si>
    <t>JESSICA WIDODO</t>
  </si>
  <si>
    <t>PAMELA METTA OKTAVIANA</t>
  </si>
  <si>
    <t>MICHAEL TRISTAN PRAMONO</t>
  </si>
  <si>
    <t>RAFAEL DAVRIO SUTHYA</t>
  </si>
  <si>
    <t>JOHANES NICHOLAS VIERY</t>
  </si>
  <si>
    <t>KELVYN NATHANAEL MAULANA</t>
  </si>
  <si>
    <t>KENT DYLAN SANJAYA</t>
  </si>
  <si>
    <t>RAFEL SUTRA DHARMA</t>
  </si>
  <si>
    <t>JASON SUNARYO</t>
  </si>
  <si>
    <t>JEFFRY LINGAU</t>
  </si>
  <si>
    <t xml:space="preserve">MARCELL BUDIMAN </t>
  </si>
  <si>
    <t>GUSTIAN ROSADI</t>
  </si>
  <si>
    <t>VEREN THIOVANDA</t>
  </si>
  <si>
    <t>VALENTINO</t>
  </si>
  <si>
    <t>VALENCIA</t>
  </si>
  <si>
    <t xml:space="preserve">NICO SUWANTO </t>
  </si>
  <si>
    <t>JONATHAN LUCAS PAKPAHAN</t>
  </si>
  <si>
    <t>GRASYA B LAMPALA L MUNTHE</t>
  </si>
  <si>
    <t>GRACE APRILIANI PUTERI SANTOSO</t>
  </si>
  <si>
    <t>DEA AULIYA RAHMAWATI</t>
  </si>
  <si>
    <t>HANS SANTOSO</t>
  </si>
  <si>
    <t>SABRINA PHALOSA PHAI</t>
  </si>
  <si>
    <t>VALENTINO RICHARDO LIM</t>
  </si>
  <si>
    <t>JESSICA HO</t>
  </si>
  <si>
    <t>MARVIN GULTOM</t>
  </si>
  <si>
    <t>GRACE TRIFOSA SAGALA</t>
  </si>
  <si>
    <t>PUTRI DEWI ZABITA</t>
  </si>
  <si>
    <t>ANDREAN PUTRA OSMAN</t>
  </si>
  <si>
    <t>BINTANG NOVIANSYAH SYAMSU</t>
  </si>
  <si>
    <t>THIRZA JUAN HALIM</t>
  </si>
  <si>
    <t>MUHAMMAD DAFFA AL HAKIM</t>
  </si>
  <si>
    <t>RAKHA NAUFAL SUJANA</t>
  </si>
  <si>
    <t>KANE PRADIPA KOMALA</t>
  </si>
  <si>
    <t>BENNY DWIYANTO</t>
  </si>
  <si>
    <t>CHRISTIAN FERNANDO</t>
  </si>
  <si>
    <t xml:space="preserve">SHANNON ANDREA </t>
  </si>
  <si>
    <t>VALENTINO MICHAEL</t>
  </si>
  <si>
    <t>HANA FATHIYAH SALSABILA</t>
  </si>
  <si>
    <t>JAFIER ANDREAS</t>
  </si>
  <si>
    <t>RUBEN SETIAJI</t>
  </si>
  <si>
    <t>JASON SUTANTO</t>
  </si>
  <si>
    <t>GREGORIO MELVIN KARNIKOV</t>
  </si>
  <si>
    <t>FIGO VINCENZO</t>
  </si>
  <si>
    <t>DEVANSKA UZIELTAMA MARDANUS</t>
  </si>
  <si>
    <t>STEVEN</t>
  </si>
  <si>
    <t>JONATAN PUTRA GUNAWAN</t>
  </si>
  <si>
    <t>DEVIN SAPUTRA WIJAYA</t>
  </si>
  <si>
    <t>JONATHAN</t>
  </si>
  <si>
    <t>GARRENT NATHANAEL</t>
  </si>
  <si>
    <t>CHELSIA CINDELERIA HERWANTO</t>
  </si>
  <si>
    <t>WINNI SETIAWATI</t>
  </si>
  <si>
    <t>FEDRIK PANGESTU</t>
  </si>
  <si>
    <t>RACHELLE MARVELLA NARTO ATMODJO</t>
  </si>
  <si>
    <t>JENNIFER</t>
  </si>
  <si>
    <t>JOSELIN SANDRA WIJAYA</t>
  </si>
  <si>
    <t>MARCO HADISURYA</t>
  </si>
  <si>
    <t>MILLY MILLAGROS</t>
  </si>
  <si>
    <t>CINDY ANGELLINE</t>
  </si>
  <si>
    <t>MICHAEL</t>
  </si>
  <si>
    <t>JOSHUA MARVIN</t>
  </si>
  <si>
    <t>RAFAEL EVALDO SETIANTO</t>
  </si>
  <si>
    <t>ALEK PITER WARDOYO</t>
  </si>
  <si>
    <t>MARCHELINO BENEDIKTUS LEINTAN</t>
  </si>
  <si>
    <t>RIZKY SUGIHARTO</t>
  </si>
  <si>
    <t>RIDHWAN ARDIYANSYAH</t>
  </si>
  <si>
    <t>CLAUDYA CHRISTINE</t>
  </si>
  <si>
    <t>LAUREN KEZIA VANESSA</t>
  </si>
  <si>
    <t>MELINDA GLORIA</t>
  </si>
  <si>
    <t>DHIRA FRANCESCO</t>
  </si>
  <si>
    <t>SULTAN SAID ABDUL RAHIM</t>
  </si>
  <si>
    <t>AURELIA PANGESTU</t>
  </si>
  <si>
    <t>SAOLOAN NATAN YOEL SILALAHI</t>
  </si>
  <si>
    <t>DIMAS PRATAMA MARCEL</t>
  </si>
  <si>
    <t>MIGUEL FLORENSIUS SUSANTO</t>
  </si>
  <si>
    <t xml:space="preserve">RADEN RORY SOLOMON REKSOHADINOTO </t>
  </si>
  <si>
    <t>JOVANKA CESSYLIA TESALONIKA MIKHA WENAS</t>
  </si>
  <si>
    <t>LUIS FERNANDO</t>
  </si>
  <si>
    <t xml:space="preserve">SHINZI </t>
  </si>
  <si>
    <t>BRILIONA</t>
  </si>
  <si>
    <t>WITRIATNA KOSAHI</t>
  </si>
  <si>
    <t>GLADYS ANAWAI OHYVER</t>
  </si>
  <si>
    <t xml:space="preserve">KHALLIFAH MUBARAK ARMANDO </t>
  </si>
  <si>
    <t>ESTERIA TIFFANY ERFROVINA TAMBUNAN</t>
  </si>
  <si>
    <t>FASIA META SEFIRA</t>
  </si>
  <si>
    <t>TIARA ZAHRO</t>
  </si>
  <si>
    <t>VIONA</t>
  </si>
  <si>
    <t>CARLSON JINGGA</t>
  </si>
  <si>
    <t>ARIEFAH NANDA EKA PUTRIANTI</t>
  </si>
  <si>
    <t>SUDHIVADDHANA GOEN</t>
  </si>
  <si>
    <t>JASSEN SANDRIO</t>
  </si>
  <si>
    <t>NICOLAS PHI</t>
  </si>
  <si>
    <t>WILLIAM</t>
  </si>
  <si>
    <t>EDWARD HARLLEYANDY CUANGARTA</t>
  </si>
  <si>
    <t>LUIS FEBRY</t>
  </si>
  <si>
    <t>ALLEGRA FLAVIA FELITA</t>
  </si>
  <si>
    <t>NELSON</t>
  </si>
  <si>
    <t>OLIVIA CLARABELLA KHOTIERA</t>
  </si>
  <si>
    <t>ELSIE</t>
  </si>
  <si>
    <t>ASRUL ALIF FATIHAH</t>
  </si>
  <si>
    <t xml:space="preserve">GEORGE WEILIS JUNIOR </t>
  </si>
  <si>
    <t>CARIN GUNAWAN</t>
  </si>
  <si>
    <t xml:space="preserve">STEVEN FLIANTO </t>
  </si>
  <si>
    <t>FRANSISKUS DHARMA HADI WIJAYA</t>
  </si>
  <si>
    <t>ANGELINE SHEVENIA</t>
  </si>
  <si>
    <t>LEVINA GRACE EVANGELINE</t>
  </si>
  <si>
    <t>GARY ANDERSON THENG</t>
  </si>
  <si>
    <t>JOURDAN TANARDI</t>
  </si>
  <si>
    <t>JUSTIN AARON HO</t>
  </si>
  <si>
    <t>FERNANDO EDISON</t>
  </si>
  <si>
    <t>DAFFA IMANI SAPUTRA</t>
  </si>
  <si>
    <t>MUHAMMAD SYAUQI RASYID</t>
  </si>
  <si>
    <t>RAFFI CAHYA TRIAPUTRA YASIN</t>
  </si>
  <si>
    <t>JONATHAN SETIAWAN</t>
  </si>
  <si>
    <t>CHRISTOPHER TITAN</t>
  </si>
  <si>
    <t>BENAYA JUANDA</t>
  </si>
  <si>
    <t>RAYNALDO GRACIA BUNTORO</t>
  </si>
  <si>
    <t>CHRISTABELLA JOCELYNNE CHANDRA</t>
  </si>
  <si>
    <t>ANGELA CHOW</t>
  </si>
  <si>
    <t>DIMAS SAPUTRA</t>
  </si>
  <si>
    <t>FARHAN ADHI WIDIARSONO</t>
  </si>
  <si>
    <t>SAYYIDINAA ALI</t>
  </si>
  <si>
    <t>ROBERT</t>
  </si>
  <si>
    <t>DENNIS MATTHEW</t>
  </si>
  <si>
    <t xml:space="preserve">JAVIER ELIAN PUTRA KARJADI </t>
  </si>
  <si>
    <t>NATHANAEL DENNIS GUNAWAN</t>
  </si>
  <si>
    <t>MUHAMMAD HAFIZH MULYANSYAH</t>
  </si>
  <si>
    <t>DIO FATURAMDANI</t>
  </si>
  <si>
    <t>RICHARD SOUWIKO</t>
  </si>
  <si>
    <t>TIMOTY WAHYUDI PAKPAHAN</t>
  </si>
  <si>
    <t>PAULINA AGUSIA</t>
  </si>
  <si>
    <t>MARCIA YANPRINCESSA UTAMA</t>
  </si>
  <si>
    <t>VINCENT CALISTA</t>
  </si>
  <si>
    <t>GEORGE WIELIANTO</t>
  </si>
  <si>
    <t>MILSON FELICIANO</t>
  </si>
  <si>
    <t>NATHANIEL ERVIN JAHJA</t>
  </si>
  <si>
    <t>ZAKI RAMDANI</t>
  </si>
  <si>
    <t>GAVRIEL JOSEPH LIM</t>
  </si>
  <si>
    <t>MICHAEL PANGIHUTAN PARDOMUAN MANALU</t>
  </si>
  <si>
    <t>RYAN ANTHONY</t>
  </si>
  <si>
    <t>JECHENTHIA MARIA TASO</t>
  </si>
  <si>
    <t>SHAREEN STEPHANIE</t>
  </si>
  <si>
    <t>KELLY CHRISTELLA GYWEN</t>
  </si>
  <si>
    <t xml:space="preserve">YUDO ALFARISZI </t>
  </si>
  <si>
    <t>ERIKO LEVINO SASMITRA</t>
  </si>
  <si>
    <t>IVANDER</t>
  </si>
  <si>
    <t xml:space="preserve">MARCHELLA ANGELINA </t>
  </si>
  <si>
    <t>WILLSEN YOGI PRASETIA</t>
  </si>
  <si>
    <t>JUSTIN SALIM</t>
  </si>
  <si>
    <t>SEAN HENRY WIJAYA</t>
  </si>
  <si>
    <t>HEZEKIAH IVANDI</t>
  </si>
  <si>
    <t>GREGORIUS SATRIONAN PAMUNGKAS</t>
  </si>
  <si>
    <t>RIDHWAN KAUTSAR DWI JULIANTO</t>
  </si>
  <si>
    <t>HANSON NICHOLAS</t>
  </si>
  <si>
    <t>LEONARDEZ FLOBERT GUNAWAN</t>
  </si>
  <si>
    <t>STEPHEN YOHANES CHRISTOPHER</t>
  </si>
  <si>
    <t>TANJAYA JASON WINATA</t>
  </si>
  <si>
    <t>RUBEN TOBIA CHAIYADI</t>
  </si>
  <si>
    <t>STEFANUS ANTHONY HARRY</t>
  </si>
  <si>
    <t xml:space="preserve">VALEROY PUTRA SIENTIKA </t>
  </si>
  <si>
    <t>FELIX FERDINAND</t>
  </si>
  <si>
    <t>DHIO SAMUDRA</t>
  </si>
  <si>
    <t>PUSPA INDAH</t>
  </si>
  <si>
    <t>WAHYU PAMUNGKAS</t>
  </si>
  <si>
    <t>VALENTINO ALMENDO RADJAWANE</t>
  </si>
  <si>
    <t>VINCENT WIJAYA</t>
  </si>
  <si>
    <t>JONATHAN KENNEDY TORSANDY</t>
  </si>
  <si>
    <t>MARYANTO</t>
  </si>
  <si>
    <t>CARISHA PUSPA GOZALI</t>
  </si>
  <si>
    <t>RYAN SATRIA</t>
  </si>
  <si>
    <t>ADANG IRAWAN</t>
  </si>
  <si>
    <t>TIGO ILHAMI FASYAH</t>
  </si>
  <si>
    <t>WIDYA KHAERUNNISYAH</t>
  </si>
  <si>
    <t>HANSEN PRATAMA</t>
  </si>
  <si>
    <t>ALBERT</t>
  </si>
  <si>
    <t>JASON CHAINARA PUTRA</t>
  </si>
  <si>
    <t>BRYAN MEYVALDO KANGSADIPUTRA</t>
  </si>
  <si>
    <t>NATHANAEL KENNETH LAY</t>
  </si>
  <si>
    <t>NAYAKA WANGSHA LIMPUTRA</t>
  </si>
  <si>
    <t>LEKREY JEREL JACOB LAIPIOPA</t>
  </si>
  <si>
    <t>ALDO HARTANTO DEWANTORO</t>
  </si>
  <si>
    <t>TIGA WIRA PRASIDYA</t>
  </si>
  <si>
    <t>STEVEN LUCIO AUSTEN</t>
  </si>
  <si>
    <t>KENAZ REISHA</t>
  </si>
  <si>
    <t>VINCENTIUS</t>
  </si>
  <si>
    <t xml:space="preserve">CECILLIA CHUNG </t>
  </si>
  <si>
    <t>RANDY CENSON</t>
  </si>
  <si>
    <t>JASON WIEDARDI LIMTARA</t>
  </si>
  <si>
    <t>JAVIER GUSTVIN</t>
  </si>
  <si>
    <t xml:space="preserve">SURYA DHARMA KANG </t>
  </si>
  <si>
    <t>SASKIA LAVINSKY</t>
  </si>
  <si>
    <t>ALDHO LEONARDI</t>
  </si>
  <si>
    <t>FELICIUS EDWARD TJENDRA</t>
  </si>
  <si>
    <t>EMMANUEL GARCIA SUMARGO</t>
  </si>
  <si>
    <t>GABRIELLA IGNATIA</t>
  </si>
  <si>
    <t>ARETHUSA RAYHAN SUBRATA</t>
  </si>
  <si>
    <t>VIE HUANG</t>
  </si>
  <si>
    <t>RICHARD CHRISTIAN</t>
  </si>
  <si>
    <t>KEVIN IVANDER CHASKA</t>
  </si>
  <si>
    <t>RICKY FERNANDO JF</t>
  </si>
  <si>
    <t xml:space="preserve">NANDA GOAW PUTRA </t>
  </si>
  <si>
    <t>NATHANIEL ROWEN</t>
  </si>
  <si>
    <t>NICO THOMAS</t>
  </si>
  <si>
    <t>VINCENT ALEXANDER</t>
  </si>
  <si>
    <t>FU ANDRY PUTRA</t>
  </si>
  <si>
    <t>HENOKH MIKHAEL KRISTIANTAN</t>
  </si>
  <si>
    <t>KEVIN SUSANTO DHARMAWAN</t>
  </si>
  <si>
    <t>FADHEL PUTRA FELMI</t>
  </si>
  <si>
    <t>KENNETH MARLON TAN</t>
  </si>
  <si>
    <t>JHONATAN MARIKROS</t>
  </si>
  <si>
    <t>MUHAMMAD RAFFI HERMAWAN</t>
  </si>
  <si>
    <t>CINDY AURELIA HARDI</t>
  </si>
  <si>
    <t>MATTHEW ALEXANDER TJAHJADI</t>
  </si>
  <si>
    <t>DAFLAH TSANY GUSRA</t>
  </si>
  <si>
    <t>RANDY GUNAWAN</t>
  </si>
  <si>
    <t>RAVELINO RADISSEY</t>
  </si>
  <si>
    <t xml:space="preserve">AMOS VALENTINO NABABAN </t>
  </si>
  <si>
    <t>DANIEL HARTONO HONORIS</t>
  </si>
  <si>
    <t>RICKY CANGNIAGO</t>
  </si>
  <si>
    <t>AURELLIUS JEREMIAH THOMAS</t>
  </si>
  <si>
    <t>YOGA RAMADHANI KABAKORA</t>
  </si>
  <si>
    <t>NOVANDRY APRILIAN</t>
  </si>
  <si>
    <t>RUDI HARTARTO</t>
  </si>
  <si>
    <t>REYNALDO</t>
  </si>
  <si>
    <t>GILANG SAMUDRO SUWARJONO</t>
  </si>
  <si>
    <t>CHERYL NATHANIA</t>
  </si>
  <si>
    <t>MERRY ULI ARTHA MANURUNG</t>
  </si>
  <si>
    <t>ALIYAH ZAHRAH</t>
  </si>
  <si>
    <t>IQBAL ALFARIDZI BALMAN</t>
  </si>
  <si>
    <t>NASWA AZAHRA</t>
  </si>
  <si>
    <t>FERARRY WIJAYA</t>
  </si>
  <si>
    <t xml:space="preserve">LI WEI </t>
  </si>
  <si>
    <t>ARMANTA TARIGAN</t>
  </si>
  <si>
    <t>GERRANT ENRIQO HIYA</t>
  </si>
  <si>
    <t>AMARA THURIDHA</t>
  </si>
  <si>
    <t>ANDRI RIZKIKA</t>
  </si>
  <si>
    <t>AHMAD RORY</t>
  </si>
  <si>
    <t>MICHAEL CHAN</t>
  </si>
  <si>
    <t>JASON PERMANA</t>
  </si>
  <si>
    <t>ARYA WIRA KRISTANTO</t>
  </si>
  <si>
    <t>NICHOLAS MARTIN</t>
  </si>
  <si>
    <t xml:space="preserve">FINNIA LI </t>
  </si>
  <si>
    <t>KEVIN JONATHAN JM</t>
  </si>
  <si>
    <t>RICHARD VINCENTIUS</t>
  </si>
  <si>
    <t xml:space="preserve">KEVIN NATANAEL </t>
  </si>
  <si>
    <t>STEVAN LUKAS SIAHAAN</t>
  </si>
  <si>
    <t>GULIELMUS JASON</t>
  </si>
  <si>
    <t>RICHWILL RONALDY</t>
  </si>
  <si>
    <t>DELON CHRISTOPHER TANDY</t>
  </si>
  <si>
    <t>ONGGO JULIUS SIDDHARTA</t>
  </si>
  <si>
    <t>JASON TERRENCE</t>
  </si>
  <si>
    <t>STEVE CARINDRA</t>
  </si>
  <si>
    <t>HANVIN ADITYA</t>
  </si>
  <si>
    <t>NICHOLAS EUGENE SUPARDI</t>
  </si>
  <si>
    <t>HANS NATHANAEL TEDJA</t>
  </si>
  <si>
    <t>CARLOUIS FERNANDO HARIYADI</t>
  </si>
  <si>
    <t>CECILLIA CHERISH MARDJUKI</t>
  </si>
  <si>
    <t>MATTHEW SHANE WILIE</t>
  </si>
  <si>
    <t>YESSIKA MAHARANI TANJUNG</t>
  </si>
  <si>
    <t>REINERIUS SUKMA DIMAS KRISTIANTORO</t>
  </si>
  <si>
    <t>YUDHISTIRA WIJAYA KESUMA</t>
  </si>
  <si>
    <t>DUSTIN JOSHUA ARMANDO WELLIKEN</t>
  </si>
  <si>
    <t xml:space="preserve">HANS CHRISTIAN HANDOTO </t>
  </si>
  <si>
    <t>NASHWA SAWITRI DEWAYANI</t>
  </si>
  <si>
    <t>GERRY DOMINIKI SINAGA</t>
  </si>
  <si>
    <t>MICHAEL ANGELO JORDAN</t>
  </si>
  <si>
    <t>WHITNEY</t>
  </si>
  <si>
    <t>NATHASYA KRISTIANTI FERDIANA</t>
  </si>
  <si>
    <t>SHIFA AZAHRA PUTRI KURNIA</t>
  </si>
  <si>
    <t xml:space="preserve">CARISSA PUTERI </t>
  </si>
  <si>
    <t>DEDE DWI PRANATA PANNAVUDHO</t>
  </si>
  <si>
    <t>WENLY RUSLI</t>
  </si>
  <si>
    <t>WILLIAM ALEXANDER</t>
  </si>
  <si>
    <t>ASTON WILLIAM</t>
  </si>
  <si>
    <t>ADRIANNUS JUSTIN SETIAWAN</t>
  </si>
  <si>
    <t>LUISSANDRO HERMAWAN</t>
  </si>
  <si>
    <t>DANIEL OKTAVIANUS</t>
  </si>
  <si>
    <t>MARCELLINO FREDERICK WIJAYA</t>
  </si>
  <si>
    <t xml:space="preserve">ANDRES MALVIN JIU </t>
  </si>
  <si>
    <t>DAVID HARIADI</t>
  </si>
  <si>
    <t>MALVIN ALFREDO</t>
  </si>
  <si>
    <t>FABIO SANTOSO</t>
  </si>
  <si>
    <t>FEDRIKO ARTYA RUVI</t>
  </si>
  <si>
    <t>WILLIAM GUNAWAN</t>
  </si>
  <si>
    <t>ALFIAN INDRAJAYA</t>
  </si>
  <si>
    <t>KEVIN SAPUTRA</t>
  </si>
  <si>
    <t>GABRIEL NATHANAEL IRAWAN</t>
  </si>
  <si>
    <t xml:space="preserve">GIVEN PUTRA </t>
  </si>
  <si>
    <t>MARCELLINUS ANTHONY</t>
  </si>
  <si>
    <t>YANSEN</t>
  </si>
  <si>
    <t>WILSON FELIANO JUSEL</t>
  </si>
  <si>
    <t>VINCENT</t>
  </si>
  <si>
    <t>RAFAEL RASHEL RUNTU</t>
  </si>
  <si>
    <t>LOUIS FRANCIS TALI</t>
  </si>
  <si>
    <t>CHRISTINA ANGELICA</t>
  </si>
  <si>
    <t>KHANIA LUIZA CAHYA TULUSWATI</t>
  </si>
  <si>
    <t>ZICHO OCTOZEUS TAN</t>
  </si>
  <si>
    <t>ANTHONY BERNARD</t>
  </si>
  <si>
    <t>ADHITYA INDRA RAHARJA</t>
  </si>
  <si>
    <t>AULIA DWI YULIANTI</t>
  </si>
  <si>
    <t>CHRIST THADDEUS</t>
  </si>
  <si>
    <t>WILLY MICHAEL</t>
  </si>
  <si>
    <t>WILSON ALFANDO</t>
  </si>
  <si>
    <t>GABRIELLA ADELINE HALIM</t>
  </si>
  <si>
    <t>GRACE CAKRA</t>
  </si>
  <si>
    <t xml:space="preserve">ALIF FAZJRUL CAESAR IFMAINI </t>
  </si>
  <si>
    <t>MUHAMAD AKBAR MAULANA</t>
  </si>
  <si>
    <t>KALIS JOVIAL TELAUMBANUA</t>
  </si>
  <si>
    <t>JANE SYAHWALINA KAPRICA SANDRA</t>
  </si>
  <si>
    <t>ANDREW GUNAWAN</t>
  </si>
  <si>
    <t>NOVIA SYAHFITRI</t>
  </si>
  <si>
    <t>CAESHA RACHMA DHANI</t>
  </si>
  <si>
    <t>MIKHAEL EDO SINAMBELA</t>
  </si>
  <si>
    <t>BENEVITO KEVIN SEBASTIAN HARIANDJA</t>
  </si>
  <si>
    <t>PARVEEN UZMA HABIDIN</t>
  </si>
  <si>
    <t>ANGGA RIZKI RAMADHAN</t>
  </si>
  <si>
    <t>JUVENTIA AGNECIA</t>
  </si>
  <si>
    <t>KHANSA MARITZA AR-RAHMAH</t>
  </si>
  <si>
    <t>RENSHI YEHEZKIEL</t>
  </si>
  <si>
    <t>SRI BINTANG PRATOMO</t>
  </si>
  <si>
    <t>SORTED</t>
  </si>
  <si>
    <t>h</t>
  </si>
  <si>
    <t>r</t>
  </si>
  <si>
    <t>s</t>
  </si>
  <si>
    <t>Manual</t>
  </si>
  <si>
    <t>greedy</t>
  </si>
  <si>
    <t>Sum slot dosen sama</t>
  </si>
  <si>
    <t>Manual (2024/2025)</t>
  </si>
  <si>
    <t>Greedy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</si>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</sst>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1"/>
    </font>
    <font>
      <sz val="11"/>
      <color rgb="FFFF0000"/>
      <name val="Calibri"/>
      <family val="1"/>
    </font>
    <font>
      <b/>
      <sz val="12"/>
      <name val="Calibri"/>
      <family val="1"/>
    </font>
    <font>
      <sz val="11"/>
      <name val="Calibri"/>
      <family val="2"/>
    </font>
    <font>
      <b/>
      <sz val="12"/>
      <name val="Calibri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name val="Times New Roman"/>
      <family val="1"/>
    </font>
    <font>
      <b/>
      <sz val="10"/>
      <color rgb="FFFF0000"/>
      <name val="Times New Roman"/>
      <family val="1"/>
    </font>
    <font>
      <sz val="11"/>
      <color rgb="FFFF0000"/>
      <name val="Calibri"/>
      <family val="2"/>
    </font>
    <font>
      <sz val="10"/>
      <color theme="1"/>
      <name val="Times New Roman"/>
      <family val="1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96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1" fontId="3" fillId="0" borderId="1" xfId="0" applyNumberFormat="1" applyFont="1" applyBorder="1" applyAlignment="1">
      <alignment horizontal="left" vertical="top" shrinkToFit="1"/>
    </xf>
    <xf numFmtId="1" fontId="3" fillId="0" borderId="4" xfId="0" applyNumberFormat="1" applyFont="1" applyBorder="1" applyAlignment="1">
      <alignment horizontal="left" vertical="top" shrinkToFit="1"/>
    </xf>
    <xf numFmtId="0" fontId="0" fillId="0" borderId="0" xfId="0"/>
    <xf numFmtId="1" fontId="3" fillId="0" borderId="7" xfId="0" applyNumberFormat="1" applyFont="1" applyBorder="1" applyAlignment="1">
      <alignment horizontal="left" vertical="top" shrinkToFit="1"/>
    </xf>
    <xf numFmtId="0" fontId="0" fillId="0" borderId="0" xfId="0" applyAlignment="1">
      <alignment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top" wrapText="1"/>
    </xf>
    <xf numFmtId="1" fontId="3" fillId="0" borderId="4" xfId="0" applyNumberFormat="1" applyFont="1" applyBorder="1" applyAlignment="1">
      <alignment horizontal="center" vertical="top" shrinkToFit="1"/>
    </xf>
    <xf numFmtId="0" fontId="7" fillId="0" borderId="4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center" vertical="top" wrapText="1"/>
    </xf>
    <xf numFmtId="0" fontId="8" fillId="0" borderId="0" xfId="0" applyFont="1" applyAlignment="1">
      <alignment vertical="center" wrapText="1"/>
    </xf>
    <xf numFmtId="0" fontId="8" fillId="2" borderId="0" xfId="0" applyFont="1" applyFill="1" applyAlignment="1">
      <alignment vertical="center" wrapText="1"/>
    </xf>
    <xf numFmtId="1" fontId="3" fillId="0" borderId="0" xfId="0" applyNumberFormat="1" applyFont="1" applyAlignment="1">
      <alignment horizontal="center" vertical="top" shrinkToFit="1"/>
    </xf>
    <xf numFmtId="1" fontId="3" fillId="0" borderId="7" xfId="0" applyNumberFormat="1" applyFont="1" applyBorder="1" applyAlignment="1">
      <alignment horizontal="center" vertical="top" shrinkToFit="1"/>
    </xf>
    <xf numFmtId="0" fontId="7" fillId="0" borderId="7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center" vertical="top" wrapText="1"/>
    </xf>
    <xf numFmtId="1" fontId="3" fillId="0" borderId="0" xfId="0" applyNumberFormat="1" applyFont="1" applyAlignment="1">
      <alignment horizontal="left" vertical="top" shrinkToFi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11" xfId="0" applyBorder="1" applyAlignment="1">
      <alignment horizontal="left" vertical="top"/>
    </xf>
    <xf numFmtId="0" fontId="0" fillId="0" borderId="11" xfId="0" applyBorder="1" applyAlignment="1">
      <alignment horizontal="left" vertical="center" wrapText="1"/>
    </xf>
    <xf numFmtId="0" fontId="9" fillId="0" borderId="0" xfId="0" applyFont="1" applyAlignment="1">
      <alignment horizontal="left" vertical="top"/>
    </xf>
    <xf numFmtId="0" fontId="10" fillId="0" borderId="11" xfId="0" applyFont="1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top"/>
    </xf>
    <xf numFmtId="0" fontId="0" fillId="3" borderId="11" xfId="0" applyFill="1" applyBorder="1" applyAlignment="1">
      <alignment horizontal="left" vertical="top"/>
    </xf>
    <xf numFmtId="0" fontId="0" fillId="3" borderId="11" xfId="0" applyFill="1" applyBorder="1" applyAlignment="1">
      <alignment horizontal="left" vertical="center" wrapText="1"/>
    </xf>
    <xf numFmtId="0" fontId="11" fillId="3" borderId="11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3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1" fontId="14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left" vertical="top" shrinkToFit="1"/>
    </xf>
    <xf numFmtId="0" fontId="11" fillId="0" borderId="11" xfId="0" applyFont="1" applyBorder="1" applyAlignment="1">
      <alignment horizontal="left" vertical="center" wrapText="1"/>
    </xf>
    <xf numFmtId="1" fontId="14" fillId="0" borderId="4" xfId="0" applyNumberFormat="1" applyFont="1" applyBorder="1" applyAlignment="1">
      <alignment horizontal="left" vertical="top" shrinkToFit="1"/>
    </xf>
    <xf numFmtId="0" fontId="0" fillId="0" borderId="13" xfId="0" applyBorder="1" applyAlignment="1">
      <alignment horizontal="left" vertical="top"/>
    </xf>
    <xf numFmtId="0" fontId="0" fillId="3" borderId="13" xfId="0" applyFill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0" fontId="15" fillId="0" borderId="0" xfId="0" applyFont="1" applyAlignment="1">
      <alignment horizontal="left" vertical="top"/>
    </xf>
    <xf numFmtId="1" fontId="16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left" vertical="top" shrinkToFit="1"/>
    </xf>
    <xf numFmtId="0" fontId="15" fillId="0" borderId="11" xfId="0" applyFont="1" applyBorder="1" applyAlignment="1">
      <alignment horizontal="left" vertical="center" wrapText="1"/>
    </xf>
    <xf numFmtId="1" fontId="16" fillId="0" borderId="4" xfId="0" applyNumberFormat="1" applyFont="1" applyBorder="1" applyAlignment="1">
      <alignment horizontal="left" vertical="top" shrinkToFit="1"/>
    </xf>
    <xf numFmtId="1" fontId="16" fillId="0" borderId="4" xfId="0" applyNumberFormat="1" applyFont="1" applyBorder="1" applyAlignment="1">
      <alignment horizontal="center" vertical="top" shrinkToFit="1"/>
    </xf>
    <xf numFmtId="0" fontId="15" fillId="0" borderId="13" xfId="0" applyFont="1" applyBorder="1" applyAlignment="1">
      <alignment horizontal="left" vertical="center" wrapText="1"/>
    </xf>
    <xf numFmtId="0" fontId="15" fillId="0" borderId="14" xfId="0" applyFont="1" applyBorder="1" applyAlignment="1">
      <alignment horizontal="left" vertical="center" wrapText="1"/>
    </xf>
    <xf numFmtId="1" fontId="16" fillId="0" borderId="7" xfId="0" applyNumberFormat="1" applyFont="1" applyBorder="1" applyAlignment="1">
      <alignment horizontal="center" vertical="top" shrinkToFit="1"/>
    </xf>
    <xf numFmtId="1" fontId="16" fillId="0" borderId="7" xfId="0" applyNumberFormat="1" applyFont="1" applyBorder="1" applyAlignment="1">
      <alignment horizontal="left" vertical="top" shrinkToFit="1"/>
    </xf>
    <xf numFmtId="0" fontId="15" fillId="0" borderId="12" xfId="0" applyFont="1" applyBorder="1" applyAlignment="1">
      <alignment horizontal="left" vertical="top"/>
    </xf>
    <xf numFmtId="1" fontId="16" fillId="0" borderId="15" xfId="0" applyNumberFormat="1" applyFont="1" applyBorder="1" applyAlignment="1">
      <alignment horizontal="center" vertical="top" shrinkToFit="1"/>
    </xf>
    <xf numFmtId="1" fontId="16" fillId="0" borderId="15" xfId="0" applyNumberFormat="1" applyFont="1" applyBorder="1" applyAlignment="1">
      <alignment horizontal="left" vertical="top" shrinkToFit="1"/>
    </xf>
    <xf numFmtId="0" fontId="0" fillId="0" borderId="14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15" fillId="0" borderId="22" xfId="0" applyFont="1" applyBorder="1" applyAlignment="1">
      <alignment horizontal="left" vertical="top"/>
    </xf>
    <xf numFmtId="0" fontId="15" fillId="0" borderId="23" xfId="0" applyFont="1" applyBorder="1" applyAlignment="1">
      <alignment horizontal="left" vertical="top"/>
    </xf>
    <xf numFmtId="0" fontId="15" fillId="0" borderId="24" xfId="0" applyFont="1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1" fontId="3" fillId="0" borderId="11" xfId="0" applyNumberFormat="1" applyFont="1" applyBorder="1" applyAlignment="1">
      <alignment horizontal="center" vertical="top" shrinkToFit="1"/>
    </xf>
    <xf numFmtId="1" fontId="3" fillId="0" borderId="11" xfId="0" applyNumberFormat="1" applyFont="1" applyBorder="1" applyAlignment="1">
      <alignment horizontal="left" vertical="top" shrinkToFit="1"/>
    </xf>
    <xf numFmtId="0" fontId="10" fillId="0" borderId="11" xfId="0" applyFont="1" applyBorder="1" applyAlignment="1">
      <alignment horizontal="left" vertical="center" wrapText="1"/>
    </xf>
    <xf numFmtId="0" fontId="10" fillId="0" borderId="0" xfId="0" applyFont="1" applyAlignment="1">
      <alignment vertical="top"/>
    </xf>
    <xf numFmtId="0" fontId="15" fillId="0" borderId="11" xfId="0" applyFont="1" applyBorder="1" applyAlignment="1">
      <alignment horizontal="center" vertical="top"/>
    </xf>
    <xf numFmtId="0" fontId="10" fillId="0" borderId="11" xfId="0" applyFont="1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9" fillId="0" borderId="13" xfId="0" applyFont="1" applyBorder="1" applyAlignment="1">
      <alignment horizontal="center" vertical="top"/>
    </xf>
    <xf numFmtId="0" fontId="9" fillId="0" borderId="14" xfId="0" applyFont="1" applyBorder="1" applyAlignment="1">
      <alignment horizontal="center" vertical="top"/>
    </xf>
    <xf numFmtId="0" fontId="6" fillId="2" borderId="8" xfId="0" applyFont="1" applyFill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8" fillId="2" borderId="0" xfId="0" applyFont="1" applyFill="1" applyAlignment="1">
      <alignment horizontal="left" vertical="top" wrapText="1"/>
    </xf>
    <xf numFmtId="0" fontId="8" fillId="2" borderId="0" xfId="0" applyFont="1" applyFill="1" applyAlignment="1">
      <alignment horizontal="left" vertical="center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6" fillId="2" borderId="0" xfId="0" applyFont="1" applyFill="1" applyAlignment="1">
      <alignment horizontal="left" vertical="center" wrapText="1"/>
    </xf>
    <xf numFmtId="0" fontId="4" fillId="0" borderId="2" xfId="0" applyFont="1" applyBorder="1" applyAlignment="1">
      <alignment horizontal="left" vertical="top" wrapText="1"/>
    </xf>
    <xf numFmtId="0" fontId="15" fillId="0" borderId="20" xfId="0" applyFont="1" applyBorder="1" applyAlignment="1">
      <alignment horizontal="center" vertical="top"/>
    </xf>
    <xf numFmtId="0" fontId="15" fillId="0" borderId="21" xfId="0" applyFont="1" applyBorder="1" applyAlignment="1">
      <alignment horizontal="center" vertical="top"/>
    </xf>
    <xf numFmtId="0" fontId="10" fillId="0" borderId="21" xfId="0" applyFont="1" applyBorder="1" applyAlignment="1">
      <alignment horizontal="center" vertical="top"/>
    </xf>
    <xf numFmtId="0" fontId="0" fillId="0" borderId="21" xfId="0" applyBorder="1" applyAlignment="1">
      <alignment horizontal="center" vertical="top"/>
    </xf>
    <xf numFmtId="0" fontId="15" fillId="0" borderId="19" xfId="0" applyFont="1" applyBorder="1" applyAlignment="1">
      <alignment horizontal="center" vertical="top"/>
    </xf>
    <xf numFmtId="0" fontId="15" fillId="0" borderId="26" xfId="0" applyFont="1" applyBorder="1" applyAlignment="1">
      <alignment horizontal="center" vertical="top"/>
    </xf>
  </cellXfs>
  <cellStyles count="3">
    <cellStyle name="Normal" xfId="0" builtinId="0"/>
    <cellStyle name="Normal 2" xfId="1" xr:uid="{C21B48C1-66A1-4A50-B087-588202FAF0AE}"/>
    <cellStyle name="Normal 3" xfId="2" xr:uid="{FC57AEF2-ACD9-4B41-8634-2E9F636B6971}"/>
  </cellStyles>
  <dxfs count="26"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33A5C-010B-4797-A266-13FC338AB727}">
  <dimension ref="A1:AF507"/>
  <sheetViews>
    <sheetView zoomScale="85" zoomScaleNormal="85" workbookViewId="0">
      <pane ySplit="2" topLeftCell="A246" activePane="bottomLeft" state="frozen"/>
      <selection pane="bottomLeft" activeCell="S266" sqref="S266"/>
    </sheetView>
  </sheetViews>
  <sheetFormatPr defaultRowHeight="12.75" x14ac:dyDescent="0.2"/>
  <cols>
    <col min="1" max="1" width="5.1640625" bestFit="1" customWidth="1"/>
    <col min="2" max="2" width="5.6640625" bestFit="1" customWidth="1"/>
    <col min="3" max="3" width="7.5" bestFit="1" customWidth="1"/>
    <col min="4" max="4" width="14.5" bestFit="1" customWidth="1"/>
    <col min="5" max="5" width="13.33203125" bestFit="1" customWidth="1"/>
    <col min="6" max="6" width="19.83203125" customWidth="1"/>
    <col min="10" max="10" width="12.33203125" hidden="1" customWidth="1"/>
    <col min="12" max="12" width="18.33203125" customWidth="1"/>
    <col min="13" max="13" width="19.83203125" customWidth="1"/>
    <col min="14" max="14" width="13" bestFit="1" customWidth="1"/>
    <col min="23" max="23" width="9.33203125" style="44"/>
  </cols>
  <sheetData>
    <row r="1" spans="1:23" x14ac:dyDescent="0.2">
      <c r="A1" s="72" t="s">
        <v>1229</v>
      </c>
      <c r="B1" s="72"/>
      <c r="C1" s="72"/>
      <c r="D1" s="72"/>
      <c r="E1" s="72"/>
      <c r="F1" s="72"/>
      <c r="G1" s="73" t="s">
        <v>1230</v>
      </c>
      <c r="H1" s="74"/>
      <c r="I1" s="74"/>
      <c r="J1" s="74"/>
      <c r="K1" s="74"/>
      <c r="L1" s="74"/>
      <c r="M1" s="74"/>
      <c r="N1" s="75" t="s">
        <v>886</v>
      </c>
    </row>
    <row r="2" spans="1:23" x14ac:dyDescent="0.2">
      <c r="A2" s="24" t="s">
        <v>878</v>
      </c>
      <c r="B2" s="24" t="s">
        <v>879</v>
      </c>
      <c r="C2" s="24" t="s">
        <v>880</v>
      </c>
      <c r="D2" s="27" t="s">
        <v>176</v>
      </c>
      <c r="E2" s="24" t="s">
        <v>151</v>
      </c>
      <c r="F2" s="27" t="s">
        <v>152</v>
      </c>
      <c r="G2" s="24" t="s">
        <v>149</v>
      </c>
      <c r="H2" s="24" t="s">
        <v>148</v>
      </c>
      <c r="I2" s="24" t="s">
        <v>150</v>
      </c>
      <c r="J2" s="24"/>
      <c r="K2" s="24" t="s">
        <v>176</v>
      </c>
      <c r="L2" s="24" t="s">
        <v>151</v>
      </c>
      <c r="M2" s="24" t="s">
        <v>152</v>
      </c>
      <c r="N2" s="76"/>
      <c r="S2" t="s">
        <v>1223</v>
      </c>
      <c r="T2" t="s">
        <v>1224</v>
      </c>
      <c r="U2" t="s">
        <v>1225</v>
      </c>
      <c r="V2" s="24" t="s">
        <v>1226</v>
      </c>
      <c r="W2" s="31" t="s">
        <v>1227</v>
      </c>
    </row>
    <row r="3" spans="1:23" ht="15" x14ac:dyDescent="0.2">
      <c r="A3" s="68">
        <v>0</v>
      </c>
      <c r="B3" s="68">
        <v>0</v>
      </c>
      <c r="C3" s="68">
        <v>0</v>
      </c>
      <c r="D3" s="69">
        <v>825220024</v>
      </c>
      <c r="E3" s="69" t="s">
        <v>142</v>
      </c>
      <c r="F3" s="24" t="s">
        <v>160</v>
      </c>
      <c r="G3" s="24">
        <v>0</v>
      </c>
      <c r="H3" s="24">
        <v>0</v>
      </c>
      <c r="I3" s="24">
        <v>0</v>
      </c>
      <c r="J3" s="24" t="s">
        <v>888</v>
      </c>
      <c r="K3" s="24" t="s">
        <v>177</v>
      </c>
      <c r="L3" s="24" t="s">
        <v>142</v>
      </c>
      <c r="M3" s="24" t="s">
        <v>153</v>
      </c>
      <c r="N3" s="25">
        <v>0</v>
      </c>
      <c r="S3">
        <v>0</v>
      </c>
      <c r="T3">
        <v>0</v>
      </c>
      <c r="U3">
        <v>0</v>
      </c>
      <c r="V3" s="25">
        <v>5</v>
      </c>
      <c r="W3" s="32">
        <v>5</v>
      </c>
    </row>
    <row r="4" spans="1:23" ht="15" x14ac:dyDescent="0.2">
      <c r="A4" s="68">
        <v>0</v>
      </c>
      <c r="B4" s="68">
        <v>0</v>
      </c>
      <c r="C4" s="68">
        <v>0</v>
      </c>
      <c r="D4" s="69">
        <v>825220040</v>
      </c>
      <c r="E4" s="69" t="s">
        <v>142</v>
      </c>
      <c r="F4" s="24" t="s">
        <v>160</v>
      </c>
      <c r="G4" s="24">
        <v>0</v>
      </c>
      <c r="H4" s="24">
        <v>0</v>
      </c>
      <c r="I4" s="24">
        <v>0</v>
      </c>
      <c r="J4" s="24" t="s">
        <v>889</v>
      </c>
      <c r="K4" s="24" t="s">
        <v>178</v>
      </c>
      <c r="L4" s="24" t="s">
        <v>142</v>
      </c>
      <c r="M4" s="24" t="s">
        <v>153</v>
      </c>
      <c r="N4" s="25">
        <v>0</v>
      </c>
      <c r="S4">
        <v>0</v>
      </c>
      <c r="T4">
        <v>0</v>
      </c>
      <c r="U4">
        <v>1</v>
      </c>
      <c r="V4" s="25">
        <v>5</v>
      </c>
      <c r="W4" s="32">
        <v>5</v>
      </c>
    </row>
    <row r="5" spans="1:23" ht="15" x14ac:dyDescent="0.2">
      <c r="A5" s="68">
        <v>0</v>
      </c>
      <c r="B5" s="68">
        <v>0</v>
      </c>
      <c r="C5" s="68">
        <v>0</v>
      </c>
      <c r="D5" s="69">
        <v>825220045</v>
      </c>
      <c r="E5" s="69" t="s">
        <v>142</v>
      </c>
      <c r="F5" s="24" t="s">
        <v>160</v>
      </c>
      <c r="G5" s="24">
        <v>0</v>
      </c>
      <c r="H5" s="24">
        <v>0</v>
      </c>
      <c r="I5" s="24">
        <v>0</v>
      </c>
      <c r="J5" s="24" t="s">
        <v>890</v>
      </c>
      <c r="K5" s="24" t="s">
        <v>179</v>
      </c>
      <c r="L5" s="24" t="s">
        <v>142</v>
      </c>
      <c r="M5" s="24" t="s">
        <v>153</v>
      </c>
      <c r="N5" s="25">
        <v>0</v>
      </c>
      <c r="S5">
        <v>0</v>
      </c>
      <c r="T5">
        <v>0</v>
      </c>
      <c r="U5">
        <v>2</v>
      </c>
      <c r="V5" s="25">
        <v>5</v>
      </c>
      <c r="W5" s="32">
        <v>5</v>
      </c>
    </row>
    <row r="6" spans="1:23" ht="15" x14ac:dyDescent="0.2">
      <c r="A6" s="68">
        <v>0</v>
      </c>
      <c r="B6" s="68">
        <v>0</v>
      </c>
      <c r="C6" s="68">
        <v>0</v>
      </c>
      <c r="D6" s="69">
        <v>825220049</v>
      </c>
      <c r="E6" s="69" t="s">
        <v>142</v>
      </c>
      <c r="F6" s="24" t="s">
        <v>160</v>
      </c>
      <c r="G6" s="24">
        <v>0</v>
      </c>
      <c r="H6" s="24">
        <v>0</v>
      </c>
      <c r="I6" s="24">
        <v>0</v>
      </c>
      <c r="J6" s="24" t="s">
        <v>891</v>
      </c>
      <c r="K6" s="24" t="s">
        <v>180</v>
      </c>
      <c r="L6" s="24" t="s">
        <v>142</v>
      </c>
      <c r="M6" s="24" t="s">
        <v>153</v>
      </c>
      <c r="N6" s="25">
        <v>0</v>
      </c>
      <c r="S6">
        <v>0</v>
      </c>
      <c r="T6">
        <v>0</v>
      </c>
      <c r="U6">
        <v>3</v>
      </c>
      <c r="V6" s="25">
        <v>5</v>
      </c>
      <c r="W6" s="32">
        <v>5</v>
      </c>
    </row>
    <row r="7" spans="1:23" ht="15" x14ac:dyDescent="0.2">
      <c r="A7" s="68">
        <v>0</v>
      </c>
      <c r="B7" s="68">
        <v>0</v>
      </c>
      <c r="C7" s="68">
        <v>0</v>
      </c>
      <c r="D7" s="69">
        <v>825220055</v>
      </c>
      <c r="E7" s="69" t="s">
        <v>142</v>
      </c>
      <c r="F7" s="24" t="s">
        <v>160</v>
      </c>
      <c r="G7" s="24">
        <v>0</v>
      </c>
      <c r="H7" s="24">
        <v>0</v>
      </c>
      <c r="I7" s="24">
        <v>0</v>
      </c>
      <c r="J7" s="24" t="s">
        <v>892</v>
      </c>
      <c r="K7" s="24" t="s">
        <v>181</v>
      </c>
      <c r="L7" s="24" t="s">
        <v>142</v>
      </c>
      <c r="M7" s="24" t="s">
        <v>153</v>
      </c>
      <c r="N7" s="25">
        <v>0</v>
      </c>
      <c r="S7">
        <v>0</v>
      </c>
      <c r="T7">
        <v>0</v>
      </c>
      <c r="U7">
        <v>4</v>
      </c>
      <c r="V7" s="25">
        <v>5</v>
      </c>
      <c r="W7" s="32">
        <v>5</v>
      </c>
    </row>
    <row r="8" spans="1:23" ht="15" x14ac:dyDescent="0.2">
      <c r="A8" s="68">
        <v>1</v>
      </c>
      <c r="B8" s="68">
        <v>0</v>
      </c>
      <c r="C8" s="68">
        <v>0</v>
      </c>
      <c r="D8" s="69">
        <v>825220089</v>
      </c>
      <c r="E8" s="69" t="s">
        <v>142</v>
      </c>
      <c r="F8" s="24" t="s">
        <v>160</v>
      </c>
      <c r="G8" s="24">
        <v>1</v>
      </c>
      <c r="H8" s="24">
        <v>0</v>
      </c>
      <c r="I8" s="24">
        <v>0</v>
      </c>
      <c r="J8" s="24" t="s">
        <v>903</v>
      </c>
      <c r="K8" s="24" t="s">
        <v>192</v>
      </c>
      <c r="L8" s="24" t="s">
        <v>142</v>
      </c>
      <c r="M8" s="24" t="s">
        <v>153</v>
      </c>
      <c r="N8" s="25">
        <v>0</v>
      </c>
      <c r="S8">
        <v>0</v>
      </c>
      <c r="T8">
        <v>0</v>
      </c>
      <c r="U8">
        <v>5</v>
      </c>
      <c r="V8" s="25">
        <v>5</v>
      </c>
      <c r="W8" s="32">
        <v>5</v>
      </c>
    </row>
    <row r="9" spans="1:23" ht="15" x14ac:dyDescent="0.2">
      <c r="A9" s="68">
        <v>1</v>
      </c>
      <c r="B9" s="68">
        <v>0</v>
      </c>
      <c r="C9" s="68">
        <v>0</v>
      </c>
      <c r="D9" s="69">
        <v>825220132</v>
      </c>
      <c r="E9" s="69" t="s">
        <v>142</v>
      </c>
      <c r="F9" s="24" t="s">
        <v>160</v>
      </c>
      <c r="G9" s="24">
        <v>1</v>
      </c>
      <c r="H9" s="24">
        <v>0</v>
      </c>
      <c r="I9" s="24">
        <v>0</v>
      </c>
      <c r="J9" s="24" t="s">
        <v>904</v>
      </c>
      <c r="K9" s="24" t="s">
        <v>193</v>
      </c>
      <c r="L9" s="24" t="s">
        <v>142</v>
      </c>
      <c r="M9" s="24" t="s">
        <v>153</v>
      </c>
      <c r="N9" s="25">
        <v>0</v>
      </c>
      <c r="S9">
        <v>0</v>
      </c>
      <c r="T9">
        <v>0</v>
      </c>
      <c r="U9">
        <v>6</v>
      </c>
      <c r="V9" s="25">
        <v>5</v>
      </c>
      <c r="W9" s="32">
        <v>5</v>
      </c>
    </row>
    <row r="10" spans="1:23" ht="15" x14ac:dyDescent="0.2">
      <c r="A10" s="68">
        <v>1</v>
      </c>
      <c r="B10" s="68">
        <v>0</v>
      </c>
      <c r="C10" s="68">
        <v>0</v>
      </c>
      <c r="D10" s="69">
        <v>825220151</v>
      </c>
      <c r="E10" s="69" t="s">
        <v>142</v>
      </c>
      <c r="F10" s="24" t="s">
        <v>160</v>
      </c>
      <c r="G10" s="24">
        <v>1</v>
      </c>
      <c r="H10" s="24">
        <v>0</v>
      </c>
      <c r="I10" s="24">
        <v>0</v>
      </c>
      <c r="J10" s="24" t="s">
        <v>905</v>
      </c>
      <c r="K10" s="24" t="s">
        <v>194</v>
      </c>
      <c r="L10" s="24" t="s">
        <v>142</v>
      </c>
      <c r="M10" s="24" t="s">
        <v>153</v>
      </c>
      <c r="N10" s="25">
        <v>0</v>
      </c>
      <c r="S10">
        <v>0</v>
      </c>
      <c r="T10">
        <v>1</v>
      </c>
      <c r="U10">
        <v>0</v>
      </c>
      <c r="V10" s="25">
        <v>0</v>
      </c>
      <c r="W10" s="32">
        <v>5</v>
      </c>
    </row>
    <row r="11" spans="1:23" ht="15" x14ac:dyDescent="0.2">
      <c r="A11" s="68">
        <v>1</v>
      </c>
      <c r="B11" s="68">
        <v>0</v>
      </c>
      <c r="C11" s="68">
        <v>0</v>
      </c>
      <c r="D11" s="69">
        <v>825220154</v>
      </c>
      <c r="E11" s="69" t="s">
        <v>142</v>
      </c>
      <c r="F11" s="24" t="s">
        <v>160</v>
      </c>
      <c r="G11" s="24">
        <v>1</v>
      </c>
      <c r="H11" s="24">
        <v>0</v>
      </c>
      <c r="I11" s="24">
        <v>0</v>
      </c>
      <c r="J11" s="24" t="s">
        <v>906</v>
      </c>
      <c r="K11" s="24" t="s">
        <v>195</v>
      </c>
      <c r="L11" s="24" t="s">
        <v>142</v>
      </c>
      <c r="M11" s="24" t="s">
        <v>153</v>
      </c>
      <c r="N11" s="25">
        <v>0</v>
      </c>
      <c r="S11">
        <v>0</v>
      </c>
      <c r="T11">
        <v>1</v>
      </c>
      <c r="U11">
        <v>1</v>
      </c>
      <c r="V11" s="25">
        <v>0</v>
      </c>
      <c r="W11" s="32">
        <v>5</v>
      </c>
    </row>
    <row r="12" spans="1:23" ht="15" x14ac:dyDescent="0.2">
      <c r="A12" s="68">
        <v>1</v>
      </c>
      <c r="B12" s="68">
        <v>0</v>
      </c>
      <c r="C12" s="68">
        <v>0</v>
      </c>
      <c r="D12" s="69">
        <v>825220046</v>
      </c>
      <c r="E12" s="69" t="s">
        <v>142</v>
      </c>
      <c r="F12" s="24" t="s">
        <v>153</v>
      </c>
      <c r="G12" s="24">
        <v>1</v>
      </c>
      <c r="H12" s="24">
        <v>0</v>
      </c>
      <c r="I12" s="24">
        <v>0</v>
      </c>
      <c r="J12" s="24" t="s">
        <v>907</v>
      </c>
      <c r="K12" s="24" t="s">
        <v>196</v>
      </c>
      <c r="L12" s="24" t="s">
        <v>142</v>
      </c>
      <c r="M12" s="24" t="s">
        <v>153</v>
      </c>
      <c r="N12" s="25">
        <v>1</v>
      </c>
      <c r="S12">
        <v>0</v>
      </c>
      <c r="T12">
        <v>1</v>
      </c>
      <c r="U12">
        <v>2</v>
      </c>
      <c r="V12" s="25">
        <v>0</v>
      </c>
      <c r="W12" s="32">
        <v>5</v>
      </c>
    </row>
    <row r="13" spans="1:23" ht="15" x14ac:dyDescent="0.2">
      <c r="A13" s="68">
        <v>2</v>
      </c>
      <c r="B13" s="68">
        <v>0</v>
      </c>
      <c r="C13" s="68">
        <v>0</v>
      </c>
      <c r="D13" s="69">
        <v>825220048</v>
      </c>
      <c r="E13" s="69" t="s">
        <v>142</v>
      </c>
      <c r="F13" s="24" t="s">
        <v>153</v>
      </c>
      <c r="G13" s="24">
        <v>2</v>
      </c>
      <c r="H13" s="24">
        <v>0</v>
      </c>
      <c r="I13" s="24">
        <v>0</v>
      </c>
      <c r="J13" s="24" t="s">
        <v>918</v>
      </c>
      <c r="K13" s="24" t="s">
        <v>207</v>
      </c>
      <c r="L13" s="24" t="s">
        <v>142</v>
      </c>
      <c r="M13" s="24" t="s">
        <v>153</v>
      </c>
      <c r="N13" s="25">
        <v>1</v>
      </c>
      <c r="S13">
        <v>0</v>
      </c>
      <c r="T13">
        <v>1</v>
      </c>
      <c r="U13">
        <v>3</v>
      </c>
      <c r="V13" s="25">
        <v>0</v>
      </c>
      <c r="W13" s="32">
        <v>5</v>
      </c>
    </row>
    <row r="14" spans="1:23" ht="15" x14ac:dyDescent="0.2">
      <c r="A14" s="68">
        <v>2</v>
      </c>
      <c r="B14" s="68">
        <v>0</v>
      </c>
      <c r="C14" s="68">
        <v>0</v>
      </c>
      <c r="D14" s="69">
        <v>825220057</v>
      </c>
      <c r="E14" s="69" t="s">
        <v>142</v>
      </c>
      <c r="F14" s="24" t="s">
        <v>153</v>
      </c>
      <c r="G14" s="24">
        <v>2</v>
      </c>
      <c r="H14" s="24">
        <v>0</v>
      </c>
      <c r="I14" s="24">
        <v>0</v>
      </c>
      <c r="J14" s="24" t="s">
        <v>919</v>
      </c>
      <c r="K14" s="24" t="s">
        <v>208</v>
      </c>
      <c r="L14" s="24" t="s">
        <v>142</v>
      </c>
      <c r="M14" s="24" t="s">
        <v>153</v>
      </c>
      <c r="N14" s="25">
        <v>1</v>
      </c>
      <c r="S14">
        <v>0</v>
      </c>
      <c r="T14">
        <v>1</v>
      </c>
      <c r="U14">
        <v>4</v>
      </c>
      <c r="V14" s="25">
        <v>0</v>
      </c>
      <c r="W14" s="32">
        <v>5</v>
      </c>
    </row>
    <row r="15" spans="1:23" ht="15" x14ac:dyDescent="0.2">
      <c r="A15" s="68">
        <v>2</v>
      </c>
      <c r="B15" s="68">
        <v>0</v>
      </c>
      <c r="C15" s="68">
        <v>0</v>
      </c>
      <c r="D15" s="69">
        <v>825220060</v>
      </c>
      <c r="E15" s="69" t="s">
        <v>142</v>
      </c>
      <c r="F15" s="24" t="s">
        <v>153</v>
      </c>
      <c r="G15" s="24">
        <v>2</v>
      </c>
      <c r="H15" s="24">
        <v>0</v>
      </c>
      <c r="I15" s="24">
        <v>0</v>
      </c>
      <c r="J15" s="24" t="s">
        <v>920</v>
      </c>
      <c r="K15" s="24" t="s">
        <v>209</v>
      </c>
      <c r="L15" s="24" t="s">
        <v>142</v>
      </c>
      <c r="M15" s="24" t="s">
        <v>153</v>
      </c>
      <c r="N15" s="25">
        <v>1</v>
      </c>
      <c r="S15">
        <v>0</v>
      </c>
      <c r="T15">
        <v>1</v>
      </c>
      <c r="U15">
        <v>5</v>
      </c>
      <c r="V15" s="25">
        <v>0</v>
      </c>
      <c r="W15" s="32">
        <v>5</v>
      </c>
    </row>
    <row r="16" spans="1:23" ht="15" x14ac:dyDescent="0.2">
      <c r="A16" s="68">
        <v>2</v>
      </c>
      <c r="B16" s="68">
        <v>0</v>
      </c>
      <c r="C16" s="68">
        <v>0</v>
      </c>
      <c r="D16" s="69">
        <v>825220061</v>
      </c>
      <c r="E16" s="69" t="s">
        <v>142</v>
      </c>
      <c r="F16" s="24" t="s">
        <v>153</v>
      </c>
      <c r="G16" s="24">
        <v>2</v>
      </c>
      <c r="H16" s="24">
        <v>0</v>
      </c>
      <c r="I16" s="24">
        <v>0</v>
      </c>
      <c r="J16" s="24" t="s">
        <v>921</v>
      </c>
      <c r="K16" s="24" t="s">
        <v>210</v>
      </c>
      <c r="L16" s="24" t="s">
        <v>142</v>
      </c>
      <c r="M16" s="24" t="s">
        <v>153</v>
      </c>
      <c r="N16" s="25">
        <v>1</v>
      </c>
      <c r="S16">
        <v>0</v>
      </c>
      <c r="T16">
        <v>1</v>
      </c>
      <c r="U16">
        <v>6</v>
      </c>
      <c r="V16" s="25">
        <v>0</v>
      </c>
      <c r="W16" s="32">
        <v>5</v>
      </c>
    </row>
    <row r="17" spans="1:23" ht="15" x14ac:dyDescent="0.2">
      <c r="A17" s="68">
        <v>2</v>
      </c>
      <c r="B17" s="68">
        <v>0</v>
      </c>
      <c r="C17" s="68">
        <v>0</v>
      </c>
      <c r="D17" s="69">
        <v>825220064</v>
      </c>
      <c r="E17" s="69" t="s">
        <v>142</v>
      </c>
      <c r="F17" s="24" t="s">
        <v>153</v>
      </c>
      <c r="G17" s="24">
        <v>2</v>
      </c>
      <c r="H17" s="24">
        <v>0</v>
      </c>
      <c r="I17" s="24">
        <v>0</v>
      </c>
      <c r="J17" s="24" t="s">
        <v>922</v>
      </c>
      <c r="K17" s="24" t="s">
        <v>211</v>
      </c>
      <c r="L17" s="24" t="s">
        <v>142</v>
      </c>
      <c r="M17" s="24" t="s">
        <v>153</v>
      </c>
      <c r="N17" s="25">
        <v>1</v>
      </c>
      <c r="S17">
        <v>0</v>
      </c>
      <c r="T17">
        <v>2</v>
      </c>
      <c r="U17">
        <v>0</v>
      </c>
      <c r="V17" s="25">
        <v>0</v>
      </c>
      <c r="W17" s="32">
        <v>5</v>
      </c>
    </row>
    <row r="18" spans="1:23" ht="15" x14ac:dyDescent="0.2">
      <c r="A18" s="68">
        <v>3</v>
      </c>
      <c r="B18" s="68">
        <v>0</v>
      </c>
      <c r="C18" s="68">
        <v>0</v>
      </c>
      <c r="D18" s="69">
        <v>825220012</v>
      </c>
      <c r="E18" s="69" t="s">
        <v>142</v>
      </c>
      <c r="F18" s="24" t="s">
        <v>155</v>
      </c>
      <c r="G18" s="24">
        <v>3</v>
      </c>
      <c r="H18" s="24">
        <v>0</v>
      </c>
      <c r="I18" s="24">
        <v>0</v>
      </c>
      <c r="J18" s="24" t="s">
        <v>933</v>
      </c>
      <c r="K18" s="24" t="s">
        <v>222</v>
      </c>
      <c r="L18" s="24" t="s">
        <v>142</v>
      </c>
      <c r="M18" s="24" t="s">
        <v>153</v>
      </c>
      <c r="N18" s="25">
        <v>0</v>
      </c>
      <c r="S18">
        <v>0</v>
      </c>
      <c r="T18">
        <v>2</v>
      </c>
      <c r="U18">
        <v>1</v>
      </c>
      <c r="V18" s="25">
        <v>0</v>
      </c>
      <c r="W18" s="32">
        <v>5</v>
      </c>
    </row>
    <row r="19" spans="1:23" ht="15" x14ac:dyDescent="0.2">
      <c r="A19" s="68">
        <v>3</v>
      </c>
      <c r="B19" s="68">
        <v>0</v>
      </c>
      <c r="C19" s="68">
        <v>0</v>
      </c>
      <c r="D19" s="69">
        <v>825220016</v>
      </c>
      <c r="E19" s="69" t="s">
        <v>142</v>
      </c>
      <c r="F19" s="24" t="s">
        <v>155</v>
      </c>
      <c r="G19" s="24">
        <v>3</v>
      </c>
      <c r="H19" s="24">
        <v>0</v>
      </c>
      <c r="I19" s="24">
        <v>0</v>
      </c>
      <c r="J19" s="24" t="s">
        <v>934</v>
      </c>
      <c r="K19" s="24" t="s">
        <v>223</v>
      </c>
      <c r="L19" s="24" t="s">
        <v>142</v>
      </c>
      <c r="M19" s="24" t="s">
        <v>156</v>
      </c>
      <c r="N19" s="25">
        <v>0</v>
      </c>
      <c r="S19">
        <v>0</v>
      </c>
      <c r="T19">
        <v>2</v>
      </c>
      <c r="U19">
        <v>2</v>
      </c>
      <c r="V19" s="25">
        <v>0</v>
      </c>
      <c r="W19" s="32">
        <v>5</v>
      </c>
    </row>
    <row r="20" spans="1:23" ht="15" x14ac:dyDescent="0.2">
      <c r="A20" s="68">
        <v>3</v>
      </c>
      <c r="B20" s="68">
        <v>0</v>
      </c>
      <c r="C20" s="68">
        <v>0</v>
      </c>
      <c r="D20" s="69">
        <v>825220020</v>
      </c>
      <c r="E20" s="69" t="s">
        <v>142</v>
      </c>
      <c r="F20" s="24" t="s">
        <v>155</v>
      </c>
      <c r="G20" s="24">
        <v>3</v>
      </c>
      <c r="H20" s="24">
        <v>0</v>
      </c>
      <c r="I20" s="24">
        <v>0</v>
      </c>
      <c r="J20" s="24" t="s">
        <v>935</v>
      </c>
      <c r="K20" s="24" t="s">
        <v>224</v>
      </c>
      <c r="L20" s="24" t="s">
        <v>142</v>
      </c>
      <c r="M20" s="24" t="s">
        <v>156</v>
      </c>
      <c r="N20" s="25">
        <v>0</v>
      </c>
      <c r="S20">
        <v>0</v>
      </c>
      <c r="T20">
        <v>2</v>
      </c>
      <c r="U20">
        <v>3</v>
      </c>
      <c r="V20" s="25">
        <v>0</v>
      </c>
      <c r="W20" s="32">
        <v>5</v>
      </c>
    </row>
    <row r="21" spans="1:23" ht="15" x14ac:dyDescent="0.2">
      <c r="A21" s="68">
        <v>3</v>
      </c>
      <c r="B21" s="68">
        <v>0</v>
      </c>
      <c r="C21" s="68">
        <v>0</v>
      </c>
      <c r="D21" s="69">
        <v>825220023</v>
      </c>
      <c r="E21" s="69" t="s">
        <v>142</v>
      </c>
      <c r="F21" s="24" t="s">
        <v>155</v>
      </c>
      <c r="G21" s="24">
        <v>3</v>
      </c>
      <c r="H21" s="24">
        <v>0</v>
      </c>
      <c r="I21" s="24">
        <v>0</v>
      </c>
      <c r="J21" s="24" t="s">
        <v>936</v>
      </c>
      <c r="K21" s="24" t="s">
        <v>225</v>
      </c>
      <c r="L21" s="24" t="s">
        <v>142</v>
      </c>
      <c r="M21" s="24" t="s">
        <v>156</v>
      </c>
      <c r="N21" s="25">
        <v>0</v>
      </c>
      <c r="S21">
        <v>0</v>
      </c>
      <c r="T21">
        <v>2</v>
      </c>
      <c r="U21">
        <v>4</v>
      </c>
      <c r="V21" s="25">
        <v>0</v>
      </c>
      <c r="W21" s="32">
        <v>5</v>
      </c>
    </row>
    <row r="22" spans="1:23" ht="15" x14ac:dyDescent="0.2">
      <c r="A22" s="68">
        <v>3</v>
      </c>
      <c r="B22" s="68">
        <v>0</v>
      </c>
      <c r="C22" s="68">
        <v>0</v>
      </c>
      <c r="D22" s="69">
        <v>825220028</v>
      </c>
      <c r="E22" s="69" t="s">
        <v>142</v>
      </c>
      <c r="F22" s="24" t="s">
        <v>155</v>
      </c>
      <c r="G22" s="24">
        <v>3</v>
      </c>
      <c r="H22" s="24">
        <v>0</v>
      </c>
      <c r="I22" s="24">
        <v>0</v>
      </c>
      <c r="J22" s="24" t="s">
        <v>937</v>
      </c>
      <c r="K22" s="24" t="s">
        <v>226</v>
      </c>
      <c r="L22" s="24" t="s">
        <v>142</v>
      </c>
      <c r="M22" s="24" t="s">
        <v>156</v>
      </c>
      <c r="N22" s="25">
        <v>0</v>
      </c>
      <c r="S22">
        <v>0</v>
      </c>
      <c r="T22">
        <v>2</v>
      </c>
      <c r="U22">
        <v>5</v>
      </c>
      <c r="V22" s="25">
        <v>0</v>
      </c>
      <c r="W22" s="32">
        <v>5</v>
      </c>
    </row>
    <row r="23" spans="1:23" ht="15" x14ac:dyDescent="0.2">
      <c r="A23" s="68">
        <v>4</v>
      </c>
      <c r="B23" s="68">
        <v>0</v>
      </c>
      <c r="C23" s="68">
        <v>0</v>
      </c>
      <c r="D23" s="69">
        <v>825220167</v>
      </c>
      <c r="E23" s="69" t="s">
        <v>143</v>
      </c>
      <c r="F23" s="24" t="s">
        <v>168</v>
      </c>
      <c r="G23" s="24">
        <v>4</v>
      </c>
      <c r="H23" s="24">
        <v>0</v>
      </c>
      <c r="I23" s="24">
        <v>0</v>
      </c>
      <c r="J23" s="24" t="s">
        <v>948</v>
      </c>
      <c r="K23" s="24" t="s">
        <v>237</v>
      </c>
      <c r="L23" s="24" t="s">
        <v>143</v>
      </c>
      <c r="M23" s="24" t="s">
        <v>159</v>
      </c>
      <c r="N23" s="25">
        <v>0</v>
      </c>
      <c r="S23">
        <v>0</v>
      </c>
      <c r="T23">
        <v>2</v>
      </c>
      <c r="U23">
        <v>6</v>
      </c>
      <c r="V23" s="25">
        <v>0</v>
      </c>
      <c r="W23" s="32">
        <v>5</v>
      </c>
    </row>
    <row r="24" spans="1:23" ht="15" x14ac:dyDescent="0.2">
      <c r="A24" s="68">
        <v>4</v>
      </c>
      <c r="B24" s="68">
        <v>0</v>
      </c>
      <c r="C24" s="68">
        <v>0</v>
      </c>
      <c r="D24" s="69">
        <v>535220097</v>
      </c>
      <c r="E24" s="69" t="s">
        <v>143</v>
      </c>
      <c r="F24" s="24" t="s">
        <v>165</v>
      </c>
      <c r="G24" s="24">
        <v>4</v>
      </c>
      <c r="H24" s="24">
        <v>0</v>
      </c>
      <c r="I24" s="24">
        <v>0</v>
      </c>
      <c r="J24" s="24" t="s">
        <v>949</v>
      </c>
      <c r="K24" s="24" t="s">
        <v>238</v>
      </c>
      <c r="L24" s="24" t="s">
        <v>143</v>
      </c>
      <c r="M24" s="24" t="s">
        <v>159</v>
      </c>
      <c r="N24" s="25">
        <v>0</v>
      </c>
      <c r="V24" s="24"/>
      <c r="W24" s="31"/>
    </row>
    <row r="25" spans="1:23" ht="15" x14ac:dyDescent="0.2">
      <c r="A25" s="68">
        <v>4</v>
      </c>
      <c r="B25" s="68">
        <v>0</v>
      </c>
      <c r="C25" s="68">
        <v>0</v>
      </c>
      <c r="D25" s="69">
        <v>535220105</v>
      </c>
      <c r="E25" s="69" t="s">
        <v>143</v>
      </c>
      <c r="F25" s="24" t="s">
        <v>165</v>
      </c>
      <c r="G25" s="24">
        <v>4</v>
      </c>
      <c r="H25" s="24">
        <v>0</v>
      </c>
      <c r="I25" s="24">
        <v>0</v>
      </c>
      <c r="J25" s="24" t="s">
        <v>950</v>
      </c>
      <c r="K25" s="24" t="s">
        <v>239</v>
      </c>
      <c r="L25" s="24" t="s">
        <v>143</v>
      </c>
      <c r="M25" s="24" t="s">
        <v>159</v>
      </c>
      <c r="N25" s="25">
        <v>0</v>
      </c>
      <c r="S25">
        <v>1</v>
      </c>
      <c r="T25">
        <v>0</v>
      </c>
      <c r="U25">
        <v>0</v>
      </c>
      <c r="V25" s="25">
        <v>5</v>
      </c>
      <c r="W25" s="32">
        <v>5</v>
      </c>
    </row>
    <row r="26" spans="1:23" ht="15" x14ac:dyDescent="0.2">
      <c r="A26" s="68">
        <v>4</v>
      </c>
      <c r="B26" s="68">
        <v>0</v>
      </c>
      <c r="C26" s="68">
        <v>0</v>
      </c>
      <c r="D26" s="69">
        <v>535220127</v>
      </c>
      <c r="E26" s="69" t="s">
        <v>143</v>
      </c>
      <c r="F26" s="24" t="s">
        <v>165</v>
      </c>
      <c r="G26" s="24">
        <v>4</v>
      </c>
      <c r="H26" s="24">
        <v>0</v>
      </c>
      <c r="I26" s="24">
        <v>0</v>
      </c>
      <c r="J26" s="24" t="s">
        <v>951</v>
      </c>
      <c r="K26" s="24" t="s">
        <v>240</v>
      </c>
      <c r="L26" s="24" t="s">
        <v>143</v>
      </c>
      <c r="M26" s="24" t="s">
        <v>159</v>
      </c>
      <c r="N26" s="25">
        <v>0</v>
      </c>
      <c r="S26">
        <v>1</v>
      </c>
      <c r="T26">
        <v>0</v>
      </c>
      <c r="U26">
        <v>1</v>
      </c>
      <c r="V26" s="25">
        <v>5</v>
      </c>
      <c r="W26" s="32">
        <v>5</v>
      </c>
    </row>
    <row r="27" spans="1:23" ht="15" x14ac:dyDescent="0.2">
      <c r="A27" s="68">
        <v>4</v>
      </c>
      <c r="B27" s="68">
        <v>0</v>
      </c>
      <c r="C27" s="68">
        <v>0</v>
      </c>
      <c r="D27" s="69">
        <v>535220130</v>
      </c>
      <c r="E27" s="69" t="s">
        <v>143</v>
      </c>
      <c r="F27" s="24" t="s">
        <v>165</v>
      </c>
      <c r="G27" s="24">
        <v>4</v>
      </c>
      <c r="H27" s="24">
        <v>0</v>
      </c>
      <c r="I27" s="24">
        <v>0</v>
      </c>
      <c r="J27" s="24" t="s">
        <v>952</v>
      </c>
      <c r="K27" s="24" t="s">
        <v>241</v>
      </c>
      <c r="L27" s="24" t="s">
        <v>143</v>
      </c>
      <c r="M27" s="24" t="s">
        <v>159</v>
      </c>
      <c r="N27" s="25">
        <v>0</v>
      </c>
      <c r="S27">
        <v>1</v>
      </c>
      <c r="T27">
        <v>0</v>
      </c>
      <c r="U27">
        <v>2</v>
      </c>
      <c r="V27" s="25">
        <v>5</v>
      </c>
      <c r="W27" s="32">
        <v>5</v>
      </c>
    </row>
    <row r="28" spans="1:23" ht="15" x14ac:dyDescent="0.2">
      <c r="A28" s="68">
        <v>5</v>
      </c>
      <c r="B28" s="68">
        <v>0</v>
      </c>
      <c r="C28" s="68">
        <v>0</v>
      </c>
      <c r="D28" s="69">
        <v>535220009</v>
      </c>
      <c r="E28" s="69" t="s">
        <v>143</v>
      </c>
      <c r="F28" s="24" t="s">
        <v>159</v>
      </c>
      <c r="G28" s="24">
        <v>5</v>
      </c>
      <c r="H28" s="24">
        <v>0</v>
      </c>
      <c r="I28" s="24">
        <v>0</v>
      </c>
      <c r="J28" s="24" t="s">
        <v>963</v>
      </c>
      <c r="K28" s="24" t="s">
        <v>252</v>
      </c>
      <c r="L28" s="24" t="s">
        <v>143</v>
      </c>
      <c r="M28" s="24" t="s">
        <v>159</v>
      </c>
      <c r="N28" s="25">
        <v>1</v>
      </c>
      <c r="S28">
        <v>1</v>
      </c>
      <c r="T28">
        <v>0</v>
      </c>
      <c r="U28">
        <v>3</v>
      </c>
      <c r="V28" s="25">
        <v>5</v>
      </c>
      <c r="W28" s="32">
        <v>5</v>
      </c>
    </row>
    <row r="29" spans="1:23" ht="15" x14ac:dyDescent="0.2">
      <c r="A29" s="68">
        <v>5</v>
      </c>
      <c r="B29" s="68">
        <v>0</v>
      </c>
      <c r="C29" s="68">
        <v>0</v>
      </c>
      <c r="D29" s="69">
        <v>535220011</v>
      </c>
      <c r="E29" s="69" t="s">
        <v>143</v>
      </c>
      <c r="F29" s="24" t="s">
        <v>159</v>
      </c>
      <c r="G29" s="24">
        <v>5</v>
      </c>
      <c r="H29" s="24">
        <v>0</v>
      </c>
      <c r="I29" s="24">
        <v>0</v>
      </c>
      <c r="J29" s="24" t="s">
        <v>964</v>
      </c>
      <c r="K29" s="24" t="s">
        <v>253</v>
      </c>
      <c r="L29" s="24" t="s">
        <v>143</v>
      </c>
      <c r="M29" s="24" t="s">
        <v>159</v>
      </c>
      <c r="N29" s="25">
        <v>1</v>
      </c>
      <c r="S29">
        <v>1</v>
      </c>
      <c r="T29">
        <v>0</v>
      </c>
      <c r="U29">
        <v>4</v>
      </c>
      <c r="V29" s="25">
        <v>5</v>
      </c>
      <c r="W29" s="32">
        <v>5</v>
      </c>
    </row>
    <row r="30" spans="1:23" ht="15" x14ac:dyDescent="0.2">
      <c r="A30" s="68">
        <v>5</v>
      </c>
      <c r="B30" s="68">
        <v>0</v>
      </c>
      <c r="C30" s="68">
        <v>0</v>
      </c>
      <c r="D30" s="69">
        <v>535220026</v>
      </c>
      <c r="E30" s="69" t="s">
        <v>143</v>
      </c>
      <c r="F30" s="24" t="s">
        <v>159</v>
      </c>
      <c r="G30" s="24">
        <v>5</v>
      </c>
      <c r="H30" s="24">
        <v>0</v>
      </c>
      <c r="I30" s="24">
        <v>0</v>
      </c>
      <c r="J30" s="24" t="s">
        <v>965</v>
      </c>
      <c r="K30" s="24" t="s">
        <v>254</v>
      </c>
      <c r="L30" s="24" t="s">
        <v>143</v>
      </c>
      <c r="M30" s="24" t="s">
        <v>159</v>
      </c>
      <c r="N30" s="25">
        <v>1</v>
      </c>
      <c r="S30">
        <v>1</v>
      </c>
      <c r="T30">
        <v>0</v>
      </c>
      <c r="U30">
        <v>5</v>
      </c>
      <c r="V30" s="25">
        <v>5</v>
      </c>
      <c r="W30" s="32">
        <v>5</v>
      </c>
    </row>
    <row r="31" spans="1:23" ht="15" x14ac:dyDescent="0.2">
      <c r="A31" s="68">
        <v>5</v>
      </c>
      <c r="B31" s="68">
        <v>0</v>
      </c>
      <c r="C31" s="68">
        <v>0</v>
      </c>
      <c r="D31" s="69">
        <v>535220072</v>
      </c>
      <c r="E31" s="69" t="s">
        <v>143</v>
      </c>
      <c r="F31" s="24" t="s">
        <v>159</v>
      </c>
      <c r="G31" s="24">
        <v>5</v>
      </c>
      <c r="H31" s="24">
        <v>0</v>
      </c>
      <c r="I31" s="24">
        <v>0</v>
      </c>
      <c r="J31" s="24" t="s">
        <v>966</v>
      </c>
      <c r="K31" s="24" t="s">
        <v>255</v>
      </c>
      <c r="L31" s="24" t="s">
        <v>143</v>
      </c>
      <c r="M31" s="24" t="s">
        <v>159</v>
      </c>
      <c r="N31" s="25">
        <v>1</v>
      </c>
      <c r="S31">
        <v>1</v>
      </c>
      <c r="T31">
        <v>0</v>
      </c>
      <c r="U31">
        <v>6</v>
      </c>
      <c r="V31" s="25">
        <v>5</v>
      </c>
      <c r="W31" s="32">
        <v>5</v>
      </c>
    </row>
    <row r="32" spans="1:23" ht="15" x14ac:dyDescent="0.2">
      <c r="A32" s="68">
        <v>5</v>
      </c>
      <c r="B32" s="68">
        <v>0</v>
      </c>
      <c r="C32" s="68">
        <v>0</v>
      </c>
      <c r="D32" s="69">
        <v>535220083</v>
      </c>
      <c r="E32" s="69" t="s">
        <v>143</v>
      </c>
      <c r="F32" s="24" t="s">
        <v>159</v>
      </c>
      <c r="G32" s="24">
        <v>5</v>
      </c>
      <c r="H32" s="24">
        <v>0</v>
      </c>
      <c r="I32" s="24">
        <v>0</v>
      </c>
      <c r="J32" s="24" t="s">
        <v>967</v>
      </c>
      <c r="K32" s="24" t="s">
        <v>256</v>
      </c>
      <c r="L32" s="24" t="s">
        <v>143</v>
      </c>
      <c r="M32" s="24" t="s">
        <v>159</v>
      </c>
      <c r="N32" s="25">
        <v>1</v>
      </c>
      <c r="S32">
        <v>1</v>
      </c>
      <c r="T32">
        <v>1</v>
      </c>
      <c r="U32">
        <v>0</v>
      </c>
      <c r="V32" s="25">
        <v>5</v>
      </c>
      <c r="W32" s="32">
        <v>5</v>
      </c>
    </row>
    <row r="33" spans="1:23" ht="15" x14ac:dyDescent="0.2">
      <c r="A33" s="68">
        <v>6</v>
      </c>
      <c r="B33" s="68">
        <v>0</v>
      </c>
      <c r="C33" s="68">
        <v>0</v>
      </c>
      <c r="D33" s="69">
        <v>535220086</v>
      </c>
      <c r="E33" s="69" t="s">
        <v>143</v>
      </c>
      <c r="F33" s="24" t="s">
        <v>159</v>
      </c>
      <c r="G33" s="24">
        <v>6</v>
      </c>
      <c r="H33" s="24">
        <v>0</v>
      </c>
      <c r="I33" s="24">
        <v>0</v>
      </c>
      <c r="J33" s="24" t="s">
        <v>978</v>
      </c>
      <c r="K33" s="24" t="s">
        <v>267</v>
      </c>
      <c r="L33" s="24" t="s">
        <v>143</v>
      </c>
      <c r="M33" s="24" t="s">
        <v>159</v>
      </c>
      <c r="N33" s="25">
        <v>1</v>
      </c>
      <c r="S33">
        <v>1</v>
      </c>
      <c r="T33">
        <v>1</v>
      </c>
      <c r="U33">
        <v>1</v>
      </c>
      <c r="V33" s="25">
        <v>5</v>
      </c>
      <c r="W33" s="32">
        <v>5</v>
      </c>
    </row>
    <row r="34" spans="1:23" ht="15" x14ac:dyDescent="0.2">
      <c r="A34" s="68">
        <v>6</v>
      </c>
      <c r="B34" s="68">
        <v>0</v>
      </c>
      <c r="C34" s="68">
        <v>0</v>
      </c>
      <c r="D34" s="69">
        <v>535220088</v>
      </c>
      <c r="E34" s="69" t="s">
        <v>143</v>
      </c>
      <c r="F34" s="24" t="s">
        <v>159</v>
      </c>
      <c r="G34" s="24">
        <v>6</v>
      </c>
      <c r="H34" s="24">
        <v>0</v>
      </c>
      <c r="I34" s="24">
        <v>0</v>
      </c>
      <c r="J34" s="24" t="s">
        <v>979</v>
      </c>
      <c r="K34" s="24" t="s">
        <v>268</v>
      </c>
      <c r="L34" s="24" t="s">
        <v>143</v>
      </c>
      <c r="M34" s="24" t="s">
        <v>159</v>
      </c>
      <c r="N34" s="25">
        <v>1</v>
      </c>
      <c r="S34">
        <v>1</v>
      </c>
      <c r="T34">
        <v>1</v>
      </c>
      <c r="U34">
        <v>2</v>
      </c>
      <c r="V34" s="25">
        <v>5</v>
      </c>
      <c r="W34" s="32">
        <v>5</v>
      </c>
    </row>
    <row r="35" spans="1:23" ht="15" x14ac:dyDescent="0.2">
      <c r="A35" s="68">
        <v>6</v>
      </c>
      <c r="B35" s="68">
        <v>0</v>
      </c>
      <c r="C35" s="68">
        <v>0</v>
      </c>
      <c r="D35" s="69">
        <v>535220107</v>
      </c>
      <c r="E35" s="69" t="s">
        <v>143</v>
      </c>
      <c r="F35" s="24" t="s">
        <v>159</v>
      </c>
      <c r="G35" s="24">
        <v>6</v>
      </c>
      <c r="H35" s="24">
        <v>0</v>
      </c>
      <c r="I35" s="24">
        <v>0</v>
      </c>
      <c r="J35" s="24" t="s">
        <v>980</v>
      </c>
      <c r="K35" s="24" t="s">
        <v>269</v>
      </c>
      <c r="L35" s="24" t="s">
        <v>143</v>
      </c>
      <c r="M35" s="24" t="s">
        <v>159</v>
      </c>
      <c r="N35" s="25">
        <v>1</v>
      </c>
      <c r="S35">
        <v>1</v>
      </c>
      <c r="T35">
        <v>1</v>
      </c>
      <c r="U35">
        <v>3</v>
      </c>
      <c r="V35" s="25">
        <v>5</v>
      </c>
      <c r="W35" s="32">
        <v>5</v>
      </c>
    </row>
    <row r="36" spans="1:23" ht="15" x14ac:dyDescent="0.2">
      <c r="A36" s="68">
        <v>6</v>
      </c>
      <c r="B36" s="68">
        <v>0</v>
      </c>
      <c r="C36" s="68">
        <v>0</v>
      </c>
      <c r="D36" s="69">
        <v>535220113</v>
      </c>
      <c r="E36" s="69" t="s">
        <v>143</v>
      </c>
      <c r="F36" s="24" t="s">
        <v>159</v>
      </c>
      <c r="G36" s="24">
        <v>6</v>
      </c>
      <c r="H36" s="24">
        <v>0</v>
      </c>
      <c r="I36" s="24">
        <v>0</v>
      </c>
      <c r="J36" s="24" t="s">
        <v>981</v>
      </c>
      <c r="K36" s="24" t="s">
        <v>270</v>
      </c>
      <c r="L36" s="24" t="s">
        <v>143</v>
      </c>
      <c r="M36" s="24" t="s">
        <v>159</v>
      </c>
      <c r="N36" s="25">
        <v>1</v>
      </c>
      <c r="S36">
        <v>1</v>
      </c>
      <c r="T36">
        <v>1</v>
      </c>
      <c r="U36">
        <v>4</v>
      </c>
      <c r="V36" s="25">
        <v>5</v>
      </c>
      <c r="W36" s="32">
        <v>5</v>
      </c>
    </row>
    <row r="37" spans="1:23" ht="15" x14ac:dyDescent="0.2">
      <c r="A37" s="68">
        <v>6</v>
      </c>
      <c r="B37" s="68">
        <v>0</v>
      </c>
      <c r="C37" s="68">
        <v>0</v>
      </c>
      <c r="D37" s="69">
        <v>535220114</v>
      </c>
      <c r="E37" s="69" t="s">
        <v>143</v>
      </c>
      <c r="F37" s="24" t="s">
        <v>159</v>
      </c>
      <c r="G37" s="24">
        <v>6</v>
      </c>
      <c r="H37" s="24">
        <v>0</v>
      </c>
      <c r="I37" s="24">
        <v>0</v>
      </c>
      <c r="J37" s="24" t="s">
        <v>982</v>
      </c>
      <c r="K37" s="24" t="s">
        <v>271</v>
      </c>
      <c r="L37" s="24" t="s">
        <v>143</v>
      </c>
      <c r="M37" s="24" t="s">
        <v>159</v>
      </c>
      <c r="N37" s="25">
        <v>1</v>
      </c>
      <c r="S37">
        <v>1</v>
      </c>
      <c r="T37">
        <v>1</v>
      </c>
      <c r="U37">
        <v>5</v>
      </c>
      <c r="V37" s="25">
        <v>5</v>
      </c>
      <c r="W37" s="32">
        <v>5</v>
      </c>
    </row>
    <row r="38" spans="1:23" x14ac:dyDescent="0.2">
      <c r="A38" s="24"/>
      <c r="B38" s="24"/>
      <c r="C38" s="24"/>
      <c r="D38" s="24"/>
      <c r="E38" s="24"/>
      <c r="F38" s="24"/>
      <c r="G38" s="24">
        <v>0</v>
      </c>
      <c r="H38" s="24">
        <v>0</v>
      </c>
      <c r="I38" s="24">
        <v>1</v>
      </c>
      <c r="J38" s="24" t="s">
        <v>893</v>
      </c>
      <c r="K38" s="24" t="s">
        <v>182</v>
      </c>
      <c r="L38" s="24" t="s">
        <v>142</v>
      </c>
      <c r="M38" s="24" t="s">
        <v>154</v>
      </c>
      <c r="N38" s="70" t="s">
        <v>1231</v>
      </c>
      <c r="S38">
        <v>1</v>
      </c>
      <c r="T38">
        <v>1</v>
      </c>
      <c r="U38">
        <v>6</v>
      </c>
      <c r="V38" s="25">
        <v>0</v>
      </c>
      <c r="W38" s="32">
        <v>5</v>
      </c>
    </row>
    <row r="39" spans="1:23" x14ac:dyDescent="0.2">
      <c r="A39" s="24"/>
      <c r="B39" s="24"/>
      <c r="C39" s="24"/>
      <c r="D39" s="24"/>
      <c r="E39" s="24"/>
      <c r="F39" s="24"/>
      <c r="G39" s="24">
        <v>0</v>
      </c>
      <c r="H39" s="24">
        <v>0</v>
      </c>
      <c r="I39" s="24">
        <v>1</v>
      </c>
      <c r="J39" s="24" t="s">
        <v>894</v>
      </c>
      <c r="K39" s="24" t="s">
        <v>183</v>
      </c>
      <c r="L39" s="24" t="s">
        <v>142</v>
      </c>
      <c r="M39" s="24" t="s">
        <v>154</v>
      </c>
      <c r="N39" s="70" t="s">
        <v>1231</v>
      </c>
      <c r="S39">
        <v>1</v>
      </c>
      <c r="T39">
        <v>2</v>
      </c>
      <c r="U39">
        <v>0</v>
      </c>
      <c r="V39" s="25">
        <v>0</v>
      </c>
      <c r="W39" s="32">
        <v>5</v>
      </c>
    </row>
    <row r="40" spans="1:23" x14ac:dyDescent="0.2">
      <c r="A40" s="24"/>
      <c r="B40" s="24"/>
      <c r="C40" s="24"/>
      <c r="D40" s="24"/>
      <c r="E40" s="24"/>
      <c r="F40" s="24"/>
      <c r="G40" s="24">
        <v>0</v>
      </c>
      <c r="H40" s="24">
        <v>0</v>
      </c>
      <c r="I40" s="24">
        <v>1</v>
      </c>
      <c r="J40" s="24" t="s">
        <v>895</v>
      </c>
      <c r="K40" s="24" t="s">
        <v>184</v>
      </c>
      <c r="L40" s="24" t="s">
        <v>142</v>
      </c>
      <c r="M40" s="24" t="s">
        <v>154</v>
      </c>
      <c r="N40" s="70" t="s">
        <v>1231</v>
      </c>
      <c r="S40">
        <v>1</v>
      </c>
      <c r="T40">
        <v>2</v>
      </c>
      <c r="U40">
        <v>1</v>
      </c>
      <c r="V40" s="25">
        <v>0</v>
      </c>
      <c r="W40" s="32">
        <v>5</v>
      </c>
    </row>
    <row r="41" spans="1:23" x14ac:dyDescent="0.2">
      <c r="A41" s="24"/>
      <c r="B41" s="24"/>
      <c r="C41" s="24"/>
      <c r="D41" s="24"/>
      <c r="E41" s="24"/>
      <c r="F41" s="24"/>
      <c r="G41" s="24">
        <v>0</v>
      </c>
      <c r="H41" s="24">
        <v>0</v>
      </c>
      <c r="I41" s="24">
        <v>1</v>
      </c>
      <c r="J41" s="24" t="s">
        <v>896</v>
      </c>
      <c r="K41" s="24" t="s">
        <v>185</v>
      </c>
      <c r="L41" s="24" t="s">
        <v>142</v>
      </c>
      <c r="M41" s="24" t="s">
        <v>154</v>
      </c>
      <c r="N41" s="70" t="s">
        <v>1231</v>
      </c>
      <c r="S41">
        <v>1</v>
      </c>
      <c r="T41">
        <v>2</v>
      </c>
      <c r="U41">
        <v>2</v>
      </c>
      <c r="V41" s="25">
        <v>0</v>
      </c>
      <c r="W41" s="32">
        <v>5</v>
      </c>
    </row>
    <row r="42" spans="1:23" x14ac:dyDescent="0.2">
      <c r="A42" s="24"/>
      <c r="B42" s="24"/>
      <c r="C42" s="24"/>
      <c r="D42" s="24"/>
      <c r="E42" s="24"/>
      <c r="F42" s="24"/>
      <c r="G42" s="24">
        <v>0</v>
      </c>
      <c r="H42" s="24">
        <v>0</v>
      </c>
      <c r="I42" s="24">
        <v>1</v>
      </c>
      <c r="J42" s="24" t="s">
        <v>897</v>
      </c>
      <c r="K42" s="24" t="s">
        <v>186</v>
      </c>
      <c r="L42" s="24" t="s">
        <v>142</v>
      </c>
      <c r="M42" s="24" t="s">
        <v>154</v>
      </c>
      <c r="N42" s="70" t="s">
        <v>1231</v>
      </c>
      <c r="S42">
        <v>1</v>
      </c>
      <c r="T42">
        <v>2</v>
      </c>
      <c r="U42">
        <v>3</v>
      </c>
      <c r="V42" s="25">
        <v>0</v>
      </c>
      <c r="W42" s="32">
        <v>5</v>
      </c>
    </row>
    <row r="43" spans="1:23" x14ac:dyDescent="0.2">
      <c r="A43" s="24"/>
      <c r="B43" s="24"/>
      <c r="C43" s="24"/>
      <c r="D43" s="24"/>
      <c r="E43" s="24"/>
      <c r="F43" s="24"/>
      <c r="G43" s="24">
        <v>1</v>
      </c>
      <c r="H43" s="24">
        <v>0</v>
      </c>
      <c r="I43" s="24">
        <v>1</v>
      </c>
      <c r="J43" s="24" t="s">
        <v>908</v>
      </c>
      <c r="K43" s="24" t="s">
        <v>197</v>
      </c>
      <c r="L43" s="24" t="s">
        <v>142</v>
      </c>
      <c r="M43" s="24" t="s">
        <v>154</v>
      </c>
      <c r="N43" s="70" t="s">
        <v>1231</v>
      </c>
      <c r="S43">
        <v>1</v>
      </c>
      <c r="T43">
        <v>2</v>
      </c>
      <c r="U43">
        <v>4</v>
      </c>
      <c r="V43" s="25">
        <v>0</v>
      </c>
      <c r="W43" s="32">
        <v>5</v>
      </c>
    </row>
    <row r="44" spans="1:23" x14ac:dyDescent="0.2">
      <c r="A44" s="24"/>
      <c r="B44" s="24"/>
      <c r="C44" s="24"/>
      <c r="D44" s="24"/>
      <c r="E44" s="24"/>
      <c r="F44" s="24"/>
      <c r="G44" s="24">
        <v>1</v>
      </c>
      <c r="H44" s="24">
        <v>0</v>
      </c>
      <c r="I44" s="24">
        <v>1</v>
      </c>
      <c r="J44" s="24" t="s">
        <v>909</v>
      </c>
      <c r="K44" s="24" t="s">
        <v>198</v>
      </c>
      <c r="L44" s="24" t="s">
        <v>142</v>
      </c>
      <c r="M44" s="24" t="s">
        <v>154</v>
      </c>
      <c r="N44" s="70" t="s">
        <v>1231</v>
      </c>
      <c r="S44">
        <v>1</v>
      </c>
      <c r="T44">
        <v>2</v>
      </c>
      <c r="U44">
        <v>5</v>
      </c>
      <c r="V44" s="25">
        <v>0</v>
      </c>
      <c r="W44" s="32">
        <v>5</v>
      </c>
    </row>
    <row r="45" spans="1:23" x14ac:dyDescent="0.2">
      <c r="A45" s="24"/>
      <c r="B45" s="24"/>
      <c r="C45" s="24"/>
      <c r="D45" s="24"/>
      <c r="E45" s="24"/>
      <c r="F45" s="24"/>
      <c r="G45" s="24">
        <v>1</v>
      </c>
      <c r="H45" s="24">
        <v>0</v>
      </c>
      <c r="I45" s="24">
        <v>1</v>
      </c>
      <c r="J45" s="24" t="s">
        <v>910</v>
      </c>
      <c r="K45" s="24" t="s">
        <v>199</v>
      </c>
      <c r="L45" s="24" t="s">
        <v>142</v>
      </c>
      <c r="M45" s="24" t="s">
        <v>154</v>
      </c>
      <c r="N45" s="70" t="s">
        <v>1231</v>
      </c>
      <c r="S45">
        <v>1</v>
      </c>
      <c r="T45">
        <v>2</v>
      </c>
      <c r="U45">
        <v>6</v>
      </c>
      <c r="V45" s="25">
        <v>0</v>
      </c>
      <c r="W45" s="32">
        <v>5</v>
      </c>
    </row>
    <row r="46" spans="1:23" x14ac:dyDescent="0.2">
      <c r="A46" s="24"/>
      <c r="B46" s="24"/>
      <c r="C46" s="24"/>
      <c r="D46" s="24"/>
      <c r="E46" s="24"/>
      <c r="F46" s="24"/>
      <c r="G46" s="24">
        <v>1</v>
      </c>
      <c r="H46" s="24">
        <v>0</v>
      </c>
      <c r="I46" s="24">
        <v>1</v>
      </c>
      <c r="J46" s="24" t="s">
        <v>911</v>
      </c>
      <c r="K46" s="24" t="s">
        <v>200</v>
      </c>
      <c r="L46" s="24" t="s">
        <v>142</v>
      </c>
      <c r="M46" s="24" t="s">
        <v>154</v>
      </c>
      <c r="N46" s="70" t="s">
        <v>1231</v>
      </c>
      <c r="V46" s="24"/>
      <c r="W46" s="31"/>
    </row>
    <row r="47" spans="1:23" x14ac:dyDescent="0.2">
      <c r="A47" s="24"/>
      <c r="B47" s="24"/>
      <c r="C47" s="24"/>
      <c r="D47" s="24"/>
      <c r="E47" s="24"/>
      <c r="F47" s="24"/>
      <c r="G47" s="24">
        <v>1</v>
      </c>
      <c r="H47" s="24">
        <v>0</v>
      </c>
      <c r="I47" s="24">
        <v>1</v>
      </c>
      <c r="J47" s="24" t="s">
        <v>912</v>
      </c>
      <c r="K47" s="24" t="s">
        <v>201</v>
      </c>
      <c r="L47" s="24" t="s">
        <v>142</v>
      </c>
      <c r="M47" s="24" t="s">
        <v>154</v>
      </c>
      <c r="N47" s="70" t="s">
        <v>1231</v>
      </c>
      <c r="S47">
        <v>2</v>
      </c>
      <c r="T47">
        <v>0</v>
      </c>
      <c r="U47">
        <v>0</v>
      </c>
      <c r="V47" s="25">
        <v>5</v>
      </c>
      <c r="W47" s="32">
        <v>5</v>
      </c>
    </row>
    <row r="48" spans="1:23" x14ac:dyDescent="0.2">
      <c r="A48" s="24"/>
      <c r="B48" s="24"/>
      <c r="C48" s="24"/>
      <c r="D48" s="24"/>
      <c r="E48" s="24"/>
      <c r="F48" s="24"/>
      <c r="G48" s="24">
        <v>2</v>
      </c>
      <c r="H48" s="24">
        <v>0</v>
      </c>
      <c r="I48" s="24">
        <v>1</v>
      </c>
      <c r="J48" s="24" t="s">
        <v>923</v>
      </c>
      <c r="K48" s="24" t="s">
        <v>212</v>
      </c>
      <c r="L48" s="24" t="s">
        <v>142</v>
      </c>
      <c r="M48" s="24" t="s">
        <v>154</v>
      </c>
      <c r="N48" s="70" t="s">
        <v>1231</v>
      </c>
      <c r="S48">
        <v>2</v>
      </c>
      <c r="T48">
        <v>0</v>
      </c>
      <c r="U48">
        <v>1</v>
      </c>
      <c r="V48" s="25">
        <v>0</v>
      </c>
      <c r="W48" s="32">
        <v>5</v>
      </c>
    </row>
    <row r="49" spans="1:23" x14ac:dyDescent="0.2">
      <c r="A49" s="24"/>
      <c r="B49" s="24"/>
      <c r="C49" s="24"/>
      <c r="D49" s="24"/>
      <c r="E49" s="24"/>
      <c r="F49" s="24"/>
      <c r="G49" s="24">
        <v>2</v>
      </c>
      <c r="H49" s="24">
        <v>0</v>
      </c>
      <c r="I49" s="24">
        <v>1</v>
      </c>
      <c r="J49" s="24" t="s">
        <v>924</v>
      </c>
      <c r="K49" s="24" t="s">
        <v>213</v>
      </c>
      <c r="L49" s="24" t="s">
        <v>142</v>
      </c>
      <c r="M49" s="24" t="s">
        <v>154</v>
      </c>
      <c r="N49" s="70" t="s">
        <v>1231</v>
      </c>
      <c r="S49">
        <v>2</v>
      </c>
      <c r="T49">
        <v>0</v>
      </c>
      <c r="U49">
        <v>2</v>
      </c>
      <c r="V49" s="25">
        <v>0</v>
      </c>
      <c r="W49" s="32">
        <v>5</v>
      </c>
    </row>
    <row r="50" spans="1:23" x14ac:dyDescent="0.2">
      <c r="A50" s="24"/>
      <c r="B50" s="24"/>
      <c r="C50" s="24"/>
      <c r="D50" s="24"/>
      <c r="E50" s="24"/>
      <c r="F50" s="24"/>
      <c r="G50" s="24">
        <v>2</v>
      </c>
      <c r="H50" s="24">
        <v>0</v>
      </c>
      <c r="I50" s="24">
        <v>1</v>
      </c>
      <c r="J50" s="24" t="s">
        <v>925</v>
      </c>
      <c r="K50" s="24" t="s">
        <v>214</v>
      </c>
      <c r="L50" s="24" t="s">
        <v>142</v>
      </c>
      <c r="M50" s="24" t="s">
        <v>154</v>
      </c>
      <c r="N50" s="70" t="s">
        <v>1231</v>
      </c>
      <c r="S50">
        <v>2</v>
      </c>
      <c r="T50">
        <v>0</v>
      </c>
      <c r="U50">
        <v>3</v>
      </c>
      <c r="V50" s="25">
        <v>0</v>
      </c>
      <c r="W50" s="32">
        <v>3</v>
      </c>
    </row>
    <row r="51" spans="1:23" x14ac:dyDescent="0.2">
      <c r="A51" s="24"/>
      <c r="B51" s="24"/>
      <c r="C51" s="24"/>
      <c r="D51" s="24"/>
      <c r="E51" s="24"/>
      <c r="F51" s="24"/>
      <c r="G51" s="24">
        <v>2</v>
      </c>
      <c r="H51" s="24">
        <v>0</v>
      </c>
      <c r="I51" s="24">
        <v>1</v>
      </c>
      <c r="J51" s="24" t="s">
        <v>926</v>
      </c>
      <c r="K51" s="24" t="s">
        <v>215</v>
      </c>
      <c r="L51" s="24" t="s">
        <v>142</v>
      </c>
      <c r="M51" s="24" t="s">
        <v>154</v>
      </c>
      <c r="N51" s="70" t="s">
        <v>1231</v>
      </c>
      <c r="S51">
        <v>2</v>
      </c>
      <c r="T51">
        <v>0</v>
      </c>
      <c r="U51">
        <v>4</v>
      </c>
      <c r="V51" s="25">
        <v>5</v>
      </c>
      <c r="W51" s="32">
        <v>0</v>
      </c>
    </row>
    <row r="52" spans="1:23" x14ac:dyDescent="0.2">
      <c r="A52" s="24"/>
      <c r="B52" s="24"/>
      <c r="C52" s="24"/>
      <c r="D52" s="24"/>
      <c r="E52" s="24"/>
      <c r="F52" s="24"/>
      <c r="G52" s="24">
        <v>2</v>
      </c>
      <c r="H52" s="24">
        <v>0</v>
      </c>
      <c r="I52" s="24">
        <v>1</v>
      </c>
      <c r="J52" s="24" t="s">
        <v>927</v>
      </c>
      <c r="K52" s="24" t="s">
        <v>216</v>
      </c>
      <c r="L52" s="24" t="s">
        <v>142</v>
      </c>
      <c r="M52" s="24" t="s">
        <v>154</v>
      </c>
      <c r="N52" s="70" t="s">
        <v>1231</v>
      </c>
      <c r="S52">
        <v>2</v>
      </c>
      <c r="T52">
        <v>0</v>
      </c>
      <c r="U52">
        <v>5</v>
      </c>
      <c r="V52" s="25">
        <v>5</v>
      </c>
      <c r="W52" s="32">
        <v>0</v>
      </c>
    </row>
    <row r="53" spans="1:23" x14ac:dyDescent="0.2">
      <c r="A53" s="24"/>
      <c r="B53" s="24"/>
      <c r="C53" s="24"/>
      <c r="D53" s="24"/>
      <c r="E53" s="24"/>
      <c r="F53" s="24"/>
      <c r="G53" s="24">
        <v>3</v>
      </c>
      <c r="H53" s="24">
        <v>0</v>
      </c>
      <c r="I53" s="24">
        <v>1</v>
      </c>
      <c r="J53" s="24" t="s">
        <v>938</v>
      </c>
      <c r="K53" s="24" t="s">
        <v>227</v>
      </c>
      <c r="L53" s="24" t="s">
        <v>142</v>
      </c>
      <c r="M53" s="24" t="s">
        <v>154</v>
      </c>
      <c r="N53" s="70" t="s">
        <v>1231</v>
      </c>
      <c r="S53">
        <v>2</v>
      </c>
      <c r="T53">
        <v>0</v>
      </c>
      <c r="U53">
        <v>6</v>
      </c>
      <c r="V53" s="25">
        <v>5</v>
      </c>
      <c r="W53" s="32">
        <v>0</v>
      </c>
    </row>
    <row r="54" spans="1:23" x14ac:dyDescent="0.2">
      <c r="A54" s="24"/>
      <c r="B54" s="24"/>
      <c r="C54" s="24"/>
      <c r="D54" s="24"/>
      <c r="E54" s="24"/>
      <c r="F54" s="24"/>
      <c r="G54" s="24">
        <v>3</v>
      </c>
      <c r="H54" s="24">
        <v>0</v>
      </c>
      <c r="I54" s="24">
        <v>1</v>
      </c>
      <c r="J54" s="24" t="s">
        <v>939</v>
      </c>
      <c r="K54" s="24" t="s">
        <v>228</v>
      </c>
      <c r="L54" s="24" t="s">
        <v>143</v>
      </c>
      <c r="M54" s="24" t="s">
        <v>154</v>
      </c>
      <c r="N54" s="70" t="s">
        <v>1231</v>
      </c>
      <c r="S54">
        <v>2</v>
      </c>
      <c r="T54">
        <v>1</v>
      </c>
      <c r="U54">
        <v>0</v>
      </c>
      <c r="V54" s="25">
        <v>5</v>
      </c>
      <c r="W54" s="32">
        <v>5</v>
      </c>
    </row>
    <row r="55" spans="1:23" x14ac:dyDescent="0.2">
      <c r="A55" s="24"/>
      <c r="B55" s="24"/>
      <c r="C55" s="24"/>
      <c r="D55" s="24"/>
      <c r="E55" s="24"/>
      <c r="F55" s="24"/>
      <c r="G55" s="24">
        <v>3</v>
      </c>
      <c r="H55" s="24">
        <v>0</v>
      </c>
      <c r="I55" s="24">
        <v>1</v>
      </c>
      <c r="J55" s="24" t="s">
        <v>940</v>
      </c>
      <c r="K55" s="24" t="s">
        <v>229</v>
      </c>
      <c r="L55" s="24" t="s">
        <v>142</v>
      </c>
      <c r="M55" s="24" t="s">
        <v>155</v>
      </c>
      <c r="N55" s="70" t="s">
        <v>1231</v>
      </c>
      <c r="S55">
        <v>2</v>
      </c>
      <c r="T55">
        <v>1</v>
      </c>
      <c r="U55">
        <v>1</v>
      </c>
      <c r="V55" s="25">
        <v>5</v>
      </c>
      <c r="W55" s="32">
        <v>5</v>
      </c>
    </row>
    <row r="56" spans="1:23" x14ac:dyDescent="0.2">
      <c r="A56" s="24"/>
      <c r="B56" s="24"/>
      <c r="C56" s="24"/>
      <c r="D56" s="24"/>
      <c r="E56" s="24"/>
      <c r="F56" s="24"/>
      <c r="G56" s="24">
        <v>3</v>
      </c>
      <c r="H56" s="24">
        <v>0</v>
      </c>
      <c r="I56" s="24">
        <v>1</v>
      </c>
      <c r="J56" s="24" t="s">
        <v>941</v>
      </c>
      <c r="K56" s="24" t="s">
        <v>230</v>
      </c>
      <c r="L56" s="24" t="s">
        <v>142</v>
      </c>
      <c r="M56" s="24" t="s">
        <v>157</v>
      </c>
      <c r="N56" s="70" t="s">
        <v>1231</v>
      </c>
      <c r="S56">
        <v>2</v>
      </c>
      <c r="T56">
        <v>1</v>
      </c>
      <c r="U56">
        <v>2</v>
      </c>
      <c r="V56" s="25">
        <v>5</v>
      </c>
      <c r="W56" s="32">
        <v>5</v>
      </c>
    </row>
    <row r="57" spans="1:23" x14ac:dyDescent="0.2">
      <c r="A57" s="24"/>
      <c r="B57" s="24"/>
      <c r="C57" s="24"/>
      <c r="D57" s="24"/>
      <c r="E57" s="24"/>
      <c r="F57" s="24"/>
      <c r="G57" s="24">
        <v>3</v>
      </c>
      <c r="H57" s="24">
        <v>0</v>
      </c>
      <c r="I57" s="24">
        <v>1</v>
      </c>
      <c r="J57" s="24" t="s">
        <v>942</v>
      </c>
      <c r="K57" s="24" t="s">
        <v>231</v>
      </c>
      <c r="L57" s="24" t="s">
        <v>142</v>
      </c>
      <c r="M57" s="24" t="s">
        <v>157</v>
      </c>
      <c r="N57" s="70" t="s">
        <v>1231</v>
      </c>
      <c r="S57">
        <v>2</v>
      </c>
      <c r="T57">
        <v>1</v>
      </c>
      <c r="U57">
        <v>3</v>
      </c>
      <c r="V57" s="25">
        <v>5</v>
      </c>
      <c r="W57" s="32">
        <v>0</v>
      </c>
    </row>
    <row r="58" spans="1:23" x14ac:dyDescent="0.2">
      <c r="A58" s="24"/>
      <c r="B58" s="24"/>
      <c r="C58" s="24"/>
      <c r="D58" s="24"/>
      <c r="E58" s="24"/>
      <c r="F58" s="24"/>
      <c r="G58" s="24">
        <v>4</v>
      </c>
      <c r="H58" s="24">
        <v>0</v>
      </c>
      <c r="I58" s="24">
        <v>1</v>
      </c>
      <c r="J58" s="24" t="s">
        <v>953</v>
      </c>
      <c r="K58" s="24" t="s">
        <v>242</v>
      </c>
      <c r="L58" s="24" t="s">
        <v>142</v>
      </c>
      <c r="M58" s="24" t="s">
        <v>160</v>
      </c>
      <c r="N58" s="70" t="s">
        <v>1231</v>
      </c>
      <c r="S58">
        <v>2</v>
      </c>
      <c r="T58">
        <v>1</v>
      </c>
      <c r="U58">
        <v>4</v>
      </c>
      <c r="V58" s="25">
        <v>0</v>
      </c>
      <c r="W58" s="32">
        <v>0</v>
      </c>
    </row>
    <row r="59" spans="1:23" x14ac:dyDescent="0.2">
      <c r="A59" s="24"/>
      <c r="B59" s="24"/>
      <c r="C59" s="24"/>
      <c r="D59" s="24"/>
      <c r="E59" s="24"/>
      <c r="F59" s="24"/>
      <c r="G59" s="24">
        <v>4</v>
      </c>
      <c r="H59" s="24">
        <v>0</v>
      </c>
      <c r="I59" s="24">
        <v>1</v>
      </c>
      <c r="J59" s="24" t="s">
        <v>954</v>
      </c>
      <c r="K59" s="24" t="s">
        <v>243</v>
      </c>
      <c r="L59" s="24" t="s">
        <v>142</v>
      </c>
      <c r="M59" s="24" t="s">
        <v>160</v>
      </c>
      <c r="N59" s="70" t="s">
        <v>1231</v>
      </c>
      <c r="S59">
        <v>2</v>
      </c>
      <c r="T59">
        <v>1</v>
      </c>
      <c r="U59">
        <v>5</v>
      </c>
      <c r="V59" s="25">
        <v>0</v>
      </c>
      <c r="W59" s="32">
        <v>0</v>
      </c>
    </row>
    <row r="60" spans="1:23" x14ac:dyDescent="0.2">
      <c r="A60" s="24"/>
      <c r="B60" s="24"/>
      <c r="C60" s="24"/>
      <c r="D60" s="24"/>
      <c r="E60" s="24"/>
      <c r="F60" s="24"/>
      <c r="G60" s="24">
        <v>4</v>
      </c>
      <c r="H60" s="24">
        <v>0</v>
      </c>
      <c r="I60" s="24">
        <v>1</v>
      </c>
      <c r="J60" s="24" t="s">
        <v>955</v>
      </c>
      <c r="K60" s="24" t="s">
        <v>244</v>
      </c>
      <c r="L60" s="24" t="s">
        <v>142</v>
      </c>
      <c r="M60" s="24" t="s">
        <v>160</v>
      </c>
      <c r="N60" s="70" t="s">
        <v>1231</v>
      </c>
      <c r="S60">
        <v>2</v>
      </c>
      <c r="T60">
        <v>1</v>
      </c>
      <c r="U60">
        <v>6</v>
      </c>
      <c r="V60" s="25">
        <v>0</v>
      </c>
      <c r="W60" s="32">
        <v>0</v>
      </c>
    </row>
    <row r="61" spans="1:23" x14ac:dyDescent="0.2">
      <c r="A61" s="24"/>
      <c r="B61" s="24"/>
      <c r="C61" s="24"/>
      <c r="D61" s="24"/>
      <c r="E61" s="24"/>
      <c r="F61" s="24"/>
      <c r="G61" s="24">
        <v>4</v>
      </c>
      <c r="H61" s="24">
        <v>0</v>
      </c>
      <c r="I61" s="24">
        <v>1</v>
      </c>
      <c r="J61" s="24" t="s">
        <v>956</v>
      </c>
      <c r="K61" s="24" t="s">
        <v>245</v>
      </c>
      <c r="L61" s="24" t="s">
        <v>142</v>
      </c>
      <c r="M61" s="24" t="s">
        <v>160</v>
      </c>
      <c r="N61" s="70" t="s">
        <v>1231</v>
      </c>
      <c r="S61">
        <v>2</v>
      </c>
      <c r="T61">
        <v>2</v>
      </c>
      <c r="U61">
        <v>0</v>
      </c>
      <c r="V61" s="25">
        <v>5</v>
      </c>
      <c r="W61" s="32">
        <v>5</v>
      </c>
    </row>
    <row r="62" spans="1:23" x14ac:dyDescent="0.2">
      <c r="A62" s="24"/>
      <c r="B62" s="24"/>
      <c r="C62" s="24"/>
      <c r="D62" s="24"/>
      <c r="E62" s="24"/>
      <c r="F62" s="24"/>
      <c r="G62" s="24">
        <v>4</v>
      </c>
      <c r="H62" s="24">
        <v>0</v>
      </c>
      <c r="I62" s="24">
        <v>1</v>
      </c>
      <c r="J62" s="24" t="s">
        <v>957</v>
      </c>
      <c r="K62" s="24" t="s">
        <v>246</v>
      </c>
      <c r="L62" s="24" t="s">
        <v>142</v>
      </c>
      <c r="M62" s="24" t="s">
        <v>160</v>
      </c>
      <c r="N62" s="70" t="s">
        <v>1231</v>
      </c>
      <c r="S62">
        <v>2</v>
      </c>
      <c r="T62">
        <v>2</v>
      </c>
      <c r="U62">
        <v>1</v>
      </c>
      <c r="V62" s="25">
        <v>5</v>
      </c>
      <c r="W62" s="32">
        <v>5</v>
      </c>
    </row>
    <row r="63" spans="1:23" x14ac:dyDescent="0.2">
      <c r="A63" s="24"/>
      <c r="B63" s="24"/>
      <c r="C63" s="24"/>
      <c r="D63" s="24"/>
      <c r="E63" s="24"/>
      <c r="F63" s="24"/>
      <c r="G63" s="24">
        <v>5</v>
      </c>
      <c r="H63" s="24">
        <v>0</v>
      </c>
      <c r="I63" s="24">
        <v>1</v>
      </c>
      <c r="J63" s="24" t="s">
        <v>968</v>
      </c>
      <c r="K63" s="24" t="s">
        <v>257</v>
      </c>
      <c r="L63" s="24" t="s">
        <v>142</v>
      </c>
      <c r="M63" s="24" t="s">
        <v>160</v>
      </c>
      <c r="N63" s="70" t="s">
        <v>1231</v>
      </c>
      <c r="S63">
        <v>2</v>
      </c>
      <c r="T63">
        <v>2</v>
      </c>
      <c r="U63">
        <v>2</v>
      </c>
      <c r="V63" s="25">
        <v>5</v>
      </c>
      <c r="W63" s="32">
        <v>0</v>
      </c>
    </row>
    <row r="64" spans="1:23" x14ac:dyDescent="0.2">
      <c r="A64" s="24"/>
      <c r="B64" s="24"/>
      <c r="C64" s="24"/>
      <c r="D64" s="24"/>
      <c r="E64" s="24"/>
      <c r="F64" s="24"/>
      <c r="G64" s="24">
        <v>5</v>
      </c>
      <c r="H64" s="24">
        <v>0</v>
      </c>
      <c r="I64" s="24">
        <v>1</v>
      </c>
      <c r="J64" s="24" t="s">
        <v>969</v>
      </c>
      <c r="K64" s="24" t="s">
        <v>258</v>
      </c>
      <c r="L64" s="24" t="s">
        <v>142</v>
      </c>
      <c r="M64" s="24" t="s">
        <v>160</v>
      </c>
      <c r="N64" s="70" t="s">
        <v>1231</v>
      </c>
      <c r="S64">
        <v>2</v>
      </c>
      <c r="T64">
        <v>2</v>
      </c>
      <c r="U64">
        <v>3</v>
      </c>
      <c r="V64" s="25">
        <v>5</v>
      </c>
      <c r="W64" s="32">
        <v>0</v>
      </c>
    </row>
    <row r="65" spans="1:23" x14ac:dyDescent="0.2">
      <c r="A65" s="24"/>
      <c r="B65" s="24"/>
      <c r="C65" s="24"/>
      <c r="D65" s="24"/>
      <c r="E65" s="24"/>
      <c r="F65" s="24"/>
      <c r="G65" s="24">
        <v>5</v>
      </c>
      <c r="H65" s="24">
        <v>0</v>
      </c>
      <c r="I65" s="24">
        <v>1</v>
      </c>
      <c r="J65" s="24" t="s">
        <v>970</v>
      </c>
      <c r="K65" s="24" t="s">
        <v>259</v>
      </c>
      <c r="L65" s="24" t="s">
        <v>142</v>
      </c>
      <c r="M65" s="24" t="s">
        <v>160</v>
      </c>
      <c r="N65" s="70" t="s">
        <v>1231</v>
      </c>
      <c r="S65">
        <v>2</v>
      </c>
      <c r="T65">
        <v>2</v>
      </c>
      <c r="U65">
        <v>4</v>
      </c>
      <c r="V65" s="25">
        <v>0</v>
      </c>
      <c r="W65" s="32">
        <v>0</v>
      </c>
    </row>
    <row r="66" spans="1:23" x14ac:dyDescent="0.2">
      <c r="A66" s="24"/>
      <c r="B66" s="24"/>
      <c r="C66" s="24"/>
      <c r="D66" s="24"/>
      <c r="E66" s="24"/>
      <c r="F66" s="24"/>
      <c r="G66" s="24">
        <v>5</v>
      </c>
      <c r="H66" s="24">
        <v>0</v>
      </c>
      <c r="I66" s="24">
        <v>1</v>
      </c>
      <c r="J66" s="24" t="s">
        <v>971</v>
      </c>
      <c r="K66" s="24" t="s">
        <v>260</v>
      </c>
      <c r="L66" s="24" t="s">
        <v>142</v>
      </c>
      <c r="M66" s="24" t="s">
        <v>160</v>
      </c>
      <c r="N66" s="70" t="s">
        <v>1231</v>
      </c>
      <c r="S66">
        <v>2</v>
      </c>
      <c r="T66">
        <v>2</v>
      </c>
      <c r="U66">
        <v>5</v>
      </c>
      <c r="V66" s="25">
        <v>0</v>
      </c>
      <c r="W66" s="32">
        <v>0</v>
      </c>
    </row>
    <row r="67" spans="1:23" x14ac:dyDescent="0.2">
      <c r="A67" s="24"/>
      <c r="B67" s="24"/>
      <c r="C67" s="24"/>
      <c r="D67" s="24"/>
      <c r="E67" s="24"/>
      <c r="F67" s="24"/>
      <c r="G67" s="24">
        <v>5</v>
      </c>
      <c r="H67" s="24">
        <v>0</v>
      </c>
      <c r="I67" s="24">
        <v>1</v>
      </c>
      <c r="J67" s="24" t="s">
        <v>972</v>
      </c>
      <c r="K67" s="24" t="s">
        <v>261</v>
      </c>
      <c r="L67" s="24" t="s">
        <v>142</v>
      </c>
      <c r="M67" s="24" t="s">
        <v>160</v>
      </c>
      <c r="N67" s="70" t="s">
        <v>1231</v>
      </c>
      <c r="S67">
        <v>2</v>
      </c>
      <c r="T67">
        <v>2</v>
      </c>
      <c r="U67">
        <v>6</v>
      </c>
      <c r="V67" s="25">
        <v>0</v>
      </c>
      <c r="W67" s="32">
        <v>0</v>
      </c>
    </row>
    <row r="68" spans="1:23" x14ac:dyDescent="0.2">
      <c r="A68" s="24"/>
      <c r="B68" s="24"/>
      <c r="C68" s="24"/>
      <c r="D68" s="24"/>
      <c r="E68" s="24"/>
      <c r="F68" s="24"/>
      <c r="G68" s="24">
        <v>6</v>
      </c>
      <c r="H68" s="24">
        <v>0</v>
      </c>
      <c r="I68" s="24">
        <v>1</v>
      </c>
      <c r="J68" s="24" t="s">
        <v>983</v>
      </c>
      <c r="K68" s="24" t="s">
        <v>272</v>
      </c>
      <c r="L68" s="24" t="s">
        <v>142</v>
      </c>
      <c r="M68" s="24" t="s">
        <v>160</v>
      </c>
      <c r="N68" s="70" t="s">
        <v>1231</v>
      </c>
      <c r="V68" s="24"/>
      <c r="W68" s="31"/>
    </row>
    <row r="69" spans="1:23" x14ac:dyDescent="0.2">
      <c r="A69" s="24"/>
      <c r="B69" s="24"/>
      <c r="C69" s="24"/>
      <c r="D69" s="24"/>
      <c r="E69" s="24"/>
      <c r="F69" s="24"/>
      <c r="G69" s="24">
        <v>6</v>
      </c>
      <c r="H69" s="24">
        <v>0</v>
      </c>
      <c r="I69" s="24">
        <v>1</v>
      </c>
      <c r="J69" s="24" t="s">
        <v>984</v>
      </c>
      <c r="K69" s="24" t="s">
        <v>273</v>
      </c>
      <c r="L69" s="24" t="s">
        <v>143</v>
      </c>
      <c r="M69" s="24" t="s">
        <v>160</v>
      </c>
      <c r="N69" s="70" t="s">
        <v>1231</v>
      </c>
      <c r="S69">
        <v>3</v>
      </c>
      <c r="T69">
        <v>0</v>
      </c>
      <c r="U69">
        <v>0</v>
      </c>
      <c r="V69" s="25">
        <v>5</v>
      </c>
      <c r="W69" s="32">
        <v>0</v>
      </c>
    </row>
    <row r="70" spans="1:23" x14ac:dyDescent="0.2">
      <c r="A70" s="24"/>
      <c r="B70" s="24"/>
      <c r="C70" s="24"/>
      <c r="D70" s="24"/>
      <c r="E70" s="24"/>
      <c r="F70" s="24"/>
      <c r="G70" s="24">
        <v>6</v>
      </c>
      <c r="H70" s="24">
        <v>0</v>
      </c>
      <c r="I70" s="24">
        <v>1</v>
      </c>
      <c r="J70" s="24" t="s">
        <v>985</v>
      </c>
      <c r="K70" s="24" t="s">
        <v>274</v>
      </c>
      <c r="L70" s="24" t="s">
        <v>143</v>
      </c>
      <c r="M70" s="24" t="s">
        <v>160</v>
      </c>
      <c r="N70" s="70" t="s">
        <v>1231</v>
      </c>
      <c r="S70">
        <v>3</v>
      </c>
      <c r="T70">
        <v>0</v>
      </c>
      <c r="U70">
        <v>1</v>
      </c>
      <c r="V70" s="25">
        <v>5</v>
      </c>
      <c r="W70" s="32">
        <v>0</v>
      </c>
    </row>
    <row r="71" spans="1:23" x14ac:dyDescent="0.2">
      <c r="A71" s="24"/>
      <c r="B71" s="24"/>
      <c r="C71" s="24"/>
      <c r="D71" s="24"/>
      <c r="E71" s="24"/>
      <c r="F71" s="24"/>
      <c r="G71" s="24">
        <v>6</v>
      </c>
      <c r="H71" s="24">
        <v>0</v>
      </c>
      <c r="I71" s="24">
        <v>1</v>
      </c>
      <c r="J71" s="24" t="s">
        <v>986</v>
      </c>
      <c r="K71" s="24" t="s">
        <v>275</v>
      </c>
      <c r="L71" s="24" t="s">
        <v>144</v>
      </c>
      <c r="M71" s="24" t="s">
        <v>160</v>
      </c>
      <c r="N71" s="70" t="s">
        <v>1231</v>
      </c>
      <c r="S71">
        <v>3</v>
      </c>
      <c r="T71">
        <v>0</v>
      </c>
      <c r="U71">
        <v>2</v>
      </c>
      <c r="V71" s="25">
        <v>5</v>
      </c>
      <c r="W71" s="32">
        <v>0</v>
      </c>
    </row>
    <row r="72" spans="1:23" x14ac:dyDescent="0.2">
      <c r="A72" s="24"/>
      <c r="B72" s="24"/>
      <c r="C72" s="24"/>
      <c r="D72" s="24"/>
      <c r="E72" s="24"/>
      <c r="F72" s="24"/>
      <c r="G72" s="24">
        <v>6</v>
      </c>
      <c r="H72" s="24">
        <v>0</v>
      </c>
      <c r="I72" s="24">
        <v>1</v>
      </c>
      <c r="J72" s="24" t="s">
        <v>987</v>
      </c>
      <c r="K72" s="24" t="s">
        <v>276</v>
      </c>
      <c r="L72" s="24" t="s">
        <v>144</v>
      </c>
      <c r="M72" s="24" t="s">
        <v>160</v>
      </c>
      <c r="N72" s="70" t="s">
        <v>1231</v>
      </c>
      <c r="S72">
        <v>3</v>
      </c>
      <c r="T72">
        <v>0</v>
      </c>
      <c r="U72">
        <v>3</v>
      </c>
      <c r="V72" s="25">
        <v>5</v>
      </c>
      <c r="W72" s="32">
        <v>0</v>
      </c>
    </row>
    <row r="73" spans="1:23" x14ac:dyDescent="0.2">
      <c r="A73" s="24"/>
      <c r="B73" s="24"/>
      <c r="C73" s="24"/>
      <c r="D73" s="24"/>
      <c r="E73" s="24"/>
      <c r="F73" s="24"/>
      <c r="G73" s="24">
        <v>0</v>
      </c>
      <c r="H73" s="24">
        <v>0</v>
      </c>
      <c r="I73" s="24">
        <v>2</v>
      </c>
      <c r="J73" s="24" t="s">
        <v>898</v>
      </c>
      <c r="K73" s="24" t="s">
        <v>187</v>
      </c>
      <c r="L73" s="24" t="s">
        <v>142</v>
      </c>
      <c r="M73" s="24" t="s">
        <v>155</v>
      </c>
      <c r="N73" s="70" t="s">
        <v>1231</v>
      </c>
      <c r="S73">
        <v>3</v>
      </c>
      <c r="T73">
        <v>0</v>
      </c>
      <c r="U73">
        <v>4</v>
      </c>
      <c r="V73" s="25">
        <v>5</v>
      </c>
      <c r="W73" s="32">
        <v>5</v>
      </c>
    </row>
    <row r="74" spans="1:23" x14ac:dyDescent="0.2">
      <c r="A74" s="24"/>
      <c r="B74" s="24"/>
      <c r="C74" s="24"/>
      <c r="D74" s="24"/>
      <c r="E74" s="24"/>
      <c r="F74" s="24"/>
      <c r="G74" s="24">
        <v>0</v>
      </c>
      <c r="H74" s="24">
        <v>0</v>
      </c>
      <c r="I74" s="24">
        <v>2</v>
      </c>
      <c r="J74" s="24" t="s">
        <v>899</v>
      </c>
      <c r="K74" s="24" t="s">
        <v>188</v>
      </c>
      <c r="L74" s="24" t="s">
        <v>142</v>
      </c>
      <c r="M74" s="24" t="s">
        <v>155</v>
      </c>
      <c r="N74" s="70" t="s">
        <v>1231</v>
      </c>
      <c r="S74">
        <v>3</v>
      </c>
      <c r="T74">
        <v>0</v>
      </c>
      <c r="U74">
        <v>5</v>
      </c>
      <c r="V74" s="25">
        <v>5</v>
      </c>
      <c r="W74" s="32">
        <v>3</v>
      </c>
    </row>
    <row r="75" spans="1:23" x14ac:dyDescent="0.2">
      <c r="A75" s="24"/>
      <c r="B75" s="24"/>
      <c r="C75" s="24"/>
      <c r="D75" s="24"/>
      <c r="E75" s="24"/>
      <c r="F75" s="24"/>
      <c r="G75" s="24">
        <v>0</v>
      </c>
      <c r="H75" s="24">
        <v>0</v>
      </c>
      <c r="I75" s="24">
        <v>2</v>
      </c>
      <c r="J75" s="24" t="s">
        <v>900</v>
      </c>
      <c r="K75" s="24" t="s">
        <v>189</v>
      </c>
      <c r="L75" s="24" t="s">
        <v>142</v>
      </c>
      <c r="M75" s="24" t="s">
        <v>155</v>
      </c>
      <c r="N75" s="70" t="s">
        <v>1231</v>
      </c>
      <c r="S75">
        <v>3</v>
      </c>
      <c r="T75">
        <v>0</v>
      </c>
      <c r="U75">
        <v>6</v>
      </c>
      <c r="V75" s="25">
        <v>5</v>
      </c>
      <c r="W75" s="32">
        <v>0</v>
      </c>
    </row>
    <row r="76" spans="1:23" x14ac:dyDescent="0.2">
      <c r="A76" s="24"/>
      <c r="B76" s="24"/>
      <c r="C76" s="24"/>
      <c r="D76" s="24"/>
      <c r="E76" s="24"/>
      <c r="F76" s="24"/>
      <c r="G76" s="24">
        <v>0</v>
      </c>
      <c r="H76" s="24">
        <v>0</v>
      </c>
      <c r="I76" s="24">
        <v>2</v>
      </c>
      <c r="J76" s="24" t="s">
        <v>901</v>
      </c>
      <c r="K76" s="24" t="s">
        <v>190</v>
      </c>
      <c r="L76" s="24" t="s">
        <v>142</v>
      </c>
      <c r="M76" s="24" t="s">
        <v>155</v>
      </c>
      <c r="N76" s="70" t="s">
        <v>1231</v>
      </c>
      <c r="S76">
        <v>3</v>
      </c>
      <c r="T76">
        <v>1</v>
      </c>
      <c r="U76">
        <v>0</v>
      </c>
      <c r="V76" s="25">
        <v>0</v>
      </c>
      <c r="W76" s="32">
        <v>0</v>
      </c>
    </row>
    <row r="77" spans="1:23" x14ac:dyDescent="0.2">
      <c r="A77" s="24"/>
      <c r="B77" s="24"/>
      <c r="C77" s="24"/>
      <c r="D77" s="24"/>
      <c r="E77" s="24"/>
      <c r="F77" s="24"/>
      <c r="G77" s="24">
        <v>0</v>
      </c>
      <c r="H77" s="24">
        <v>0</v>
      </c>
      <c r="I77" s="24">
        <v>2</v>
      </c>
      <c r="J77" s="24" t="s">
        <v>902</v>
      </c>
      <c r="K77" s="24" t="s">
        <v>191</v>
      </c>
      <c r="L77" s="24" t="s">
        <v>142</v>
      </c>
      <c r="M77" s="24" t="s">
        <v>155</v>
      </c>
      <c r="N77" s="70" t="s">
        <v>1231</v>
      </c>
      <c r="S77">
        <v>3</v>
      </c>
      <c r="T77">
        <v>1</v>
      </c>
      <c r="U77">
        <v>1</v>
      </c>
      <c r="V77" s="25">
        <v>0</v>
      </c>
      <c r="W77" s="32">
        <v>0</v>
      </c>
    </row>
    <row r="78" spans="1:23" x14ac:dyDescent="0.2">
      <c r="A78" s="24"/>
      <c r="B78" s="24"/>
      <c r="C78" s="24"/>
      <c r="D78" s="24"/>
      <c r="E78" s="24"/>
      <c r="F78" s="24"/>
      <c r="G78" s="24">
        <v>1</v>
      </c>
      <c r="H78" s="24">
        <v>0</v>
      </c>
      <c r="I78" s="24">
        <v>2</v>
      </c>
      <c r="J78" s="24" t="s">
        <v>913</v>
      </c>
      <c r="K78" s="24" t="s">
        <v>202</v>
      </c>
      <c r="L78" s="24" t="s">
        <v>142</v>
      </c>
      <c r="M78" s="24" t="s">
        <v>155</v>
      </c>
      <c r="N78" s="70" t="s">
        <v>1231</v>
      </c>
      <c r="S78">
        <v>3</v>
      </c>
      <c r="T78">
        <v>1</v>
      </c>
      <c r="U78">
        <v>2</v>
      </c>
      <c r="V78" s="25">
        <v>0</v>
      </c>
      <c r="W78" s="32">
        <v>0</v>
      </c>
    </row>
    <row r="79" spans="1:23" x14ac:dyDescent="0.2">
      <c r="A79" s="24"/>
      <c r="B79" s="24"/>
      <c r="C79" s="24"/>
      <c r="D79" s="24"/>
      <c r="E79" s="24"/>
      <c r="F79" s="24"/>
      <c r="G79" s="24">
        <v>1</v>
      </c>
      <c r="H79" s="24">
        <v>0</v>
      </c>
      <c r="I79" s="24">
        <v>2</v>
      </c>
      <c r="J79" s="24" t="s">
        <v>914</v>
      </c>
      <c r="K79" s="24" t="s">
        <v>203</v>
      </c>
      <c r="L79" s="24" t="s">
        <v>142</v>
      </c>
      <c r="M79" s="24" t="s">
        <v>155</v>
      </c>
      <c r="N79" s="70" t="s">
        <v>1231</v>
      </c>
      <c r="S79">
        <v>3</v>
      </c>
      <c r="T79">
        <v>1</v>
      </c>
      <c r="U79">
        <v>3</v>
      </c>
      <c r="V79" s="25">
        <v>0</v>
      </c>
      <c r="W79" s="32">
        <v>0</v>
      </c>
    </row>
    <row r="80" spans="1:23" x14ac:dyDescent="0.2">
      <c r="A80" s="24"/>
      <c r="B80" s="24"/>
      <c r="C80" s="24"/>
      <c r="D80" s="24"/>
      <c r="E80" s="24"/>
      <c r="F80" s="24"/>
      <c r="G80" s="24">
        <v>1</v>
      </c>
      <c r="H80" s="24">
        <v>0</v>
      </c>
      <c r="I80" s="24">
        <v>2</v>
      </c>
      <c r="J80" s="24" t="s">
        <v>915</v>
      </c>
      <c r="K80" s="24" t="s">
        <v>204</v>
      </c>
      <c r="L80" s="24" t="s">
        <v>142</v>
      </c>
      <c r="M80" s="24" t="s">
        <v>155</v>
      </c>
      <c r="N80" s="70" t="s">
        <v>1231</v>
      </c>
      <c r="S80">
        <v>3</v>
      </c>
      <c r="T80">
        <v>1</v>
      </c>
      <c r="U80">
        <v>4</v>
      </c>
      <c r="V80" s="25">
        <v>0</v>
      </c>
      <c r="W80" s="32">
        <v>0</v>
      </c>
    </row>
    <row r="81" spans="1:23" x14ac:dyDescent="0.2">
      <c r="A81" s="24"/>
      <c r="B81" s="24"/>
      <c r="C81" s="24"/>
      <c r="D81" s="24"/>
      <c r="E81" s="24"/>
      <c r="F81" s="24"/>
      <c r="G81" s="24">
        <v>1</v>
      </c>
      <c r="H81" s="24">
        <v>0</v>
      </c>
      <c r="I81" s="24">
        <v>2</v>
      </c>
      <c r="J81" s="24" t="s">
        <v>916</v>
      </c>
      <c r="K81" s="24" t="s">
        <v>205</v>
      </c>
      <c r="L81" s="24" t="s">
        <v>142</v>
      </c>
      <c r="M81" s="24" t="s">
        <v>155</v>
      </c>
      <c r="N81" s="70" t="s">
        <v>1231</v>
      </c>
      <c r="S81">
        <v>3</v>
      </c>
      <c r="T81">
        <v>1</v>
      </c>
      <c r="U81">
        <v>5</v>
      </c>
      <c r="V81" s="25">
        <v>0</v>
      </c>
      <c r="W81" s="32">
        <v>0</v>
      </c>
    </row>
    <row r="82" spans="1:23" x14ac:dyDescent="0.2">
      <c r="A82" s="24"/>
      <c r="B82" s="24"/>
      <c r="C82" s="24"/>
      <c r="D82" s="24"/>
      <c r="E82" s="24"/>
      <c r="F82" s="24"/>
      <c r="G82" s="24">
        <v>1</v>
      </c>
      <c r="H82" s="24">
        <v>0</v>
      </c>
      <c r="I82" s="24">
        <v>2</v>
      </c>
      <c r="J82" s="24" t="s">
        <v>917</v>
      </c>
      <c r="K82" s="24" t="s">
        <v>206</v>
      </c>
      <c r="L82" s="24" t="s">
        <v>142</v>
      </c>
      <c r="M82" s="24" t="s">
        <v>155</v>
      </c>
      <c r="N82" s="70" t="s">
        <v>1231</v>
      </c>
      <c r="S82">
        <v>3</v>
      </c>
      <c r="T82">
        <v>1</v>
      </c>
      <c r="U82">
        <v>6</v>
      </c>
      <c r="V82" s="25">
        <v>0</v>
      </c>
      <c r="W82" s="32">
        <v>0</v>
      </c>
    </row>
    <row r="83" spans="1:23" x14ac:dyDescent="0.2">
      <c r="A83" s="24"/>
      <c r="B83" s="24"/>
      <c r="C83" s="24"/>
      <c r="D83" s="24"/>
      <c r="E83" s="24"/>
      <c r="F83" s="24"/>
      <c r="G83" s="24">
        <v>2</v>
      </c>
      <c r="H83" s="24">
        <v>0</v>
      </c>
      <c r="I83" s="24">
        <v>2</v>
      </c>
      <c r="J83" s="24" t="s">
        <v>928</v>
      </c>
      <c r="K83" s="24" t="s">
        <v>217</v>
      </c>
      <c r="L83" s="24" t="s">
        <v>142</v>
      </c>
      <c r="M83" s="24" t="s">
        <v>155</v>
      </c>
      <c r="N83" s="70" t="s">
        <v>1231</v>
      </c>
      <c r="S83">
        <v>3</v>
      </c>
      <c r="T83">
        <v>2</v>
      </c>
      <c r="U83">
        <v>0</v>
      </c>
      <c r="V83" s="25">
        <v>0</v>
      </c>
      <c r="W83" s="32">
        <v>0</v>
      </c>
    </row>
    <row r="84" spans="1:23" x14ac:dyDescent="0.2">
      <c r="A84" s="24"/>
      <c r="B84" s="24"/>
      <c r="C84" s="24"/>
      <c r="D84" s="24"/>
      <c r="E84" s="24"/>
      <c r="F84" s="24"/>
      <c r="G84" s="24">
        <v>2</v>
      </c>
      <c r="H84" s="24">
        <v>0</v>
      </c>
      <c r="I84" s="24">
        <v>2</v>
      </c>
      <c r="J84" s="24" t="s">
        <v>929</v>
      </c>
      <c r="K84" s="24" t="s">
        <v>218</v>
      </c>
      <c r="L84" s="24" t="s">
        <v>142</v>
      </c>
      <c r="M84" s="24" t="s">
        <v>155</v>
      </c>
      <c r="N84" s="70" t="s">
        <v>1231</v>
      </c>
      <c r="S84">
        <v>3</v>
      </c>
      <c r="T84">
        <v>2</v>
      </c>
      <c r="U84">
        <v>1</v>
      </c>
      <c r="V84" s="25">
        <v>0</v>
      </c>
      <c r="W84" s="32">
        <v>0</v>
      </c>
    </row>
    <row r="85" spans="1:23" x14ac:dyDescent="0.2">
      <c r="A85" s="24"/>
      <c r="B85" s="24"/>
      <c r="C85" s="24"/>
      <c r="D85" s="24"/>
      <c r="E85" s="24"/>
      <c r="F85" s="24"/>
      <c r="G85" s="24">
        <v>2</v>
      </c>
      <c r="H85" s="24">
        <v>0</v>
      </c>
      <c r="I85" s="24">
        <v>2</v>
      </c>
      <c r="J85" s="24" t="s">
        <v>930</v>
      </c>
      <c r="K85" s="24" t="s">
        <v>219</v>
      </c>
      <c r="L85" s="24" t="s">
        <v>142</v>
      </c>
      <c r="M85" s="24" t="s">
        <v>155</v>
      </c>
      <c r="N85" s="70" t="s">
        <v>1231</v>
      </c>
      <c r="S85">
        <v>3</v>
      </c>
      <c r="T85">
        <v>2</v>
      </c>
      <c r="U85">
        <v>2</v>
      </c>
      <c r="V85" s="25">
        <v>0</v>
      </c>
      <c r="W85" s="32">
        <v>0</v>
      </c>
    </row>
    <row r="86" spans="1:23" x14ac:dyDescent="0.2">
      <c r="A86" s="24"/>
      <c r="B86" s="24"/>
      <c r="C86" s="24"/>
      <c r="D86" s="24"/>
      <c r="E86" s="24"/>
      <c r="F86" s="24"/>
      <c r="G86" s="24">
        <v>2</v>
      </c>
      <c r="H86" s="24">
        <v>0</v>
      </c>
      <c r="I86" s="24">
        <v>2</v>
      </c>
      <c r="J86" s="24" t="s">
        <v>931</v>
      </c>
      <c r="K86" s="24" t="s">
        <v>220</v>
      </c>
      <c r="L86" s="24" t="s">
        <v>142</v>
      </c>
      <c r="M86" s="24" t="s">
        <v>155</v>
      </c>
      <c r="N86" s="70" t="s">
        <v>1231</v>
      </c>
      <c r="S86">
        <v>3</v>
      </c>
      <c r="T86">
        <v>2</v>
      </c>
      <c r="U86">
        <v>3</v>
      </c>
      <c r="V86" s="25">
        <v>0</v>
      </c>
      <c r="W86" s="32">
        <v>0</v>
      </c>
    </row>
    <row r="87" spans="1:23" x14ac:dyDescent="0.2">
      <c r="A87" s="24"/>
      <c r="B87" s="24"/>
      <c r="C87" s="24"/>
      <c r="D87" s="24"/>
      <c r="E87" s="24"/>
      <c r="F87" s="24"/>
      <c r="G87" s="24">
        <v>2</v>
      </c>
      <c r="H87" s="24">
        <v>0</v>
      </c>
      <c r="I87" s="24">
        <v>2</v>
      </c>
      <c r="J87" s="24" t="s">
        <v>932</v>
      </c>
      <c r="K87" s="24" t="s">
        <v>221</v>
      </c>
      <c r="L87" s="24" t="s">
        <v>142</v>
      </c>
      <c r="M87" s="24" t="s">
        <v>155</v>
      </c>
      <c r="N87" s="70" t="s">
        <v>1231</v>
      </c>
      <c r="S87">
        <v>3</v>
      </c>
      <c r="T87">
        <v>2</v>
      </c>
      <c r="U87">
        <v>4</v>
      </c>
      <c r="V87" s="25">
        <v>0</v>
      </c>
      <c r="W87" s="32">
        <v>0</v>
      </c>
    </row>
    <row r="88" spans="1:23" x14ac:dyDescent="0.2">
      <c r="A88" s="24"/>
      <c r="B88" s="24"/>
      <c r="C88" s="24"/>
      <c r="D88" s="24"/>
      <c r="E88" s="24"/>
      <c r="F88" s="24"/>
      <c r="G88" s="24">
        <v>3</v>
      </c>
      <c r="H88" s="24">
        <v>0</v>
      </c>
      <c r="I88" s="24">
        <v>2</v>
      </c>
      <c r="J88" s="24" t="s">
        <v>943</v>
      </c>
      <c r="K88" s="24" t="s">
        <v>232</v>
      </c>
      <c r="L88" s="24" t="s">
        <v>142</v>
      </c>
      <c r="M88" s="24" t="s">
        <v>158</v>
      </c>
      <c r="N88" s="70" t="s">
        <v>1231</v>
      </c>
      <c r="S88">
        <v>3</v>
      </c>
      <c r="T88">
        <v>2</v>
      </c>
      <c r="U88">
        <v>5</v>
      </c>
      <c r="V88" s="25">
        <v>0</v>
      </c>
      <c r="W88" s="32">
        <v>0</v>
      </c>
    </row>
    <row r="89" spans="1:23" x14ac:dyDescent="0.2">
      <c r="A89" s="24"/>
      <c r="B89" s="24"/>
      <c r="C89" s="24"/>
      <c r="D89" s="24"/>
      <c r="E89" s="24"/>
      <c r="F89" s="24"/>
      <c r="G89" s="24">
        <v>3</v>
      </c>
      <c r="H89" s="24">
        <v>0</v>
      </c>
      <c r="I89" s="24">
        <v>2</v>
      </c>
      <c r="J89" s="24" t="s">
        <v>944</v>
      </c>
      <c r="K89" s="24" t="s">
        <v>233</v>
      </c>
      <c r="L89" s="24" t="s">
        <v>142</v>
      </c>
      <c r="M89" s="24" t="s">
        <v>158</v>
      </c>
      <c r="N89" s="70" t="s">
        <v>1231</v>
      </c>
      <c r="S89">
        <v>3</v>
      </c>
      <c r="T89">
        <v>2</v>
      </c>
      <c r="U89">
        <v>6</v>
      </c>
      <c r="V89" s="25">
        <v>0</v>
      </c>
      <c r="W89" s="32">
        <v>0</v>
      </c>
    </row>
    <row r="90" spans="1:23" x14ac:dyDescent="0.2">
      <c r="A90" s="24"/>
      <c r="B90" s="24"/>
      <c r="C90" s="24"/>
      <c r="D90" s="24"/>
      <c r="E90" s="24"/>
      <c r="F90" s="24"/>
      <c r="G90" s="24">
        <v>3</v>
      </c>
      <c r="H90" s="24">
        <v>0</v>
      </c>
      <c r="I90" s="24">
        <v>2</v>
      </c>
      <c r="J90" s="24" t="s">
        <v>945</v>
      </c>
      <c r="K90" s="24" t="s">
        <v>234</v>
      </c>
      <c r="L90" s="24" t="s">
        <v>142</v>
      </c>
      <c r="M90" s="24" t="s">
        <v>158</v>
      </c>
      <c r="N90" s="70" t="s">
        <v>1231</v>
      </c>
      <c r="V90" s="24"/>
      <c r="W90" s="31"/>
    </row>
    <row r="91" spans="1:23" x14ac:dyDescent="0.2">
      <c r="A91" s="24"/>
      <c r="B91" s="24"/>
      <c r="C91" s="24"/>
      <c r="D91" s="24"/>
      <c r="E91" s="24"/>
      <c r="F91" s="24"/>
      <c r="G91" s="24">
        <v>3</v>
      </c>
      <c r="H91" s="24">
        <v>0</v>
      </c>
      <c r="I91" s="24">
        <v>2</v>
      </c>
      <c r="J91" s="24" t="s">
        <v>946</v>
      </c>
      <c r="K91" s="24" t="s">
        <v>235</v>
      </c>
      <c r="L91" s="24" t="s">
        <v>142</v>
      </c>
      <c r="M91" s="24" t="s">
        <v>158</v>
      </c>
      <c r="N91" s="70" t="s">
        <v>1231</v>
      </c>
      <c r="S91">
        <v>4</v>
      </c>
      <c r="T91">
        <v>0</v>
      </c>
      <c r="U91">
        <v>0</v>
      </c>
      <c r="V91" s="25">
        <v>0</v>
      </c>
      <c r="W91" s="32">
        <v>0</v>
      </c>
    </row>
    <row r="92" spans="1:23" x14ac:dyDescent="0.2">
      <c r="A92" s="24"/>
      <c r="B92" s="24"/>
      <c r="C92" s="24"/>
      <c r="D92" s="24"/>
      <c r="E92" s="24"/>
      <c r="F92" s="24"/>
      <c r="G92" s="24">
        <v>3</v>
      </c>
      <c r="H92" s="24">
        <v>0</v>
      </c>
      <c r="I92" s="24">
        <v>2</v>
      </c>
      <c r="J92" s="24" t="s">
        <v>947</v>
      </c>
      <c r="K92" s="24" t="s">
        <v>236</v>
      </c>
      <c r="L92" s="24" t="s">
        <v>142</v>
      </c>
      <c r="M92" s="24" t="s">
        <v>158</v>
      </c>
      <c r="N92" s="70" t="s">
        <v>1231</v>
      </c>
      <c r="S92">
        <v>4</v>
      </c>
      <c r="T92">
        <v>0</v>
      </c>
      <c r="U92">
        <v>1</v>
      </c>
      <c r="V92" s="25">
        <v>0</v>
      </c>
      <c r="W92" s="32">
        <v>0</v>
      </c>
    </row>
    <row r="93" spans="1:23" x14ac:dyDescent="0.2">
      <c r="A93" s="24"/>
      <c r="B93" s="24"/>
      <c r="C93" s="24"/>
      <c r="D93" s="24"/>
      <c r="E93" s="24"/>
      <c r="F93" s="24"/>
      <c r="G93" s="24">
        <v>4</v>
      </c>
      <c r="H93" s="24">
        <v>0</v>
      </c>
      <c r="I93" s="24">
        <v>2</v>
      </c>
      <c r="J93" s="24" t="s">
        <v>958</v>
      </c>
      <c r="K93" s="24" t="s">
        <v>247</v>
      </c>
      <c r="L93" s="24" t="s">
        <v>142</v>
      </c>
      <c r="M93" s="24" t="s">
        <v>161</v>
      </c>
      <c r="N93" s="70" t="s">
        <v>1231</v>
      </c>
      <c r="S93">
        <v>4</v>
      </c>
      <c r="T93">
        <v>0</v>
      </c>
      <c r="U93">
        <v>2</v>
      </c>
      <c r="V93" s="25">
        <v>0</v>
      </c>
      <c r="W93" s="32">
        <v>0</v>
      </c>
    </row>
    <row r="94" spans="1:23" x14ac:dyDescent="0.2">
      <c r="A94" s="24"/>
      <c r="B94" s="24"/>
      <c r="C94" s="24"/>
      <c r="D94" s="24"/>
      <c r="E94" s="24"/>
      <c r="F94" s="24"/>
      <c r="G94" s="24">
        <v>4</v>
      </c>
      <c r="H94" s="24">
        <v>0</v>
      </c>
      <c r="I94" s="24">
        <v>2</v>
      </c>
      <c r="J94" s="24" t="s">
        <v>959</v>
      </c>
      <c r="K94" s="24" t="s">
        <v>248</v>
      </c>
      <c r="L94" s="24" t="s">
        <v>142</v>
      </c>
      <c r="M94" s="24" t="s">
        <v>161</v>
      </c>
      <c r="N94" s="70" t="s">
        <v>1231</v>
      </c>
      <c r="S94">
        <v>4</v>
      </c>
      <c r="T94">
        <v>0</v>
      </c>
      <c r="U94">
        <v>3</v>
      </c>
      <c r="V94" s="25">
        <v>0</v>
      </c>
      <c r="W94" s="32">
        <v>0</v>
      </c>
    </row>
    <row r="95" spans="1:23" x14ac:dyDescent="0.2">
      <c r="A95" s="24"/>
      <c r="B95" s="24"/>
      <c r="C95" s="24"/>
      <c r="D95" s="24"/>
      <c r="E95" s="24"/>
      <c r="F95" s="24"/>
      <c r="G95" s="24">
        <v>4</v>
      </c>
      <c r="H95" s="24">
        <v>0</v>
      </c>
      <c r="I95" s="24">
        <v>2</v>
      </c>
      <c r="J95" s="24" t="s">
        <v>960</v>
      </c>
      <c r="K95" s="24" t="s">
        <v>249</v>
      </c>
      <c r="L95" s="24" t="s">
        <v>142</v>
      </c>
      <c r="M95" s="24" t="s">
        <v>161</v>
      </c>
      <c r="N95" s="70" t="s">
        <v>1231</v>
      </c>
      <c r="S95">
        <v>4</v>
      </c>
      <c r="T95">
        <v>0</v>
      </c>
      <c r="U95">
        <v>4</v>
      </c>
      <c r="V95" s="25">
        <v>0</v>
      </c>
      <c r="W95" s="32">
        <v>0</v>
      </c>
    </row>
    <row r="96" spans="1:23" x14ac:dyDescent="0.2">
      <c r="A96" s="24"/>
      <c r="B96" s="24"/>
      <c r="C96" s="24"/>
      <c r="D96" s="24"/>
      <c r="E96" s="24"/>
      <c r="F96" s="24"/>
      <c r="G96" s="24">
        <v>4</v>
      </c>
      <c r="H96" s="24">
        <v>0</v>
      </c>
      <c r="I96" s="24">
        <v>2</v>
      </c>
      <c r="J96" s="24" t="s">
        <v>961</v>
      </c>
      <c r="K96" s="24" t="s">
        <v>250</v>
      </c>
      <c r="L96" s="24" t="s">
        <v>142</v>
      </c>
      <c r="M96" s="24" t="s">
        <v>161</v>
      </c>
      <c r="N96" s="70" t="s">
        <v>1231</v>
      </c>
      <c r="S96">
        <v>4</v>
      </c>
      <c r="T96">
        <v>0</v>
      </c>
      <c r="U96">
        <v>5</v>
      </c>
      <c r="V96" s="25">
        <v>0</v>
      </c>
      <c r="W96" s="32">
        <v>0</v>
      </c>
    </row>
    <row r="97" spans="1:23" x14ac:dyDescent="0.2">
      <c r="A97" s="24"/>
      <c r="B97" s="24"/>
      <c r="C97" s="24"/>
      <c r="D97" s="24"/>
      <c r="E97" s="24"/>
      <c r="F97" s="24"/>
      <c r="G97" s="24">
        <v>4</v>
      </c>
      <c r="H97" s="24">
        <v>0</v>
      </c>
      <c r="I97" s="24">
        <v>2</v>
      </c>
      <c r="J97" s="24" t="s">
        <v>962</v>
      </c>
      <c r="K97" s="24" t="s">
        <v>251</v>
      </c>
      <c r="L97" s="24" t="s">
        <v>142</v>
      </c>
      <c r="M97" s="24" t="s">
        <v>161</v>
      </c>
      <c r="N97" s="70" t="s">
        <v>1231</v>
      </c>
      <c r="S97">
        <v>4</v>
      </c>
      <c r="T97">
        <v>0</v>
      </c>
      <c r="U97">
        <v>6</v>
      </c>
      <c r="V97" s="25">
        <v>0</v>
      </c>
      <c r="W97" s="32">
        <v>0</v>
      </c>
    </row>
    <row r="98" spans="1:23" x14ac:dyDescent="0.2">
      <c r="A98" s="24"/>
      <c r="B98" s="24"/>
      <c r="C98" s="24"/>
      <c r="D98" s="24"/>
      <c r="E98" s="24"/>
      <c r="F98" s="24"/>
      <c r="G98" s="24">
        <v>5</v>
      </c>
      <c r="H98" s="24">
        <v>0</v>
      </c>
      <c r="I98" s="24">
        <v>2</v>
      </c>
      <c r="J98" s="24" t="s">
        <v>973</v>
      </c>
      <c r="K98" s="24" t="s">
        <v>262</v>
      </c>
      <c r="L98" s="24" t="s">
        <v>142</v>
      </c>
      <c r="M98" s="24" t="s">
        <v>161</v>
      </c>
      <c r="N98" s="70" t="s">
        <v>1231</v>
      </c>
      <c r="S98">
        <v>4</v>
      </c>
      <c r="T98">
        <v>1</v>
      </c>
      <c r="U98">
        <v>0</v>
      </c>
      <c r="V98" s="25">
        <v>0</v>
      </c>
      <c r="W98" s="32">
        <v>0</v>
      </c>
    </row>
    <row r="99" spans="1:23" x14ac:dyDescent="0.2">
      <c r="A99" s="24"/>
      <c r="B99" s="24"/>
      <c r="C99" s="24"/>
      <c r="D99" s="24"/>
      <c r="E99" s="24"/>
      <c r="F99" s="24"/>
      <c r="G99" s="24">
        <v>5</v>
      </c>
      <c r="H99" s="24">
        <v>0</v>
      </c>
      <c r="I99" s="24">
        <v>2</v>
      </c>
      <c r="J99" s="24" t="s">
        <v>974</v>
      </c>
      <c r="K99" s="24" t="s">
        <v>263</v>
      </c>
      <c r="L99" s="24" t="s">
        <v>142</v>
      </c>
      <c r="M99" s="24" t="s">
        <v>161</v>
      </c>
      <c r="N99" s="70" t="s">
        <v>1231</v>
      </c>
      <c r="S99">
        <v>4</v>
      </c>
      <c r="T99">
        <v>1</v>
      </c>
      <c r="U99">
        <v>1</v>
      </c>
      <c r="V99" s="25">
        <v>0</v>
      </c>
      <c r="W99" s="32">
        <v>0</v>
      </c>
    </row>
    <row r="100" spans="1:23" x14ac:dyDescent="0.2">
      <c r="A100" s="24"/>
      <c r="B100" s="24"/>
      <c r="C100" s="24"/>
      <c r="D100" s="24"/>
      <c r="E100" s="24"/>
      <c r="F100" s="24"/>
      <c r="G100" s="24">
        <v>5</v>
      </c>
      <c r="H100" s="24">
        <v>0</v>
      </c>
      <c r="I100" s="24">
        <v>2</v>
      </c>
      <c r="J100" s="24" t="s">
        <v>975</v>
      </c>
      <c r="K100" s="24" t="s">
        <v>264</v>
      </c>
      <c r="L100" s="24" t="s">
        <v>142</v>
      </c>
      <c r="M100" s="24" t="s">
        <v>161</v>
      </c>
      <c r="N100" s="70" t="s">
        <v>1231</v>
      </c>
      <c r="S100">
        <v>4</v>
      </c>
      <c r="T100">
        <v>1</v>
      </c>
      <c r="U100">
        <v>2</v>
      </c>
      <c r="V100" s="25">
        <v>0</v>
      </c>
      <c r="W100" s="32">
        <v>0</v>
      </c>
    </row>
    <row r="101" spans="1:23" x14ac:dyDescent="0.2">
      <c r="A101" s="24"/>
      <c r="B101" s="24"/>
      <c r="C101" s="24"/>
      <c r="D101" s="24"/>
      <c r="E101" s="24"/>
      <c r="F101" s="24"/>
      <c r="G101" s="24">
        <v>5</v>
      </c>
      <c r="H101" s="24">
        <v>0</v>
      </c>
      <c r="I101" s="24">
        <v>2</v>
      </c>
      <c r="J101" s="24" t="s">
        <v>976</v>
      </c>
      <c r="K101" s="24" t="s">
        <v>265</v>
      </c>
      <c r="L101" s="24" t="s">
        <v>142</v>
      </c>
      <c r="M101" s="24" t="s">
        <v>161</v>
      </c>
      <c r="N101" s="70" t="s">
        <v>1231</v>
      </c>
      <c r="S101">
        <v>4</v>
      </c>
      <c r="T101">
        <v>1</v>
      </c>
      <c r="U101">
        <v>3</v>
      </c>
      <c r="V101" s="25">
        <v>0</v>
      </c>
      <c r="W101" s="32">
        <v>0</v>
      </c>
    </row>
    <row r="102" spans="1:23" x14ac:dyDescent="0.2">
      <c r="A102" s="24"/>
      <c r="B102" s="24"/>
      <c r="C102" s="24"/>
      <c r="D102" s="24"/>
      <c r="E102" s="24"/>
      <c r="F102" s="24"/>
      <c r="G102" s="24">
        <v>5</v>
      </c>
      <c r="H102" s="24">
        <v>0</v>
      </c>
      <c r="I102" s="24">
        <v>2</v>
      </c>
      <c r="J102" s="24" t="s">
        <v>977</v>
      </c>
      <c r="K102" s="24" t="s">
        <v>266</v>
      </c>
      <c r="L102" s="24" t="s">
        <v>142</v>
      </c>
      <c r="M102" s="24" t="s">
        <v>161</v>
      </c>
      <c r="N102" s="70" t="s">
        <v>1231</v>
      </c>
      <c r="S102">
        <v>4</v>
      </c>
      <c r="T102">
        <v>1</v>
      </c>
      <c r="U102">
        <v>4</v>
      </c>
      <c r="V102" s="25">
        <v>0</v>
      </c>
      <c r="W102" s="32">
        <v>0</v>
      </c>
    </row>
    <row r="103" spans="1:23" x14ac:dyDescent="0.2">
      <c r="A103" s="24"/>
      <c r="B103" s="24"/>
      <c r="C103" s="24"/>
      <c r="D103" s="24"/>
      <c r="E103" s="24"/>
      <c r="F103" s="24"/>
      <c r="G103" s="24">
        <v>6</v>
      </c>
      <c r="H103" s="24">
        <v>0</v>
      </c>
      <c r="I103" s="24">
        <v>2</v>
      </c>
      <c r="J103" s="24" t="s">
        <v>988</v>
      </c>
      <c r="K103" s="24" t="s">
        <v>277</v>
      </c>
      <c r="L103" s="24" t="s">
        <v>143</v>
      </c>
      <c r="M103" s="24" t="s">
        <v>161</v>
      </c>
      <c r="N103" s="70" t="s">
        <v>1231</v>
      </c>
      <c r="S103">
        <v>4</v>
      </c>
      <c r="T103">
        <v>1</v>
      </c>
      <c r="U103">
        <v>5</v>
      </c>
      <c r="V103" s="25">
        <v>0</v>
      </c>
      <c r="W103" s="32">
        <v>0</v>
      </c>
    </row>
    <row r="104" spans="1:23" x14ac:dyDescent="0.2">
      <c r="A104" s="24"/>
      <c r="B104" s="24"/>
      <c r="C104" s="24"/>
      <c r="D104" s="24"/>
      <c r="E104" s="24"/>
      <c r="F104" s="24"/>
      <c r="G104" s="24">
        <v>6</v>
      </c>
      <c r="H104" s="24">
        <v>0</v>
      </c>
      <c r="I104" s="24">
        <v>2</v>
      </c>
      <c r="J104" s="24" t="s">
        <v>989</v>
      </c>
      <c r="K104" s="24" t="s">
        <v>278</v>
      </c>
      <c r="L104" s="24" t="s">
        <v>143</v>
      </c>
      <c r="M104" s="24" t="s">
        <v>161</v>
      </c>
      <c r="N104" s="70" t="s">
        <v>1231</v>
      </c>
      <c r="S104">
        <v>4</v>
      </c>
      <c r="T104">
        <v>1</v>
      </c>
      <c r="U104">
        <v>6</v>
      </c>
      <c r="V104" s="25">
        <v>0</v>
      </c>
      <c r="W104" s="32">
        <v>0</v>
      </c>
    </row>
    <row r="105" spans="1:23" x14ac:dyDescent="0.2">
      <c r="A105" s="24"/>
      <c r="B105" s="24"/>
      <c r="C105" s="24"/>
      <c r="D105" s="24"/>
      <c r="E105" s="24"/>
      <c r="F105" s="24"/>
      <c r="G105" s="24">
        <v>6</v>
      </c>
      <c r="H105" s="24">
        <v>0</v>
      </c>
      <c r="I105" s="24">
        <v>2</v>
      </c>
      <c r="J105" s="24" t="s">
        <v>990</v>
      </c>
      <c r="K105" s="24" t="s">
        <v>279</v>
      </c>
      <c r="L105" s="24" t="s">
        <v>143</v>
      </c>
      <c r="M105" s="24" t="s">
        <v>161</v>
      </c>
      <c r="N105" s="70" t="s">
        <v>1231</v>
      </c>
      <c r="S105">
        <v>4</v>
      </c>
      <c r="T105">
        <v>2</v>
      </c>
      <c r="U105">
        <v>0</v>
      </c>
      <c r="V105" s="25">
        <v>0</v>
      </c>
      <c r="W105" s="32">
        <v>0</v>
      </c>
    </row>
    <row r="106" spans="1:23" x14ac:dyDescent="0.2">
      <c r="A106" s="24"/>
      <c r="B106" s="24"/>
      <c r="C106" s="24"/>
      <c r="D106" s="24"/>
      <c r="E106" s="24"/>
      <c r="F106" s="24"/>
      <c r="G106" s="24">
        <v>6</v>
      </c>
      <c r="H106" s="24">
        <v>0</v>
      </c>
      <c r="I106" s="24">
        <v>2</v>
      </c>
      <c r="J106" s="24" t="s">
        <v>991</v>
      </c>
      <c r="K106" s="24" t="s">
        <v>280</v>
      </c>
      <c r="L106" s="24" t="s">
        <v>143</v>
      </c>
      <c r="M106" s="24" t="s">
        <v>161</v>
      </c>
      <c r="N106" s="70" t="s">
        <v>1231</v>
      </c>
      <c r="S106">
        <v>4</v>
      </c>
      <c r="T106">
        <v>2</v>
      </c>
      <c r="U106">
        <v>1</v>
      </c>
      <c r="V106" s="25">
        <v>0</v>
      </c>
      <c r="W106" s="32">
        <v>0</v>
      </c>
    </row>
    <row r="107" spans="1:23" x14ac:dyDescent="0.2">
      <c r="A107" s="24"/>
      <c r="B107" s="24"/>
      <c r="C107" s="24"/>
      <c r="D107" s="24"/>
      <c r="E107" s="24"/>
      <c r="F107" s="24"/>
      <c r="G107" s="24">
        <v>6</v>
      </c>
      <c r="H107" s="24">
        <v>0</v>
      </c>
      <c r="I107" s="24">
        <v>2</v>
      </c>
      <c r="J107" s="24" t="s">
        <v>992</v>
      </c>
      <c r="K107" s="24" t="s">
        <v>281</v>
      </c>
      <c r="L107" s="24" t="s">
        <v>143</v>
      </c>
      <c r="M107" s="24" t="s">
        <v>161</v>
      </c>
      <c r="N107" s="70" t="s">
        <v>1231</v>
      </c>
      <c r="S107">
        <v>4</v>
      </c>
      <c r="T107">
        <v>2</v>
      </c>
      <c r="U107">
        <v>2</v>
      </c>
      <c r="V107" s="25">
        <v>0</v>
      </c>
      <c r="W107" s="32">
        <v>0</v>
      </c>
    </row>
    <row r="108" spans="1:23" ht="15" x14ac:dyDescent="0.2">
      <c r="A108" s="68">
        <v>0</v>
      </c>
      <c r="B108" s="68">
        <v>1</v>
      </c>
      <c r="C108" s="68">
        <v>0</v>
      </c>
      <c r="D108" s="69">
        <v>535220062</v>
      </c>
      <c r="E108" s="69" t="s">
        <v>142</v>
      </c>
      <c r="F108" s="24" t="s">
        <v>154</v>
      </c>
      <c r="G108" s="24">
        <v>0</v>
      </c>
      <c r="H108" s="24">
        <v>1</v>
      </c>
      <c r="I108" s="24">
        <v>0</v>
      </c>
      <c r="J108" s="24" t="s">
        <v>993</v>
      </c>
      <c r="K108" s="24" t="s">
        <v>282</v>
      </c>
      <c r="L108" s="24" t="s">
        <v>142</v>
      </c>
      <c r="M108" s="24" t="s">
        <v>162</v>
      </c>
      <c r="N108" s="25">
        <v>0</v>
      </c>
      <c r="S108">
        <v>4</v>
      </c>
      <c r="T108">
        <v>2</v>
      </c>
      <c r="U108">
        <v>3</v>
      </c>
      <c r="V108" s="25">
        <v>0</v>
      </c>
      <c r="W108" s="32">
        <v>0</v>
      </c>
    </row>
    <row r="109" spans="1:23" ht="15" x14ac:dyDescent="0.2">
      <c r="A109" s="68">
        <v>0</v>
      </c>
      <c r="B109" s="68">
        <v>1</v>
      </c>
      <c r="C109" s="68">
        <v>0</v>
      </c>
      <c r="D109" s="69">
        <v>535220063</v>
      </c>
      <c r="E109" s="69" t="s">
        <v>142</v>
      </c>
      <c r="F109" s="24" t="s">
        <v>154</v>
      </c>
      <c r="G109" s="24">
        <v>0</v>
      </c>
      <c r="H109" s="24">
        <v>1</v>
      </c>
      <c r="I109" s="24">
        <v>0</v>
      </c>
      <c r="J109" s="24" t="s">
        <v>994</v>
      </c>
      <c r="K109" s="24" t="s">
        <v>283</v>
      </c>
      <c r="L109" s="24" t="s">
        <v>142</v>
      </c>
      <c r="M109" s="24" t="s">
        <v>162</v>
      </c>
      <c r="N109" s="25">
        <v>0</v>
      </c>
      <c r="S109">
        <v>4</v>
      </c>
      <c r="T109">
        <v>2</v>
      </c>
      <c r="U109">
        <v>4</v>
      </c>
      <c r="V109" s="25">
        <v>0</v>
      </c>
      <c r="W109" s="32">
        <v>0</v>
      </c>
    </row>
    <row r="110" spans="1:23" ht="15" x14ac:dyDescent="0.2">
      <c r="A110" s="68">
        <v>0</v>
      </c>
      <c r="B110" s="68">
        <v>1</v>
      </c>
      <c r="C110" s="68">
        <v>0</v>
      </c>
      <c r="D110" s="69">
        <v>535220071</v>
      </c>
      <c r="E110" s="69" t="s">
        <v>142</v>
      </c>
      <c r="F110" s="24" t="s">
        <v>154</v>
      </c>
      <c r="G110" s="24">
        <v>0</v>
      </c>
      <c r="H110" s="24">
        <v>1</v>
      </c>
      <c r="I110" s="24">
        <v>0</v>
      </c>
      <c r="J110" s="24" t="s">
        <v>995</v>
      </c>
      <c r="K110" s="24" t="s">
        <v>284</v>
      </c>
      <c r="L110" s="24" t="s">
        <v>143</v>
      </c>
      <c r="M110" s="24" t="s">
        <v>162</v>
      </c>
      <c r="N110" s="25">
        <v>0</v>
      </c>
      <c r="S110">
        <v>4</v>
      </c>
      <c r="T110">
        <v>2</v>
      </c>
      <c r="U110">
        <v>5</v>
      </c>
      <c r="V110" s="25">
        <v>0</v>
      </c>
      <c r="W110" s="32">
        <v>0</v>
      </c>
    </row>
    <row r="111" spans="1:23" ht="15" x14ac:dyDescent="0.2">
      <c r="A111" s="68">
        <v>0</v>
      </c>
      <c r="B111" s="68">
        <v>1</v>
      </c>
      <c r="C111" s="68">
        <v>0</v>
      </c>
      <c r="D111" s="69">
        <v>535220123</v>
      </c>
      <c r="E111" s="69" t="s">
        <v>142</v>
      </c>
      <c r="F111" s="24" t="s">
        <v>154</v>
      </c>
      <c r="G111" s="24">
        <v>0</v>
      </c>
      <c r="H111" s="24">
        <v>1</v>
      </c>
      <c r="I111" s="24">
        <v>0</v>
      </c>
      <c r="J111" s="24" t="s">
        <v>996</v>
      </c>
      <c r="K111" s="24" t="s">
        <v>285</v>
      </c>
      <c r="L111" s="24" t="s">
        <v>143</v>
      </c>
      <c r="M111" s="24" t="s">
        <v>162</v>
      </c>
      <c r="N111" s="25">
        <v>0</v>
      </c>
      <c r="S111">
        <v>4</v>
      </c>
      <c r="T111">
        <v>2</v>
      </c>
      <c r="U111">
        <v>6</v>
      </c>
      <c r="V111" s="25">
        <v>0</v>
      </c>
      <c r="W111" s="32">
        <v>0</v>
      </c>
    </row>
    <row r="112" spans="1:23" ht="15" x14ac:dyDescent="0.2">
      <c r="A112" s="68">
        <v>0</v>
      </c>
      <c r="B112" s="68">
        <v>1</v>
      </c>
      <c r="C112" s="68">
        <v>0</v>
      </c>
      <c r="D112" s="69">
        <v>535220126</v>
      </c>
      <c r="E112" s="69" t="s">
        <v>142</v>
      </c>
      <c r="F112" s="24" t="s">
        <v>154</v>
      </c>
      <c r="G112" s="24">
        <v>0</v>
      </c>
      <c r="H112" s="24">
        <v>1</v>
      </c>
      <c r="I112" s="24">
        <v>0</v>
      </c>
      <c r="J112" s="24" t="s">
        <v>997</v>
      </c>
      <c r="K112" s="24" t="s">
        <v>286</v>
      </c>
      <c r="L112" s="24" t="s">
        <v>143</v>
      </c>
      <c r="M112" s="24" t="s">
        <v>162</v>
      </c>
      <c r="N112" s="25">
        <v>0</v>
      </c>
      <c r="V112" s="24"/>
      <c r="W112" s="31"/>
    </row>
    <row r="113" spans="1:23" ht="15" x14ac:dyDescent="0.2">
      <c r="A113" s="68">
        <v>1</v>
      </c>
      <c r="B113" s="68">
        <v>1</v>
      </c>
      <c r="C113" s="68">
        <v>0</v>
      </c>
      <c r="D113" s="69">
        <v>535220129</v>
      </c>
      <c r="E113" s="69" t="s">
        <v>142</v>
      </c>
      <c r="F113" s="24" t="s">
        <v>154</v>
      </c>
      <c r="G113" s="24">
        <v>1</v>
      </c>
      <c r="H113" s="24">
        <v>1</v>
      </c>
      <c r="I113" s="24">
        <v>0</v>
      </c>
      <c r="J113" s="24" t="s">
        <v>1008</v>
      </c>
      <c r="K113" s="24" t="s">
        <v>297</v>
      </c>
      <c r="L113" s="24" t="s">
        <v>143</v>
      </c>
      <c r="M113" s="24" t="s">
        <v>162</v>
      </c>
      <c r="N113" s="25">
        <v>0</v>
      </c>
      <c r="S113">
        <v>5</v>
      </c>
      <c r="T113">
        <v>0</v>
      </c>
      <c r="U113">
        <v>0</v>
      </c>
      <c r="V113" s="25">
        <v>0</v>
      </c>
      <c r="W113" s="32">
        <v>5</v>
      </c>
    </row>
    <row r="114" spans="1:23" ht="15" x14ac:dyDescent="0.2">
      <c r="A114" s="68">
        <v>1</v>
      </c>
      <c r="B114" s="68">
        <v>1</v>
      </c>
      <c r="C114" s="68">
        <v>0</v>
      </c>
      <c r="D114" s="69">
        <v>535220131</v>
      </c>
      <c r="E114" s="69" t="s">
        <v>142</v>
      </c>
      <c r="F114" s="24" t="s">
        <v>154</v>
      </c>
      <c r="G114" s="24">
        <v>1</v>
      </c>
      <c r="H114" s="24">
        <v>1</v>
      </c>
      <c r="I114" s="24">
        <v>0</v>
      </c>
      <c r="J114" s="24" t="s">
        <v>1009</v>
      </c>
      <c r="K114" s="24" t="s">
        <v>298</v>
      </c>
      <c r="L114" s="24" t="s">
        <v>143</v>
      </c>
      <c r="M114" s="24" t="s">
        <v>162</v>
      </c>
      <c r="N114" s="25">
        <v>0</v>
      </c>
      <c r="S114">
        <v>5</v>
      </c>
      <c r="T114">
        <v>0</v>
      </c>
      <c r="U114">
        <v>1</v>
      </c>
      <c r="V114" s="25">
        <v>0</v>
      </c>
      <c r="W114" s="32">
        <v>5</v>
      </c>
    </row>
    <row r="115" spans="1:23" ht="15" x14ac:dyDescent="0.2">
      <c r="A115" s="68">
        <v>1</v>
      </c>
      <c r="B115" s="68">
        <v>1</v>
      </c>
      <c r="C115" s="68">
        <v>0</v>
      </c>
      <c r="D115" s="69">
        <v>535220186</v>
      </c>
      <c r="E115" s="69" t="s">
        <v>142</v>
      </c>
      <c r="F115" s="24" t="s">
        <v>154</v>
      </c>
      <c r="G115" s="24">
        <v>1</v>
      </c>
      <c r="H115" s="24">
        <v>1</v>
      </c>
      <c r="I115" s="24">
        <v>0</v>
      </c>
      <c r="J115" s="24" t="s">
        <v>1010</v>
      </c>
      <c r="K115" s="24" t="s">
        <v>299</v>
      </c>
      <c r="L115" s="24" t="s">
        <v>143</v>
      </c>
      <c r="M115" s="24" t="s">
        <v>162</v>
      </c>
      <c r="N115" s="25">
        <v>0</v>
      </c>
      <c r="S115">
        <v>5</v>
      </c>
      <c r="T115">
        <v>0</v>
      </c>
      <c r="U115">
        <v>2</v>
      </c>
      <c r="V115" s="25">
        <v>0</v>
      </c>
      <c r="W115" s="32">
        <v>5</v>
      </c>
    </row>
    <row r="116" spans="1:23" ht="15" x14ac:dyDescent="0.2">
      <c r="A116" s="68">
        <v>1</v>
      </c>
      <c r="B116" s="68">
        <v>1</v>
      </c>
      <c r="C116" s="68">
        <v>0</v>
      </c>
      <c r="D116" s="69">
        <v>535220187</v>
      </c>
      <c r="E116" s="69" t="s">
        <v>142</v>
      </c>
      <c r="F116" s="24" t="s">
        <v>154</v>
      </c>
      <c r="G116" s="24">
        <v>1</v>
      </c>
      <c r="H116" s="24">
        <v>1</v>
      </c>
      <c r="I116" s="24">
        <v>0</v>
      </c>
      <c r="J116" s="24" t="s">
        <v>1011</v>
      </c>
      <c r="K116" s="24" t="s">
        <v>300</v>
      </c>
      <c r="L116" s="24" t="s">
        <v>143</v>
      </c>
      <c r="M116" s="24" t="s">
        <v>162</v>
      </c>
      <c r="N116" s="25">
        <v>0</v>
      </c>
      <c r="S116">
        <v>5</v>
      </c>
      <c r="T116">
        <v>0</v>
      </c>
      <c r="U116">
        <v>3</v>
      </c>
      <c r="V116" s="25">
        <v>0</v>
      </c>
      <c r="W116" s="32">
        <v>1</v>
      </c>
    </row>
    <row r="117" spans="1:23" ht="15" x14ac:dyDescent="0.2">
      <c r="A117" s="68">
        <v>1</v>
      </c>
      <c r="B117" s="68">
        <v>1</v>
      </c>
      <c r="C117" s="68">
        <v>0</v>
      </c>
      <c r="D117" s="69">
        <v>535220198</v>
      </c>
      <c r="E117" s="69" t="s">
        <v>142</v>
      </c>
      <c r="F117" s="24" t="s">
        <v>154</v>
      </c>
      <c r="G117" s="24">
        <v>1</v>
      </c>
      <c r="H117" s="24">
        <v>1</v>
      </c>
      <c r="I117" s="24">
        <v>0</v>
      </c>
      <c r="J117" s="24" t="s">
        <v>1012</v>
      </c>
      <c r="K117" s="24" t="s">
        <v>301</v>
      </c>
      <c r="L117" s="24" t="s">
        <v>143</v>
      </c>
      <c r="M117" s="24" t="s">
        <v>162</v>
      </c>
      <c r="N117" s="25">
        <v>0</v>
      </c>
      <c r="S117">
        <v>5</v>
      </c>
      <c r="T117">
        <v>0</v>
      </c>
      <c r="U117">
        <v>4</v>
      </c>
      <c r="V117" s="25">
        <v>0</v>
      </c>
      <c r="W117" s="32">
        <v>0</v>
      </c>
    </row>
    <row r="118" spans="1:23" ht="15" x14ac:dyDescent="0.2">
      <c r="A118" s="68">
        <v>2</v>
      </c>
      <c r="B118" s="68">
        <v>1</v>
      </c>
      <c r="C118" s="68">
        <v>0</v>
      </c>
      <c r="D118" s="69">
        <v>535220204</v>
      </c>
      <c r="E118" s="69" t="s">
        <v>142</v>
      </c>
      <c r="F118" s="24" t="s">
        <v>154</v>
      </c>
      <c r="G118" s="24">
        <v>2</v>
      </c>
      <c r="H118" s="24">
        <v>1</v>
      </c>
      <c r="I118" s="24">
        <v>0</v>
      </c>
      <c r="J118" s="24" t="s">
        <v>1023</v>
      </c>
      <c r="K118" s="24" t="s">
        <v>312</v>
      </c>
      <c r="L118" s="24" t="s">
        <v>143</v>
      </c>
      <c r="M118" s="24" t="s">
        <v>162</v>
      </c>
      <c r="N118" s="25">
        <v>0</v>
      </c>
      <c r="S118">
        <v>5</v>
      </c>
      <c r="T118">
        <v>0</v>
      </c>
      <c r="U118">
        <v>5</v>
      </c>
      <c r="V118" s="25">
        <v>0</v>
      </c>
      <c r="W118" s="32">
        <v>0</v>
      </c>
    </row>
    <row r="119" spans="1:23" ht="15" x14ac:dyDescent="0.2">
      <c r="A119" s="68">
        <v>2</v>
      </c>
      <c r="B119" s="68">
        <v>1</v>
      </c>
      <c r="C119" s="68">
        <v>0</v>
      </c>
      <c r="D119" s="69">
        <v>535220006</v>
      </c>
      <c r="E119" s="69" t="s">
        <v>142</v>
      </c>
      <c r="F119" s="24" t="s">
        <v>156</v>
      </c>
      <c r="G119" s="24">
        <v>2</v>
      </c>
      <c r="H119" s="24">
        <v>1</v>
      </c>
      <c r="I119" s="24">
        <v>0</v>
      </c>
      <c r="J119" s="24" t="s">
        <v>1024</v>
      </c>
      <c r="K119" s="24" t="s">
        <v>313</v>
      </c>
      <c r="L119" s="24" t="s">
        <v>143</v>
      </c>
      <c r="M119" s="24" t="s">
        <v>162</v>
      </c>
      <c r="N119" s="25">
        <v>0</v>
      </c>
      <c r="S119">
        <v>5</v>
      </c>
      <c r="T119">
        <v>0</v>
      </c>
      <c r="U119">
        <v>6</v>
      </c>
      <c r="V119" s="25">
        <v>0</v>
      </c>
      <c r="W119" s="32">
        <v>0</v>
      </c>
    </row>
    <row r="120" spans="1:23" ht="15" x14ac:dyDescent="0.2">
      <c r="A120" s="68">
        <v>2</v>
      </c>
      <c r="B120" s="68">
        <v>1</v>
      </c>
      <c r="C120" s="68">
        <v>0</v>
      </c>
      <c r="D120" s="69">
        <v>535220007</v>
      </c>
      <c r="E120" s="69" t="s">
        <v>142</v>
      </c>
      <c r="F120" s="24" t="s">
        <v>156</v>
      </c>
      <c r="G120" s="24">
        <v>2</v>
      </c>
      <c r="H120" s="24">
        <v>1</v>
      </c>
      <c r="I120" s="24">
        <v>0</v>
      </c>
      <c r="J120" s="24" t="s">
        <v>1025</v>
      </c>
      <c r="K120" s="24" t="s">
        <v>314</v>
      </c>
      <c r="L120" s="24" t="s">
        <v>143</v>
      </c>
      <c r="M120" s="24" t="s">
        <v>162</v>
      </c>
      <c r="N120" s="25">
        <v>0</v>
      </c>
      <c r="S120">
        <v>5</v>
      </c>
      <c r="T120">
        <v>1</v>
      </c>
      <c r="U120">
        <v>0</v>
      </c>
      <c r="V120" s="25">
        <v>0</v>
      </c>
      <c r="W120" s="32">
        <v>5</v>
      </c>
    </row>
    <row r="121" spans="1:23" ht="15" x14ac:dyDescent="0.2">
      <c r="A121" s="68">
        <v>2</v>
      </c>
      <c r="B121" s="68">
        <v>1</v>
      </c>
      <c r="C121" s="68">
        <v>0</v>
      </c>
      <c r="D121" s="69">
        <v>535220012</v>
      </c>
      <c r="E121" s="69" t="s">
        <v>142</v>
      </c>
      <c r="F121" s="24" t="s">
        <v>156</v>
      </c>
      <c r="G121" s="24">
        <v>2</v>
      </c>
      <c r="H121" s="24">
        <v>1</v>
      </c>
      <c r="I121" s="24">
        <v>0</v>
      </c>
      <c r="J121" s="24" t="s">
        <v>1026</v>
      </c>
      <c r="K121" s="24" t="s">
        <v>315</v>
      </c>
      <c r="L121" s="24" t="s">
        <v>143</v>
      </c>
      <c r="M121" s="24" t="s">
        <v>162</v>
      </c>
      <c r="N121" s="25">
        <v>0</v>
      </c>
      <c r="S121">
        <v>5</v>
      </c>
      <c r="T121">
        <v>1</v>
      </c>
      <c r="U121">
        <v>1</v>
      </c>
      <c r="V121" s="25">
        <v>0</v>
      </c>
      <c r="W121" s="32">
        <v>5</v>
      </c>
    </row>
    <row r="122" spans="1:23" ht="15" x14ac:dyDescent="0.2">
      <c r="A122" s="68">
        <v>2</v>
      </c>
      <c r="B122" s="68">
        <v>1</v>
      </c>
      <c r="C122" s="68">
        <v>0</v>
      </c>
      <c r="D122" s="69">
        <v>535220055</v>
      </c>
      <c r="E122" s="69" t="s">
        <v>142</v>
      </c>
      <c r="F122" s="24" t="s">
        <v>156</v>
      </c>
      <c r="G122" s="24">
        <v>2</v>
      </c>
      <c r="H122" s="24">
        <v>1</v>
      </c>
      <c r="I122" s="24">
        <v>0</v>
      </c>
      <c r="J122" s="24" t="s">
        <v>1027</v>
      </c>
      <c r="K122" s="24" t="s">
        <v>316</v>
      </c>
      <c r="L122" s="24" t="s">
        <v>143</v>
      </c>
      <c r="M122" s="24" t="s">
        <v>162</v>
      </c>
      <c r="N122" s="25">
        <v>0</v>
      </c>
      <c r="S122">
        <v>5</v>
      </c>
      <c r="T122">
        <v>1</v>
      </c>
      <c r="U122">
        <v>2</v>
      </c>
      <c r="V122" s="25">
        <v>0</v>
      </c>
      <c r="W122" s="32">
        <v>1</v>
      </c>
    </row>
    <row r="123" spans="1:23" ht="15" x14ac:dyDescent="0.2">
      <c r="A123" s="68">
        <v>3</v>
      </c>
      <c r="B123" s="68">
        <v>1</v>
      </c>
      <c r="C123" s="68">
        <v>0</v>
      </c>
      <c r="D123" s="69">
        <v>535220065</v>
      </c>
      <c r="E123" s="69" t="s">
        <v>142</v>
      </c>
      <c r="F123" s="24" t="s">
        <v>167</v>
      </c>
      <c r="G123" s="24">
        <v>3</v>
      </c>
      <c r="H123" s="24">
        <v>1</v>
      </c>
      <c r="I123" s="24">
        <v>0</v>
      </c>
      <c r="J123" s="24" t="s">
        <v>1038</v>
      </c>
      <c r="K123" s="24" t="s">
        <v>327</v>
      </c>
      <c r="L123" s="24" t="s">
        <v>143</v>
      </c>
      <c r="M123" s="24" t="s">
        <v>162</v>
      </c>
      <c r="N123" s="25">
        <v>0</v>
      </c>
      <c r="S123">
        <v>5</v>
      </c>
      <c r="T123">
        <v>1</v>
      </c>
      <c r="U123">
        <v>3</v>
      </c>
      <c r="V123" s="25">
        <v>0</v>
      </c>
      <c r="W123" s="32">
        <v>0</v>
      </c>
    </row>
    <row r="124" spans="1:23" ht="15" x14ac:dyDescent="0.2">
      <c r="A124" s="68">
        <v>3</v>
      </c>
      <c r="B124" s="68">
        <v>1</v>
      </c>
      <c r="C124" s="68">
        <v>0</v>
      </c>
      <c r="D124" s="69">
        <v>535220066</v>
      </c>
      <c r="E124" s="69" t="s">
        <v>142</v>
      </c>
      <c r="F124" s="24" t="s">
        <v>167</v>
      </c>
      <c r="G124" s="24">
        <v>3</v>
      </c>
      <c r="H124" s="24">
        <v>1</v>
      </c>
      <c r="I124" s="24">
        <v>0</v>
      </c>
      <c r="J124" s="24" t="s">
        <v>1039</v>
      </c>
      <c r="K124" s="24" t="s">
        <v>328</v>
      </c>
      <c r="L124" s="24" t="s">
        <v>142</v>
      </c>
      <c r="M124" s="24" t="s">
        <v>164</v>
      </c>
      <c r="N124" s="25">
        <v>0</v>
      </c>
      <c r="S124">
        <v>5</v>
      </c>
      <c r="T124">
        <v>1</v>
      </c>
      <c r="U124">
        <v>4</v>
      </c>
      <c r="V124" s="25">
        <v>0</v>
      </c>
      <c r="W124" s="32">
        <v>0</v>
      </c>
    </row>
    <row r="125" spans="1:23" ht="15" x14ac:dyDescent="0.2">
      <c r="A125" s="68">
        <v>3</v>
      </c>
      <c r="B125" s="68">
        <v>1</v>
      </c>
      <c r="C125" s="68">
        <v>0</v>
      </c>
      <c r="D125" s="69">
        <v>535220067</v>
      </c>
      <c r="E125" s="69" t="s">
        <v>142</v>
      </c>
      <c r="F125" s="24" t="s">
        <v>167</v>
      </c>
      <c r="G125" s="24">
        <v>3</v>
      </c>
      <c r="H125" s="24">
        <v>1</v>
      </c>
      <c r="I125" s="24">
        <v>0</v>
      </c>
      <c r="J125" s="24" t="s">
        <v>1040</v>
      </c>
      <c r="K125" s="24" t="s">
        <v>329</v>
      </c>
      <c r="L125" s="24" t="s">
        <v>142</v>
      </c>
      <c r="M125" s="24" t="s">
        <v>164</v>
      </c>
      <c r="N125" s="25">
        <v>0</v>
      </c>
      <c r="S125">
        <v>5</v>
      </c>
      <c r="T125">
        <v>1</v>
      </c>
      <c r="U125">
        <v>5</v>
      </c>
      <c r="V125" s="25">
        <v>0</v>
      </c>
      <c r="W125" s="32">
        <v>0</v>
      </c>
    </row>
    <row r="126" spans="1:23" ht="15" x14ac:dyDescent="0.2">
      <c r="A126" s="68">
        <v>3</v>
      </c>
      <c r="B126" s="68">
        <v>1</v>
      </c>
      <c r="C126" s="68">
        <v>0</v>
      </c>
      <c r="D126" s="69">
        <v>535220134</v>
      </c>
      <c r="E126" s="69" t="s">
        <v>142</v>
      </c>
      <c r="F126" s="24" t="s">
        <v>167</v>
      </c>
      <c r="G126" s="24">
        <v>3</v>
      </c>
      <c r="H126" s="24">
        <v>1</v>
      </c>
      <c r="I126" s="24">
        <v>0</v>
      </c>
      <c r="J126" s="24" t="s">
        <v>1041</v>
      </c>
      <c r="K126" s="24" t="s">
        <v>330</v>
      </c>
      <c r="L126" s="24" t="s">
        <v>142</v>
      </c>
      <c r="M126" s="24" t="s">
        <v>164</v>
      </c>
      <c r="N126" s="25">
        <v>0</v>
      </c>
      <c r="S126">
        <v>5</v>
      </c>
      <c r="T126">
        <v>1</v>
      </c>
      <c r="U126">
        <v>6</v>
      </c>
      <c r="V126" s="25">
        <v>0</v>
      </c>
      <c r="W126" s="32">
        <v>0</v>
      </c>
    </row>
    <row r="127" spans="1:23" ht="15" x14ac:dyDescent="0.2">
      <c r="A127" s="68">
        <v>3</v>
      </c>
      <c r="B127" s="68">
        <v>1</v>
      </c>
      <c r="C127" s="68">
        <v>0</v>
      </c>
      <c r="D127" s="69">
        <v>535220135</v>
      </c>
      <c r="E127" s="69" t="s">
        <v>142</v>
      </c>
      <c r="F127" s="24" t="s">
        <v>167</v>
      </c>
      <c r="G127" s="24">
        <v>3</v>
      </c>
      <c r="H127" s="24">
        <v>1</v>
      </c>
      <c r="I127" s="24">
        <v>0</v>
      </c>
      <c r="J127" s="24" t="s">
        <v>1042</v>
      </c>
      <c r="K127" s="24" t="s">
        <v>331</v>
      </c>
      <c r="L127" s="24" t="s">
        <v>142</v>
      </c>
      <c r="M127" s="24" t="s">
        <v>164</v>
      </c>
      <c r="N127" s="25">
        <v>0</v>
      </c>
      <c r="S127">
        <v>5</v>
      </c>
      <c r="T127">
        <v>2</v>
      </c>
      <c r="U127">
        <v>0</v>
      </c>
      <c r="V127" s="25">
        <v>0</v>
      </c>
      <c r="W127" s="32">
        <v>0</v>
      </c>
    </row>
    <row r="128" spans="1:23" ht="15" x14ac:dyDescent="0.2">
      <c r="A128" s="68">
        <v>4</v>
      </c>
      <c r="B128" s="68">
        <v>1</v>
      </c>
      <c r="C128" s="68">
        <v>0</v>
      </c>
      <c r="D128" s="69">
        <v>535220115</v>
      </c>
      <c r="E128" s="69" t="s">
        <v>143</v>
      </c>
      <c r="F128" s="24" t="s">
        <v>159</v>
      </c>
      <c r="G128" s="24">
        <v>4</v>
      </c>
      <c r="H128" s="24">
        <v>1</v>
      </c>
      <c r="I128" s="24">
        <v>0</v>
      </c>
      <c r="J128" s="24" t="s">
        <v>1053</v>
      </c>
      <c r="K128" s="24" t="s">
        <v>342</v>
      </c>
      <c r="L128" s="24" t="s">
        <v>143</v>
      </c>
      <c r="M128" s="24" t="s">
        <v>159</v>
      </c>
      <c r="N128" s="25">
        <v>1</v>
      </c>
      <c r="S128">
        <v>5</v>
      </c>
      <c r="T128">
        <v>2</v>
      </c>
      <c r="U128">
        <v>1</v>
      </c>
      <c r="V128" s="25">
        <v>0</v>
      </c>
      <c r="W128" s="32">
        <v>0</v>
      </c>
    </row>
    <row r="129" spans="1:23" ht="15" x14ac:dyDescent="0.2">
      <c r="A129" s="68">
        <v>4</v>
      </c>
      <c r="B129" s="68">
        <v>1</v>
      </c>
      <c r="C129" s="68">
        <v>0</v>
      </c>
      <c r="D129" s="69">
        <v>535220116</v>
      </c>
      <c r="E129" s="69" t="s">
        <v>143</v>
      </c>
      <c r="F129" s="24" t="s">
        <v>159</v>
      </c>
      <c r="G129" s="24">
        <v>4</v>
      </c>
      <c r="H129" s="24">
        <v>1</v>
      </c>
      <c r="I129" s="24">
        <v>0</v>
      </c>
      <c r="J129" s="24" t="s">
        <v>1054</v>
      </c>
      <c r="K129" s="24" t="s">
        <v>343</v>
      </c>
      <c r="L129" s="24" t="s">
        <v>143</v>
      </c>
      <c r="M129" s="24" t="s">
        <v>159</v>
      </c>
      <c r="N129" s="25">
        <v>1</v>
      </c>
      <c r="S129">
        <v>5</v>
      </c>
      <c r="T129">
        <v>2</v>
      </c>
      <c r="U129">
        <v>2</v>
      </c>
      <c r="V129" s="25">
        <v>0</v>
      </c>
      <c r="W129" s="32">
        <v>0</v>
      </c>
    </row>
    <row r="130" spans="1:23" ht="15" x14ac:dyDescent="0.2">
      <c r="A130" s="68">
        <v>4</v>
      </c>
      <c r="B130" s="68">
        <v>1</v>
      </c>
      <c r="C130" s="68">
        <v>0</v>
      </c>
      <c r="D130" s="69">
        <v>535220118</v>
      </c>
      <c r="E130" s="69" t="s">
        <v>143</v>
      </c>
      <c r="F130" s="24" t="s">
        <v>159</v>
      </c>
      <c r="G130" s="24">
        <v>4</v>
      </c>
      <c r="H130" s="24">
        <v>1</v>
      </c>
      <c r="I130" s="24">
        <v>0</v>
      </c>
      <c r="J130" s="24" t="s">
        <v>1055</v>
      </c>
      <c r="K130" s="24" t="s">
        <v>344</v>
      </c>
      <c r="L130" s="24" t="s">
        <v>142</v>
      </c>
      <c r="M130" s="24" t="s">
        <v>165</v>
      </c>
      <c r="N130" s="25">
        <v>0</v>
      </c>
      <c r="S130">
        <v>5</v>
      </c>
      <c r="T130">
        <v>2</v>
      </c>
      <c r="U130">
        <v>3</v>
      </c>
      <c r="V130" s="25">
        <v>0</v>
      </c>
      <c r="W130" s="32">
        <v>0</v>
      </c>
    </row>
    <row r="131" spans="1:23" ht="15" x14ac:dyDescent="0.2">
      <c r="A131" s="68">
        <v>4</v>
      </c>
      <c r="B131" s="68">
        <v>1</v>
      </c>
      <c r="C131" s="68">
        <v>0</v>
      </c>
      <c r="D131" s="68">
        <v>535220124</v>
      </c>
      <c r="E131" s="69" t="s">
        <v>143</v>
      </c>
      <c r="F131" s="24" t="s">
        <v>159</v>
      </c>
      <c r="G131" s="24">
        <v>4</v>
      </c>
      <c r="H131" s="24">
        <v>1</v>
      </c>
      <c r="I131" s="24">
        <v>0</v>
      </c>
      <c r="J131" s="24" t="s">
        <v>1056</v>
      </c>
      <c r="K131" s="24" t="s">
        <v>345</v>
      </c>
      <c r="L131" s="24" t="s">
        <v>143</v>
      </c>
      <c r="M131" s="24" t="s">
        <v>165</v>
      </c>
      <c r="N131" s="25">
        <v>0</v>
      </c>
      <c r="S131">
        <v>5</v>
      </c>
      <c r="T131">
        <v>2</v>
      </c>
      <c r="U131">
        <v>4</v>
      </c>
      <c r="V131" s="25">
        <v>0</v>
      </c>
      <c r="W131" s="32">
        <v>0</v>
      </c>
    </row>
    <row r="132" spans="1:23" ht="15" x14ac:dyDescent="0.2">
      <c r="A132" s="68">
        <v>4</v>
      </c>
      <c r="B132" s="68">
        <v>1</v>
      </c>
      <c r="C132" s="68">
        <v>0</v>
      </c>
      <c r="D132" s="69">
        <v>535220125</v>
      </c>
      <c r="E132" s="69" t="s">
        <v>143</v>
      </c>
      <c r="F132" s="24" t="s">
        <v>159</v>
      </c>
      <c r="G132" s="24">
        <v>4</v>
      </c>
      <c r="H132" s="24">
        <v>1</v>
      </c>
      <c r="I132" s="24">
        <v>0</v>
      </c>
      <c r="J132" s="24" t="s">
        <v>1057</v>
      </c>
      <c r="K132" s="24" t="s">
        <v>346</v>
      </c>
      <c r="L132" s="24" t="s">
        <v>143</v>
      </c>
      <c r="M132" s="24" t="s">
        <v>165</v>
      </c>
      <c r="N132" s="25">
        <v>0</v>
      </c>
      <c r="S132">
        <v>5</v>
      </c>
      <c r="T132">
        <v>2</v>
      </c>
      <c r="U132">
        <v>5</v>
      </c>
      <c r="V132" s="25">
        <v>0</v>
      </c>
      <c r="W132" s="32">
        <v>0</v>
      </c>
    </row>
    <row r="133" spans="1:23" ht="15" x14ac:dyDescent="0.2">
      <c r="A133" s="68">
        <v>5</v>
      </c>
      <c r="B133" s="68">
        <v>1</v>
      </c>
      <c r="C133" s="68">
        <v>0</v>
      </c>
      <c r="D133" s="69">
        <v>535220244</v>
      </c>
      <c r="E133" s="69" t="s">
        <v>143</v>
      </c>
      <c r="F133" s="24" t="s">
        <v>159</v>
      </c>
      <c r="G133" s="24">
        <v>5</v>
      </c>
      <c r="H133" s="24">
        <v>1</v>
      </c>
      <c r="I133" s="24">
        <v>0</v>
      </c>
      <c r="J133" s="24" t="s">
        <v>1068</v>
      </c>
      <c r="K133" s="24" t="s">
        <v>357</v>
      </c>
      <c r="L133" s="24" t="s">
        <v>143</v>
      </c>
      <c r="M133" s="24" t="s">
        <v>165</v>
      </c>
      <c r="N133" s="25">
        <v>0</v>
      </c>
      <c r="S133">
        <v>5</v>
      </c>
      <c r="T133">
        <v>2</v>
      </c>
      <c r="U133">
        <v>6</v>
      </c>
      <c r="V133" s="25">
        <v>0</v>
      </c>
      <c r="W133" s="32">
        <v>0</v>
      </c>
    </row>
    <row r="134" spans="1:23" ht="15" x14ac:dyDescent="0.2">
      <c r="A134" s="68">
        <v>5</v>
      </c>
      <c r="B134" s="68">
        <v>1</v>
      </c>
      <c r="C134" s="68">
        <v>0</v>
      </c>
      <c r="D134" s="69">
        <v>535220267</v>
      </c>
      <c r="E134" s="69" t="s">
        <v>143</v>
      </c>
      <c r="F134" s="24" t="s">
        <v>159</v>
      </c>
      <c r="G134" s="24">
        <v>5</v>
      </c>
      <c r="H134" s="24">
        <v>1</v>
      </c>
      <c r="I134" s="24">
        <v>0</v>
      </c>
      <c r="J134" s="24" t="s">
        <v>1069</v>
      </c>
      <c r="K134" s="24" t="s">
        <v>358</v>
      </c>
      <c r="L134" s="24" t="s">
        <v>143</v>
      </c>
      <c r="M134" s="24" t="s">
        <v>165</v>
      </c>
      <c r="N134" s="25">
        <v>0</v>
      </c>
      <c r="V134" s="24"/>
      <c r="W134" s="31"/>
    </row>
    <row r="135" spans="1:23" ht="15" x14ac:dyDescent="0.2">
      <c r="A135" s="68">
        <v>5</v>
      </c>
      <c r="B135" s="68">
        <v>1</v>
      </c>
      <c r="C135" s="68">
        <v>0</v>
      </c>
      <c r="D135" s="69">
        <v>825220145</v>
      </c>
      <c r="E135" s="69" t="s">
        <v>143</v>
      </c>
      <c r="F135" s="24" t="s">
        <v>161</v>
      </c>
      <c r="G135" s="24">
        <v>5</v>
      </c>
      <c r="H135" s="24">
        <v>1</v>
      </c>
      <c r="I135" s="24">
        <v>0</v>
      </c>
      <c r="J135" s="24" t="s">
        <v>1070</v>
      </c>
      <c r="K135" s="24" t="s">
        <v>359</v>
      </c>
      <c r="L135" s="24" t="s">
        <v>145</v>
      </c>
      <c r="M135" s="24" t="s">
        <v>165</v>
      </c>
      <c r="N135" s="25">
        <v>0</v>
      </c>
      <c r="S135">
        <v>6</v>
      </c>
      <c r="T135">
        <v>0</v>
      </c>
      <c r="U135">
        <v>0</v>
      </c>
      <c r="V135" s="25">
        <v>5</v>
      </c>
      <c r="W135" s="32">
        <v>5</v>
      </c>
    </row>
    <row r="136" spans="1:23" ht="15" x14ac:dyDescent="0.2">
      <c r="A136" s="68">
        <v>5</v>
      </c>
      <c r="B136" s="68">
        <v>1</v>
      </c>
      <c r="C136" s="68">
        <v>0</v>
      </c>
      <c r="D136" s="69">
        <v>825220148</v>
      </c>
      <c r="E136" s="69" t="s">
        <v>143</v>
      </c>
      <c r="F136" s="24" t="s">
        <v>161</v>
      </c>
      <c r="G136" s="24">
        <v>5</v>
      </c>
      <c r="H136" s="24">
        <v>1</v>
      </c>
      <c r="I136" s="24">
        <v>0</v>
      </c>
      <c r="J136" s="24" t="s">
        <v>1071</v>
      </c>
      <c r="K136" s="24" t="s">
        <v>360</v>
      </c>
      <c r="L136" s="24" t="s">
        <v>145</v>
      </c>
      <c r="M136" s="24" t="s">
        <v>165</v>
      </c>
      <c r="N136" s="25">
        <v>0</v>
      </c>
      <c r="S136">
        <v>6</v>
      </c>
      <c r="T136">
        <v>0</v>
      </c>
      <c r="U136">
        <v>1</v>
      </c>
      <c r="V136" s="25">
        <v>5</v>
      </c>
      <c r="W136" s="32">
        <v>5</v>
      </c>
    </row>
    <row r="137" spans="1:23" ht="15" x14ac:dyDescent="0.2">
      <c r="A137" s="68">
        <v>5</v>
      </c>
      <c r="B137" s="68">
        <v>1</v>
      </c>
      <c r="C137" s="68">
        <v>0</v>
      </c>
      <c r="D137" s="69">
        <v>825220150</v>
      </c>
      <c r="E137" s="69" t="s">
        <v>143</v>
      </c>
      <c r="F137" s="24" t="s">
        <v>161</v>
      </c>
      <c r="G137" s="24">
        <v>5</v>
      </c>
      <c r="H137" s="24">
        <v>1</v>
      </c>
      <c r="I137" s="24">
        <v>0</v>
      </c>
      <c r="J137" s="24" t="s">
        <v>1072</v>
      </c>
      <c r="K137" s="24" t="s">
        <v>361</v>
      </c>
      <c r="L137" s="24" t="s">
        <v>145</v>
      </c>
      <c r="M137" s="24" t="s">
        <v>165</v>
      </c>
      <c r="N137" s="25">
        <v>0</v>
      </c>
      <c r="S137">
        <v>6</v>
      </c>
      <c r="T137">
        <v>0</v>
      </c>
      <c r="U137">
        <v>2</v>
      </c>
      <c r="V137" s="25">
        <v>5</v>
      </c>
      <c r="W137" s="32">
        <v>5</v>
      </c>
    </row>
    <row r="138" spans="1:23" ht="15" x14ac:dyDescent="0.2">
      <c r="A138" s="68">
        <v>6</v>
      </c>
      <c r="B138" s="68">
        <v>1</v>
      </c>
      <c r="C138" s="68">
        <v>0</v>
      </c>
      <c r="D138" s="69">
        <v>825220181</v>
      </c>
      <c r="E138" s="69" t="s">
        <v>143</v>
      </c>
      <c r="F138" s="24" t="s">
        <v>161</v>
      </c>
      <c r="G138" s="24">
        <v>6</v>
      </c>
      <c r="H138" s="24">
        <v>1</v>
      </c>
      <c r="I138" s="24">
        <v>0</v>
      </c>
      <c r="J138" s="24" t="s">
        <v>1083</v>
      </c>
      <c r="K138" s="24" t="s">
        <v>372</v>
      </c>
      <c r="L138" s="24" t="s">
        <v>145</v>
      </c>
      <c r="M138" s="24" t="s">
        <v>165</v>
      </c>
      <c r="N138" s="25">
        <v>0</v>
      </c>
      <c r="S138">
        <v>6</v>
      </c>
      <c r="T138">
        <v>0</v>
      </c>
      <c r="U138">
        <v>3</v>
      </c>
      <c r="V138" s="25">
        <v>5</v>
      </c>
      <c r="W138" s="32">
        <v>2</v>
      </c>
    </row>
    <row r="139" spans="1:23" ht="15" x14ac:dyDescent="0.2">
      <c r="A139" s="68">
        <v>6</v>
      </c>
      <c r="B139" s="68">
        <v>1</v>
      </c>
      <c r="C139" s="68">
        <v>0</v>
      </c>
      <c r="D139" s="69">
        <v>825239201</v>
      </c>
      <c r="E139" s="69" t="s">
        <v>143</v>
      </c>
      <c r="F139" s="24" t="s">
        <v>161</v>
      </c>
      <c r="G139" s="24">
        <v>6</v>
      </c>
      <c r="H139" s="24">
        <v>1</v>
      </c>
      <c r="I139" s="24">
        <v>0</v>
      </c>
      <c r="J139" s="24" t="s">
        <v>1084</v>
      </c>
      <c r="K139" s="24" t="s">
        <v>373</v>
      </c>
      <c r="L139" s="24" t="s">
        <v>145</v>
      </c>
      <c r="M139" s="24" t="s">
        <v>165</v>
      </c>
      <c r="N139" s="25">
        <v>0</v>
      </c>
      <c r="S139">
        <v>6</v>
      </c>
      <c r="T139">
        <v>0</v>
      </c>
      <c r="U139">
        <v>4</v>
      </c>
      <c r="V139" s="25">
        <v>0</v>
      </c>
      <c r="W139" s="32">
        <v>0</v>
      </c>
    </row>
    <row r="140" spans="1:23" ht="15" x14ac:dyDescent="0.2">
      <c r="A140" s="68">
        <v>6</v>
      </c>
      <c r="B140" s="68">
        <v>1</v>
      </c>
      <c r="C140" s="68">
        <v>0</v>
      </c>
      <c r="D140" s="69">
        <v>535220037</v>
      </c>
      <c r="E140" s="69" t="s">
        <v>142</v>
      </c>
      <c r="F140" s="24" t="s">
        <v>167</v>
      </c>
      <c r="G140" s="24">
        <v>6</v>
      </c>
      <c r="H140" s="24">
        <v>1</v>
      </c>
      <c r="I140" s="24">
        <v>0</v>
      </c>
      <c r="J140" s="24" t="s">
        <v>1085</v>
      </c>
      <c r="K140" s="24" t="s">
        <v>374</v>
      </c>
      <c r="L140" s="24" t="s">
        <v>145</v>
      </c>
      <c r="M140" s="24" t="s">
        <v>165</v>
      </c>
      <c r="N140" s="25">
        <v>0</v>
      </c>
      <c r="S140">
        <v>6</v>
      </c>
      <c r="T140">
        <v>0</v>
      </c>
      <c r="U140">
        <v>5</v>
      </c>
      <c r="V140" s="25">
        <v>0</v>
      </c>
      <c r="W140" s="32">
        <v>0</v>
      </c>
    </row>
    <row r="141" spans="1:23" ht="15" x14ac:dyDescent="0.2">
      <c r="A141" s="68">
        <v>6</v>
      </c>
      <c r="B141" s="68">
        <v>1</v>
      </c>
      <c r="C141" s="68">
        <v>0</v>
      </c>
      <c r="D141" s="69">
        <v>535220040</v>
      </c>
      <c r="E141" s="69" t="s">
        <v>142</v>
      </c>
      <c r="F141" s="24" t="s">
        <v>167</v>
      </c>
      <c r="G141" s="24">
        <v>6</v>
      </c>
      <c r="H141" s="24">
        <v>1</v>
      </c>
      <c r="I141" s="24">
        <v>0</v>
      </c>
      <c r="J141" s="24" t="s">
        <v>1086</v>
      </c>
      <c r="K141" s="24" t="s">
        <v>375</v>
      </c>
      <c r="L141" s="24" t="s">
        <v>145</v>
      </c>
      <c r="M141" s="24" t="s">
        <v>165</v>
      </c>
      <c r="N141" s="25">
        <v>0</v>
      </c>
      <c r="S141">
        <v>6</v>
      </c>
      <c r="T141">
        <v>0</v>
      </c>
      <c r="U141">
        <v>6</v>
      </c>
      <c r="V141" s="25">
        <v>0</v>
      </c>
      <c r="W141" s="32">
        <v>0</v>
      </c>
    </row>
    <row r="142" spans="1:23" ht="15" x14ac:dyDescent="0.2">
      <c r="A142" s="68">
        <v>6</v>
      </c>
      <c r="B142" s="68">
        <v>1</v>
      </c>
      <c r="C142" s="68">
        <v>0</v>
      </c>
      <c r="D142" s="69">
        <v>535220064</v>
      </c>
      <c r="E142" s="69" t="s">
        <v>142</v>
      </c>
      <c r="F142" s="24" t="s">
        <v>167</v>
      </c>
      <c r="G142" s="24">
        <v>6</v>
      </c>
      <c r="H142" s="24">
        <v>1</v>
      </c>
      <c r="I142" s="24">
        <v>0</v>
      </c>
      <c r="J142" s="24" t="s">
        <v>1087</v>
      </c>
      <c r="K142" s="24" t="s">
        <v>376</v>
      </c>
      <c r="L142" s="24" t="s">
        <v>145</v>
      </c>
      <c r="M142" s="24" t="s">
        <v>165</v>
      </c>
      <c r="N142" s="25">
        <v>0</v>
      </c>
      <c r="S142">
        <v>6</v>
      </c>
      <c r="T142">
        <v>1</v>
      </c>
      <c r="U142">
        <v>0</v>
      </c>
      <c r="V142" s="25">
        <v>5</v>
      </c>
      <c r="W142" s="32">
        <v>5</v>
      </c>
    </row>
    <row r="143" spans="1:23" ht="15" x14ac:dyDescent="0.2">
      <c r="A143" s="68">
        <v>0</v>
      </c>
      <c r="B143" s="68">
        <v>1</v>
      </c>
      <c r="C143" s="68">
        <v>1</v>
      </c>
      <c r="D143" s="69">
        <v>535220096</v>
      </c>
      <c r="E143" s="69" t="s">
        <v>142</v>
      </c>
      <c r="F143" s="24" t="s">
        <v>168</v>
      </c>
      <c r="G143" s="24">
        <v>0</v>
      </c>
      <c r="H143" s="24">
        <v>1</v>
      </c>
      <c r="I143" s="24">
        <v>1</v>
      </c>
      <c r="J143" s="24" t="s">
        <v>998</v>
      </c>
      <c r="K143" s="24" t="s">
        <v>287</v>
      </c>
      <c r="L143" s="24" t="s">
        <v>142</v>
      </c>
      <c r="M143" s="24" t="s">
        <v>163</v>
      </c>
      <c r="N143" s="25">
        <v>0</v>
      </c>
      <c r="S143">
        <v>6</v>
      </c>
      <c r="T143">
        <v>1</v>
      </c>
      <c r="U143">
        <v>1</v>
      </c>
      <c r="V143" s="25">
        <v>5</v>
      </c>
      <c r="W143" s="32">
        <v>5</v>
      </c>
    </row>
    <row r="144" spans="1:23" ht="15" x14ac:dyDescent="0.2">
      <c r="A144" s="68">
        <v>0</v>
      </c>
      <c r="B144" s="68">
        <v>1</v>
      </c>
      <c r="C144" s="68">
        <v>1</v>
      </c>
      <c r="D144" s="69">
        <v>535220101</v>
      </c>
      <c r="E144" s="69" t="s">
        <v>142</v>
      </c>
      <c r="F144" s="24" t="s">
        <v>168</v>
      </c>
      <c r="G144" s="24">
        <v>0</v>
      </c>
      <c r="H144" s="24">
        <v>1</v>
      </c>
      <c r="I144" s="24">
        <v>1</v>
      </c>
      <c r="J144" s="24" t="s">
        <v>999</v>
      </c>
      <c r="K144" s="24" t="s">
        <v>288</v>
      </c>
      <c r="L144" s="24" t="s">
        <v>142</v>
      </c>
      <c r="M144" s="24" t="s">
        <v>163</v>
      </c>
      <c r="N144" s="25">
        <v>0</v>
      </c>
      <c r="S144">
        <v>6</v>
      </c>
      <c r="T144">
        <v>1</v>
      </c>
      <c r="U144">
        <v>2</v>
      </c>
      <c r="V144" s="25">
        <v>5</v>
      </c>
      <c r="W144" s="32">
        <v>5</v>
      </c>
    </row>
    <row r="145" spans="1:23" ht="15" x14ac:dyDescent="0.2">
      <c r="A145" s="68">
        <v>0</v>
      </c>
      <c r="B145" s="68">
        <v>1</v>
      </c>
      <c r="C145" s="68">
        <v>1</v>
      </c>
      <c r="D145" s="69">
        <v>535220103</v>
      </c>
      <c r="E145" s="69" t="s">
        <v>142</v>
      </c>
      <c r="F145" s="24" t="s">
        <v>168</v>
      </c>
      <c r="G145" s="24">
        <v>0</v>
      </c>
      <c r="H145" s="24">
        <v>1</v>
      </c>
      <c r="I145" s="24">
        <v>1</v>
      </c>
      <c r="J145" s="24" t="s">
        <v>1000</v>
      </c>
      <c r="K145" s="24" t="s">
        <v>289</v>
      </c>
      <c r="L145" s="24" t="s">
        <v>142</v>
      </c>
      <c r="M145" s="24" t="s">
        <v>163</v>
      </c>
      <c r="N145" s="25">
        <v>0</v>
      </c>
      <c r="S145">
        <v>6</v>
      </c>
      <c r="T145">
        <v>1</v>
      </c>
      <c r="U145">
        <v>3</v>
      </c>
      <c r="V145" s="25">
        <v>5</v>
      </c>
      <c r="W145" s="32">
        <v>0</v>
      </c>
    </row>
    <row r="146" spans="1:23" ht="15" x14ac:dyDescent="0.2">
      <c r="A146" s="68">
        <v>0</v>
      </c>
      <c r="B146" s="68">
        <v>1</v>
      </c>
      <c r="C146" s="68">
        <v>1</v>
      </c>
      <c r="D146" s="69">
        <v>535220082</v>
      </c>
      <c r="E146" s="69" t="s">
        <v>142</v>
      </c>
      <c r="F146" s="24" t="s">
        <v>164</v>
      </c>
      <c r="G146" s="24">
        <v>0</v>
      </c>
      <c r="H146" s="24">
        <v>1</v>
      </c>
      <c r="I146" s="24">
        <v>1</v>
      </c>
      <c r="J146" s="24" t="s">
        <v>1001</v>
      </c>
      <c r="K146" s="24" t="s">
        <v>290</v>
      </c>
      <c r="L146" s="24" t="s">
        <v>142</v>
      </c>
      <c r="M146" s="24" t="s">
        <v>163</v>
      </c>
      <c r="N146" s="25">
        <v>0</v>
      </c>
      <c r="S146">
        <v>6</v>
      </c>
      <c r="T146">
        <v>1</v>
      </c>
      <c r="U146">
        <v>4</v>
      </c>
      <c r="V146" s="25">
        <v>0</v>
      </c>
      <c r="W146" s="32">
        <v>0</v>
      </c>
    </row>
    <row r="147" spans="1:23" ht="15" x14ac:dyDescent="0.2">
      <c r="A147" s="68">
        <v>0</v>
      </c>
      <c r="B147" s="68">
        <v>1</v>
      </c>
      <c r="C147" s="68">
        <v>1</v>
      </c>
      <c r="D147" s="69">
        <v>535220133</v>
      </c>
      <c r="E147" s="69" t="s">
        <v>142</v>
      </c>
      <c r="F147" s="24" t="s">
        <v>164</v>
      </c>
      <c r="G147" s="24">
        <v>0</v>
      </c>
      <c r="H147" s="24">
        <v>1</v>
      </c>
      <c r="I147" s="24">
        <v>1</v>
      </c>
      <c r="J147" s="24" t="s">
        <v>1002</v>
      </c>
      <c r="K147" s="24" t="s">
        <v>291</v>
      </c>
      <c r="L147" s="24" t="s">
        <v>142</v>
      </c>
      <c r="M147" s="24" t="s">
        <v>163</v>
      </c>
      <c r="N147" s="25">
        <v>0</v>
      </c>
      <c r="S147">
        <v>6</v>
      </c>
      <c r="T147">
        <v>1</v>
      </c>
      <c r="U147">
        <v>5</v>
      </c>
      <c r="V147" s="25">
        <v>0</v>
      </c>
      <c r="W147" s="32">
        <v>0</v>
      </c>
    </row>
    <row r="148" spans="1:23" ht="15" x14ac:dyDescent="0.2">
      <c r="A148" s="68">
        <v>1</v>
      </c>
      <c r="B148" s="68">
        <v>1</v>
      </c>
      <c r="C148" s="68">
        <v>1</v>
      </c>
      <c r="D148" s="69">
        <v>535220149</v>
      </c>
      <c r="E148" s="69" t="s">
        <v>142</v>
      </c>
      <c r="F148" s="24" t="s">
        <v>164</v>
      </c>
      <c r="G148" s="24">
        <v>1</v>
      </c>
      <c r="H148" s="24">
        <v>1</v>
      </c>
      <c r="I148" s="24">
        <v>1</v>
      </c>
      <c r="J148" s="24" t="s">
        <v>1013</v>
      </c>
      <c r="K148" s="24" t="s">
        <v>302</v>
      </c>
      <c r="L148" s="24" t="s">
        <v>142</v>
      </c>
      <c r="M148" s="24" t="s">
        <v>163</v>
      </c>
      <c r="N148" s="25">
        <v>0</v>
      </c>
      <c r="S148">
        <v>6</v>
      </c>
      <c r="T148">
        <v>1</v>
      </c>
      <c r="U148">
        <v>6</v>
      </c>
      <c r="V148" s="25">
        <v>0</v>
      </c>
      <c r="W148" s="32">
        <v>0</v>
      </c>
    </row>
    <row r="149" spans="1:23" ht="15" x14ac:dyDescent="0.2">
      <c r="A149" s="68">
        <v>1</v>
      </c>
      <c r="B149" s="68">
        <v>1</v>
      </c>
      <c r="C149" s="68">
        <v>1</v>
      </c>
      <c r="D149" s="69">
        <v>535220058</v>
      </c>
      <c r="E149" s="69" t="s">
        <v>142</v>
      </c>
      <c r="F149" s="24" t="s">
        <v>169</v>
      </c>
      <c r="G149" s="24">
        <v>1</v>
      </c>
      <c r="H149" s="24">
        <v>1</v>
      </c>
      <c r="I149" s="24">
        <v>1</v>
      </c>
      <c r="J149" s="24" t="s">
        <v>1014</v>
      </c>
      <c r="K149" s="24" t="s">
        <v>303</v>
      </c>
      <c r="L149" s="24" t="s">
        <v>142</v>
      </c>
      <c r="M149" s="24" t="s">
        <v>163</v>
      </c>
      <c r="N149" s="25">
        <v>0</v>
      </c>
      <c r="S149">
        <v>6</v>
      </c>
      <c r="T149">
        <v>2</v>
      </c>
      <c r="U149">
        <v>0</v>
      </c>
      <c r="V149" s="25">
        <v>5</v>
      </c>
      <c r="W149" s="32">
        <v>5</v>
      </c>
    </row>
    <row r="150" spans="1:23" ht="15" x14ac:dyDescent="0.2">
      <c r="A150" s="68">
        <v>1</v>
      </c>
      <c r="B150" s="68">
        <v>1</v>
      </c>
      <c r="C150" s="68">
        <v>1</v>
      </c>
      <c r="D150" s="69">
        <v>535220059</v>
      </c>
      <c r="E150" s="69" t="s">
        <v>142</v>
      </c>
      <c r="F150" s="24" t="s">
        <v>169</v>
      </c>
      <c r="G150" s="24">
        <v>1</v>
      </c>
      <c r="H150" s="24">
        <v>1</v>
      </c>
      <c r="I150" s="24">
        <v>1</v>
      </c>
      <c r="J150" s="24" t="s">
        <v>1015</v>
      </c>
      <c r="K150" s="24" t="s">
        <v>304</v>
      </c>
      <c r="L150" s="24" t="s">
        <v>142</v>
      </c>
      <c r="M150" s="24" t="s">
        <v>163</v>
      </c>
      <c r="N150" s="25">
        <v>0</v>
      </c>
      <c r="S150">
        <v>6</v>
      </c>
      <c r="T150">
        <v>2</v>
      </c>
      <c r="U150">
        <v>1</v>
      </c>
      <c r="V150" s="25">
        <v>5</v>
      </c>
      <c r="W150" s="32">
        <v>5</v>
      </c>
    </row>
    <row r="151" spans="1:23" ht="15" x14ac:dyDescent="0.2">
      <c r="A151" s="68">
        <v>1</v>
      </c>
      <c r="B151" s="68">
        <v>1</v>
      </c>
      <c r="C151" s="68">
        <v>1</v>
      </c>
      <c r="D151" s="69">
        <v>535220069</v>
      </c>
      <c r="E151" s="69" t="s">
        <v>142</v>
      </c>
      <c r="F151" s="24" t="s">
        <v>169</v>
      </c>
      <c r="G151" s="24">
        <v>1</v>
      </c>
      <c r="H151" s="24">
        <v>1</v>
      </c>
      <c r="I151" s="24">
        <v>1</v>
      </c>
      <c r="J151" s="24" t="s">
        <v>1016</v>
      </c>
      <c r="K151" s="24" t="s">
        <v>305</v>
      </c>
      <c r="L151" s="24" t="s">
        <v>142</v>
      </c>
      <c r="M151" s="24" t="s">
        <v>163</v>
      </c>
      <c r="N151" s="25">
        <v>0</v>
      </c>
      <c r="S151">
        <v>6</v>
      </c>
      <c r="T151">
        <v>2</v>
      </c>
      <c r="U151">
        <v>2</v>
      </c>
      <c r="V151" s="25">
        <v>5</v>
      </c>
      <c r="W151" s="32">
        <v>5</v>
      </c>
    </row>
    <row r="152" spans="1:23" ht="15" x14ac:dyDescent="0.2">
      <c r="A152" s="68">
        <v>1</v>
      </c>
      <c r="B152" s="68">
        <v>1</v>
      </c>
      <c r="C152" s="68">
        <v>1</v>
      </c>
      <c r="D152" s="69">
        <v>535220110</v>
      </c>
      <c r="E152" s="69" t="s">
        <v>142</v>
      </c>
      <c r="F152" s="24" t="s">
        <v>169</v>
      </c>
      <c r="G152" s="24">
        <v>1</v>
      </c>
      <c r="H152" s="24">
        <v>1</v>
      </c>
      <c r="I152" s="24">
        <v>1</v>
      </c>
      <c r="J152" s="24" t="s">
        <v>1017</v>
      </c>
      <c r="K152" s="24" t="s">
        <v>306</v>
      </c>
      <c r="L152" s="24" t="s">
        <v>142</v>
      </c>
      <c r="M152" s="24" t="s">
        <v>163</v>
      </c>
      <c r="N152" s="25">
        <v>0</v>
      </c>
      <c r="S152">
        <v>6</v>
      </c>
      <c r="T152">
        <v>2</v>
      </c>
      <c r="U152">
        <v>3</v>
      </c>
      <c r="V152" s="25">
        <v>0</v>
      </c>
      <c r="W152" s="32">
        <v>0</v>
      </c>
    </row>
    <row r="153" spans="1:23" ht="15" x14ac:dyDescent="0.2">
      <c r="A153" s="68">
        <v>2</v>
      </c>
      <c r="B153" s="68">
        <v>1</v>
      </c>
      <c r="C153" s="68">
        <v>1</v>
      </c>
      <c r="D153" s="69">
        <v>535220117</v>
      </c>
      <c r="E153" s="69" t="s">
        <v>142</v>
      </c>
      <c r="F153" s="24" t="s">
        <v>169</v>
      </c>
      <c r="G153" s="24">
        <v>2</v>
      </c>
      <c r="H153" s="24">
        <v>1</v>
      </c>
      <c r="I153" s="24">
        <v>1</v>
      </c>
      <c r="J153" s="24" t="s">
        <v>1028</v>
      </c>
      <c r="K153" s="24" t="s">
        <v>317</v>
      </c>
      <c r="L153" s="24" t="s">
        <v>147</v>
      </c>
      <c r="M153" s="24" t="s">
        <v>156</v>
      </c>
      <c r="N153" s="25">
        <v>0</v>
      </c>
      <c r="S153">
        <v>6</v>
      </c>
      <c r="T153">
        <v>2</v>
      </c>
      <c r="U153">
        <v>4</v>
      </c>
      <c r="V153" s="25">
        <v>0</v>
      </c>
      <c r="W153" s="32">
        <v>0</v>
      </c>
    </row>
    <row r="154" spans="1:23" ht="15" x14ac:dyDescent="0.2">
      <c r="A154" s="68">
        <v>2</v>
      </c>
      <c r="B154" s="68">
        <v>1</v>
      </c>
      <c r="C154" s="68">
        <v>1</v>
      </c>
      <c r="D154" s="69">
        <v>535220177</v>
      </c>
      <c r="E154" s="69" t="s">
        <v>142</v>
      </c>
      <c r="F154" s="24" t="s">
        <v>169</v>
      </c>
      <c r="G154" s="24">
        <v>2</v>
      </c>
      <c r="H154" s="24">
        <v>1</v>
      </c>
      <c r="I154" s="24">
        <v>1</v>
      </c>
      <c r="J154" s="24" t="s">
        <v>1029</v>
      </c>
      <c r="K154" s="24" t="s">
        <v>318</v>
      </c>
      <c r="L154" s="24" t="s">
        <v>147</v>
      </c>
      <c r="M154" s="24" t="s">
        <v>156</v>
      </c>
      <c r="N154" s="25">
        <v>0</v>
      </c>
      <c r="S154">
        <v>6</v>
      </c>
      <c r="T154">
        <v>2</v>
      </c>
      <c r="U154">
        <v>5</v>
      </c>
      <c r="V154" s="25">
        <v>0</v>
      </c>
      <c r="W154" s="32">
        <v>0</v>
      </c>
    </row>
    <row r="155" spans="1:23" ht="15" x14ac:dyDescent="0.2">
      <c r="A155" s="68">
        <v>2</v>
      </c>
      <c r="B155" s="68">
        <v>1</v>
      </c>
      <c r="C155" s="68">
        <v>1</v>
      </c>
      <c r="D155" s="69">
        <v>535220180</v>
      </c>
      <c r="E155" s="69" t="s">
        <v>142</v>
      </c>
      <c r="F155" s="24" t="s">
        <v>169</v>
      </c>
      <c r="G155" s="24">
        <v>2</v>
      </c>
      <c r="H155" s="24">
        <v>1</v>
      </c>
      <c r="I155" s="24">
        <v>1</v>
      </c>
      <c r="J155" s="24" t="s">
        <v>1030</v>
      </c>
      <c r="K155" s="24" t="s">
        <v>319</v>
      </c>
      <c r="L155" s="24" t="s">
        <v>142</v>
      </c>
      <c r="M155" s="24" t="s">
        <v>164</v>
      </c>
      <c r="N155" s="25">
        <v>0</v>
      </c>
      <c r="S155">
        <v>6</v>
      </c>
      <c r="T155">
        <v>2</v>
      </c>
      <c r="U155">
        <v>6</v>
      </c>
      <c r="V155" s="25">
        <v>0</v>
      </c>
      <c r="W155" s="32">
        <v>0</v>
      </c>
    </row>
    <row r="156" spans="1:23" ht="15" x14ac:dyDescent="0.2">
      <c r="A156" s="68">
        <v>2</v>
      </c>
      <c r="B156" s="68">
        <v>1</v>
      </c>
      <c r="C156" s="68">
        <v>1</v>
      </c>
      <c r="D156" s="69">
        <v>535220181</v>
      </c>
      <c r="E156" s="69" t="s">
        <v>142</v>
      </c>
      <c r="F156" s="24" t="s">
        <v>169</v>
      </c>
      <c r="G156" s="24">
        <v>2</v>
      </c>
      <c r="H156" s="24">
        <v>1</v>
      </c>
      <c r="I156" s="24">
        <v>1</v>
      </c>
      <c r="J156" s="24" t="s">
        <v>1031</v>
      </c>
      <c r="K156" s="24" t="s">
        <v>320</v>
      </c>
      <c r="L156" s="24" t="s">
        <v>142</v>
      </c>
      <c r="M156" s="24" t="s">
        <v>164</v>
      </c>
      <c r="N156" s="25">
        <v>0</v>
      </c>
      <c r="V156" s="24"/>
      <c r="W156" s="31"/>
    </row>
    <row r="157" spans="1:23" ht="15" x14ac:dyDescent="0.2">
      <c r="A157" s="68">
        <v>2</v>
      </c>
      <c r="B157" s="68">
        <v>1</v>
      </c>
      <c r="C157" s="68">
        <v>1</v>
      </c>
      <c r="D157" s="69">
        <v>535220263</v>
      </c>
      <c r="E157" s="69" t="s">
        <v>142</v>
      </c>
      <c r="F157" s="24" t="s">
        <v>169</v>
      </c>
      <c r="G157" s="24">
        <v>2</v>
      </c>
      <c r="H157" s="24">
        <v>1</v>
      </c>
      <c r="I157" s="24">
        <v>1</v>
      </c>
      <c r="J157" s="24" t="s">
        <v>1032</v>
      </c>
      <c r="K157" s="24" t="s">
        <v>321</v>
      </c>
      <c r="L157" s="24" t="s">
        <v>142</v>
      </c>
      <c r="M157" s="24" t="s">
        <v>164</v>
      </c>
      <c r="N157" s="25">
        <v>0</v>
      </c>
      <c r="S157">
        <v>7</v>
      </c>
      <c r="T157">
        <v>0</v>
      </c>
      <c r="U157">
        <v>0</v>
      </c>
      <c r="V157" s="25">
        <v>5</v>
      </c>
      <c r="W157" s="33">
        <v>0</v>
      </c>
    </row>
    <row r="158" spans="1:23" ht="15" x14ac:dyDescent="0.2">
      <c r="A158" s="68">
        <v>3</v>
      </c>
      <c r="B158" s="68">
        <v>1</v>
      </c>
      <c r="C158" s="68">
        <v>1</v>
      </c>
      <c r="D158" s="69">
        <v>535220093</v>
      </c>
      <c r="E158" s="69" t="s">
        <v>142</v>
      </c>
      <c r="F158" s="24" t="s">
        <v>157</v>
      </c>
      <c r="G158" s="24">
        <v>3</v>
      </c>
      <c r="H158" s="24">
        <v>1</v>
      </c>
      <c r="I158" s="24">
        <v>1</v>
      </c>
      <c r="J158" s="24" t="s">
        <v>1043</v>
      </c>
      <c r="K158" s="24" t="s">
        <v>332</v>
      </c>
      <c r="L158" s="24" t="s">
        <v>142</v>
      </c>
      <c r="M158" s="24" t="s">
        <v>157</v>
      </c>
      <c r="N158" s="25">
        <v>1</v>
      </c>
      <c r="S158">
        <v>7</v>
      </c>
      <c r="T158">
        <v>0</v>
      </c>
      <c r="U158">
        <v>1</v>
      </c>
      <c r="V158" s="25">
        <v>5</v>
      </c>
      <c r="W158" s="32">
        <v>0</v>
      </c>
    </row>
    <row r="159" spans="1:23" ht="15" x14ac:dyDescent="0.2">
      <c r="A159" s="68">
        <v>3</v>
      </c>
      <c r="B159" s="68">
        <v>1</v>
      </c>
      <c r="C159" s="68">
        <v>1</v>
      </c>
      <c r="D159" s="69">
        <v>535220095</v>
      </c>
      <c r="E159" s="69" t="s">
        <v>142</v>
      </c>
      <c r="F159" s="24" t="s">
        <v>157</v>
      </c>
      <c r="G159" s="24">
        <v>3</v>
      </c>
      <c r="H159" s="24">
        <v>1</v>
      </c>
      <c r="I159" s="24">
        <v>1</v>
      </c>
      <c r="J159" s="24" t="s">
        <v>1044</v>
      </c>
      <c r="K159" s="24" t="s">
        <v>333</v>
      </c>
      <c r="L159" s="24" t="s">
        <v>142</v>
      </c>
      <c r="M159" s="24" t="s">
        <v>157</v>
      </c>
      <c r="N159" s="25">
        <v>1</v>
      </c>
      <c r="S159">
        <v>7</v>
      </c>
      <c r="T159">
        <v>0</v>
      </c>
      <c r="U159">
        <v>2</v>
      </c>
      <c r="V159" s="25">
        <v>5</v>
      </c>
      <c r="W159" s="32">
        <v>0</v>
      </c>
    </row>
    <row r="160" spans="1:23" ht="15" x14ac:dyDescent="0.2">
      <c r="A160" s="68">
        <v>3</v>
      </c>
      <c r="B160" s="68">
        <v>1</v>
      </c>
      <c r="C160" s="68">
        <v>1</v>
      </c>
      <c r="D160" s="69">
        <v>535220112</v>
      </c>
      <c r="E160" s="69" t="s">
        <v>142</v>
      </c>
      <c r="F160" s="24" t="s">
        <v>157</v>
      </c>
      <c r="G160" s="24">
        <v>3</v>
      </c>
      <c r="H160" s="24">
        <v>1</v>
      </c>
      <c r="I160" s="24">
        <v>1</v>
      </c>
      <c r="J160" s="24" t="s">
        <v>1045</v>
      </c>
      <c r="K160" s="24" t="s">
        <v>334</v>
      </c>
      <c r="L160" s="24" t="s">
        <v>142</v>
      </c>
      <c r="M160" s="24" t="s">
        <v>157</v>
      </c>
      <c r="N160" s="25">
        <v>1</v>
      </c>
      <c r="S160">
        <v>7</v>
      </c>
      <c r="T160">
        <v>0</v>
      </c>
      <c r="U160">
        <v>3</v>
      </c>
      <c r="V160" s="25">
        <v>5</v>
      </c>
      <c r="W160" s="32">
        <v>0</v>
      </c>
    </row>
    <row r="161" spans="1:23" ht="15" x14ac:dyDescent="0.2">
      <c r="A161" s="68">
        <v>3</v>
      </c>
      <c r="B161" s="68">
        <v>1</v>
      </c>
      <c r="C161" s="68">
        <v>1</v>
      </c>
      <c r="D161" s="69">
        <v>535220207</v>
      </c>
      <c r="E161" s="69" t="s">
        <v>142</v>
      </c>
      <c r="F161" s="24" t="s">
        <v>157</v>
      </c>
      <c r="G161" s="24">
        <v>3</v>
      </c>
      <c r="H161" s="24">
        <v>1</v>
      </c>
      <c r="I161" s="24">
        <v>1</v>
      </c>
      <c r="J161" s="24" t="s">
        <v>1046</v>
      </c>
      <c r="K161" s="24" t="s">
        <v>335</v>
      </c>
      <c r="L161" s="24" t="s">
        <v>142</v>
      </c>
      <c r="M161" s="24" t="s">
        <v>165</v>
      </c>
      <c r="N161" s="25">
        <v>0</v>
      </c>
      <c r="S161">
        <v>7</v>
      </c>
      <c r="T161">
        <v>0</v>
      </c>
      <c r="U161">
        <v>4</v>
      </c>
      <c r="V161" s="25">
        <v>5</v>
      </c>
      <c r="W161" s="32">
        <v>0</v>
      </c>
    </row>
    <row r="162" spans="1:23" ht="15" x14ac:dyDescent="0.2">
      <c r="A162" s="68">
        <v>3</v>
      </c>
      <c r="B162" s="68">
        <v>1</v>
      </c>
      <c r="C162" s="68">
        <v>1</v>
      </c>
      <c r="D162" s="69">
        <v>535220245</v>
      </c>
      <c r="E162" s="69" t="s">
        <v>142</v>
      </c>
      <c r="F162" s="24" t="s">
        <v>157</v>
      </c>
      <c r="G162" s="24">
        <v>3</v>
      </c>
      <c r="H162" s="24">
        <v>1</v>
      </c>
      <c r="I162" s="24">
        <v>1</v>
      </c>
      <c r="J162" s="24" t="s">
        <v>1047</v>
      </c>
      <c r="K162" s="24" t="s">
        <v>336</v>
      </c>
      <c r="L162" s="24" t="s">
        <v>142</v>
      </c>
      <c r="M162" s="24" t="s">
        <v>165</v>
      </c>
      <c r="N162" s="25">
        <v>0</v>
      </c>
      <c r="S162">
        <v>7</v>
      </c>
      <c r="T162">
        <v>0</v>
      </c>
      <c r="U162">
        <v>5</v>
      </c>
      <c r="V162" s="25">
        <v>5</v>
      </c>
      <c r="W162" s="32">
        <v>0</v>
      </c>
    </row>
    <row r="163" spans="1:23" ht="15" x14ac:dyDescent="0.2">
      <c r="A163" s="68">
        <v>4</v>
      </c>
      <c r="B163" s="68">
        <v>1</v>
      </c>
      <c r="C163" s="68">
        <v>1</v>
      </c>
      <c r="D163" s="69">
        <v>535200033</v>
      </c>
      <c r="E163" s="69" t="s">
        <v>143</v>
      </c>
      <c r="F163" s="24" t="s">
        <v>154</v>
      </c>
      <c r="G163" s="24">
        <v>4</v>
      </c>
      <c r="H163" s="24">
        <v>1</v>
      </c>
      <c r="I163" s="24">
        <v>1</v>
      </c>
      <c r="J163" s="24" t="s">
        <v>1058</v>
      </c>
      <c r="K163" s="24" t="s">
        <v>347</v>
      </c>
      <c r="L163" s="24" t="s">
        <v>142</v>
      </c>
      <c r="M163" s="24" t="s">
        <v>166</v>
      </c>
      <c r="N163" s="25">
        <v>0</v>
      </c>
      <c r="S163">
        <v>7</v>
      </c>
      <c r="T163">
        <v>0</v>
      </c>
      <c r="U163">
        <v>6</v>
      </c>
      <c r="V163" s="25">
        <v>5</v>
      </c>
      <c r="W163" s="32">
        <v>0</v>
      </c>
    </row>
    <row r="164" spans="1:23" ht="15" x14ac:dyDescent="0.2">
      <c r="A164" s="68">
        <v>4</v>
      </c>
      <c r="B164" s="68">
        <v>1</v>
      </c>
      <c r="C164" s="68">
        <v>1</v>
      </c>
      <c r="D164" s="69">
        <v>825220006</v>
      </c>
      <c r="E164" s="69" t="s">
        <v>143</v>
      </c>
      <c r="F164" s="24" t="s">
        <v>160</v>
      </c>
      <c r="G164" s="24">
        <v>4</v>
      </c>
      <c r="H164" s="24">
        <v>1</v>
      </c>
      <c r="I164" s="24">
        <v>1</v>
      </c>
      <c r="J164" s="24" t="s">
        <v>1059</v>
      </c>
      <c r="K164" s="24" t="s">
        <v>348</v>
      </c>
      <c r="L164" s="24" t="s">
        <v>142</v>
      </c>
      <c r="M164" s="24" t="s">
        <v>166</v>
      </c>
      <c r="N164" s="25">
        <v>0</v>
      </c>
      <c r="S164">
        <v>7</v>
      </c>
      <c r="T164">
        <v>1</v>
      </c>
      <c r="U164">
        <v>0</v>
      </c>
      <c r="V164" s="25">
        <v>5</v>
      </c>
      <c r="W164" s="32">
        <v>0</v>
      </c>
    </row>
    <row r="165" spans="1:23" ht="15" x14ac:dyDescent="0.2">
      <c r="A165" s="68">
        <v>4</v>
      </c>
      <c r="B165" s="68">
        <v>1</v>
      </c>
      <c r="C165" s="68">
        <v>1</v>
      </c>
      <c r="D165" s="69">
        <v>825220011</v>
      </c>
      <c r="E165" s="69" t="s">
        <v>143</v>
      </c>
      <c r="F165" s="24" t="s">
        <v>160</v>
      </c>
      <c r="G165" s="24">
        <v>4</v>
      </c>
      <c r="H165" s="24">
        <v>1</v>
      </c>
      <c r="I165" s="24">
        <v>1</v>
      </c>
      <c r="J165" s="24" t="s">
        <v>1060</v>
      </c>
      <c r="K165" s="24" t="s">
        <v>349</v>
      </c>
      <c r="L165" s="24" t="s">
        <v>142</v>
      </c>
      <c r="M165" s="24" t="s">
        <v>166</v>
      </c>
      <c r="N165" s="25">
        <v>0</v>
      </c>
      <c r="S165">
        <v>7</v>
      </c>
      <c r="T165">
        <v>1</v>
      </c>
      <c r="U165">
        <v>1</v>
      </c>
      <c r="V165" s="25">
        <v>5</v>
      </c>
      <c r="W165" s="32">
        <v>0</v>
      </c>
    </row>
    <row r="166" spans="1:23" ht="15" x14ac:dyDescent="0.2">
      <c r="A166" s="68">
        <v>4</v>
      </c>
      <c r="B166" s="68">
        <v>1</v>
      </c>
      <c r="C166" s="68">
        <v>1</v>
      </c>
      <c r="D166" s="69">
        <v>825220002</v>
      </c>
      <c r="E166" s="69" t="s">
        <v>142</v>
      </c>
      <c r="F166" s="24" t="s">
        <v>160</v>
      </c>
      <c r="G166" s="24">
        <v>4</v>
      </c>
      <c r="H166" s="24">
        <v>1</v>
      </c>
      <c r="I166" s="24">
        <v>1</v>
      </c>
      <c r="J166" s="24" t="s">
        <v>1061</v>
      </c>
      <c r="K166" s="24" t="s">
        <v>350</v>
      </c>
      <c r="L166" s="24" t="s">
        <v>142</v>
      </c>
      <c r="M166" s="24" t="s">
        <v>166</v>
      </c>
      <c r="N166" s="25">
        <v>0</v>
      </c>
      <c r="S166">
        <v>7</v>
      </c>
      <c r="T166">
        <v>1</v>
      </c>
      <c r="U166">
        <v>2</v>
      </c>
      <c r="V166" s="25">
        <v>5</v>
      </c>
      <c r="W166" s="32">
        <v>0</v>
      </c>
    </row>
    <row r="167" spans="1:23" ht="15" x14ac:dyDescent="0.2">
      <c r="A167" s="68">
        <v>4</v>
      </c>
      <c r="B167" s="68">
        <v>1</v>
      </c>
      <c r="C167" s="68">
        <v>1</v>
      </c>
      <c r="D167" s="69">
        <v>825220009</v>
      </c>
      <c r="E167" s="69" t="s">
        <v>142</v>
      </c>
      <c r="F167" s="24" t="s">
        <v>160</v>
      </c>
      <c r="G167" s="24">
        <v>4</v>
      </c>
      <c r="H167" s="24">
        <v>1</v>
      </c>
      <c r="I167" s="24">
        <v>1</v>
      </c>
      <c r="J167" s="24" t="s">
        <v>1062</v>
      </c>
      <c r="K167" s="24" t="s">
        <v>351</v>
      </c>
      <c r="L167" s="24" t="s">
        <v>142</v>
      </c>
      <c r="M167" s="24" t="s">
        <v>166</v>
      </c>
      <c r="N167" s="25">
        <v>0</v>
      </c>
      <c r="S167">
        <v>7</v>
      </c>
      <c r="T167">
        <v>1</v>
      </c>
      <c r="U167">
        <v>3</v>
      </c>
      <c r="V167" s="25">
        <v>5</v>
      </c>
      <c r="W167" s="32">
        <v>0</v>
      </c>
    </row>
    <row r="168" spans="1:23" ht="15" x14ac:dyDescent="0.2">
      <c r="A168" s="68">
        <v>5</v>
      </c>
      <c r="B168" s="68">
        <v>1</v>
      </c>
      <c r="C168" s="68">
        <v>1</v>
      </c>
      <c r="D168" s="69">
        <v>535220022</v>
      </c>
      <c r="E168" s="69" t="s">
        <v>142</v>
      </c>
      <c r="F168" s="24" t="s">
        <v>154</v>
      </c>
      <c r="G168" s="24">
        <v>5</v>
      </c>
      <c r="H168" s="24">
        <v>1</v>
      </c>
      <c r="I168" s="24">
        <v>1</v>
      </c>
      <c r="J168" s="24" t="s">
        <v>1073</v>
      </c>
      <c r="K168" s="24" t="s">
        <v>362</v>
      </c>
      <c r="L168" s="24" t="s">
        <v>142</v>
      </c>
      <c r="M168" s="24" t="s">
        <v>166</v>
      </c>
      <c r="N168" s="25">
        <v>0</v>
      </c>
      <c r="S168">
        <v>7</v>
      </c>
      <c r="T168">
        <v>1</v>
      </c>
      <c r="U168">
        <v>4</v>
      </c>
      <c r="V168" s="25">
        <v>0</v>
      </c>
      <c r="W168" s="32">
        <v>0</v>
      </c>
    </row>
    <row r="169" spans="1:23" ht="15" x14ac:dyDescent="0.2">
      <c r="A169" s="68">
        <v>5</v>
      </c>
      <c r="B169" s="68">
        <v>1</v>
      </c>
      <c r="C169" s="68">
        <v>1</v>
      </c>
      <c r="D169" s="69">
        <v>535220023</v>
      </c>
      <c r="E169" s="69" t="s">
        <v>142</v>
      </c>
      <c r="F169" s="24" t="s">
        <v>154</v>
      </c>
      <c r="G169" s="24">
        <v>5</v>
      </c>
      <c r="H169" s="24">
        <v>1</v>
      </c>
      <c r="I169" s="24">
        <v>1</v>
      </c>
      <c r="J169" s="24" t="s">
        <v>1074</v>
      </c>
      <c r="K169" s="24" t="s">
        <v>363</v>
      </c>
      <c r="L169" s="24" t="s">
        <v>142</v>
      </c>
      <c r="M169" s="24" t="s">
        <v>166</v>
      </c>
      <c r="N169" s="25">
        <v>0</v>
      </c>
      <c r="S169">
        <v>7</v>
      </c>
      <c r="T169">
        <v>1</v>
      </c>
      <c r="U169">
        <v>5</v>
      </c>
      <c r="V169" s="25">
        <v>0</v>
      </c>
      <c r="W169" s="32">
        <v>0</v>
      </c>
    </row>
    <row r="170" spans="1:23" ht="15" x14ac:dyDescent="0.2">
      <c r="A170" s="68">
        <v>5</v>
      </c>
      <c r="B170" s="68">
        <v>1</v>
      </c>
      <c r="C170" s="68">
        <v>1</v>
      </c>
      <c r="D170" s="69">
        <v>535220028</v>
      </c>
      <c r="E170" s="69" t="s">
        <v>142</v>
      </c>
      <c r="F170" s="24" t="s">
        <v>154</v>
      </c>
      <c r="G170" s="24">
        <v>5</v>
      </c>
      <c r="H170" s="24">
        <v>1</v>
      </c>
      <c r="I170" s="24">
        <v>1</v>
      </c>
      <c r="J170" s="24" t="s">
        <v>1075</v>
      </c>
      <c r="K170" s="24" t="s">
        <v>364</v>
      </c>
      <c r="L170" s="24" t="s">
        <v>142</v>
      </c>
      <c r="M170" s="24" t="s">
        <v>166</v>
      </c>
      <c r="N170" s="25">
        <v>0</v>
      </c>
      <c r="S170">
        <v>7</v>
      </c>
      <c r="T170">
        <v>1</v>
      </c>
      <c r="U170">
        <v>6</v>
      </c>
      <c r="V170" s="25">
        <v>0</v>
      </c>
      <c r="W170" s="32">
        <v>0</v>
      </c>
    </row>
    <row r="171" spans="1:23" ht="15" x14ac:dyDescent="0.2">
      <c r="A171" s="68">
        <v>5</v>
      </c>
      <c r="B171" s="68">
        <v>1</v>
      </c>
      <c r="C171" s="68">
        <v>1</v>
      </c>
      <c r="D171" s="69">
        <v>535220031</v>
      </c>
      <c r="E171" s="69" t="s">
        <v>142</v>
      </c>
      <c r="F171" s="24" t="s">
        <v>154</v>
      </c>
      <c r="G171" s="24">
        <v>5</v>
      </c>
      <c r="H171" s="24">
        <v>1</v>
      </c>
      <c r="I171" s="24">
        <v>1</v>
      </c>
      <c r="J171" s="24" t="s">
        <v>1076</v>
      </c>
      <c r="K171" s="24" t="s">
        <v>365</v>
      </c>
      <c r="L171" s="24" t="s">
        <v>143</v>
      </c>
      <c r="M171" s="24" t="s">
        <v>166</v>
      </c>
      <c r="N171" s="25">
        <v>0</v>
      </c>
      <c r="S171">
        <v>7</v>
      </c>
      <c r="T171">
        <v>2</v>
      </c>
      <c r="U171">
        <v>0</v>
      </c>
      <c r="V171" s="25">
        <v>0</v>
      </c>
      <c r="W171" s="32">
        <v>0</v>
      </c>
    </row>
    <row r="172" spans="1:23" ht="15" x14ac:dyDescent="0.2">
      <c r="A172" s="68">
        <v>5</v>
      </c>
      <c r="B172" s="68">
        <v>1</v>
      </c>
      <c r="C172" s="68">
        <v>1</v>
      </c>
      <c r="D172" s="69">
        <v>535220060</v>
      </c>
      <c r="E172" s="69" t="s">
        <v>142</v>
      </c>
      <c r="F172" s="24" t="s">
        <v>154</v>
      </c>
      <c r="G172" s="24">
        <v>5</v>
      </c>
      <c r="H172" s="24">
        <v>1</v>
      </c>
      <c r="I172" s="24">
        <v>1</v>
      </c>
      <c r="J172" s="24" t="s">
        <v>1077</v>
      </c>
      <c r="K172" s="24" t="s">
        <v>366</v>
      </c>
      <c r="L172" s="24" t="s">
        <v>143</v>
      </c>
      <c r="M172" s="24" t="s">
        <v>166</v>
      </c>
      <c r="N172" s="25">
        <v>0</v>
      </c>
      <c r="S172">
        <v>7</v>
      </c>
      <c r="T172">
        <v>2</v>
      </c>
      <c r="U172">
        <v>1</v>
      </c>
      <c r="V172" s="25">
        <v>0</v>
      </c>
      <c r="W172" s="32">
        <v>0</v>
      </c>
    </row>
    <row r="173" spans="1:23" x14ac:dyDescent="0.2">
      <c r="A173" s="24"/>
      <c r="B173" s="24"/>
      <c r="C173" s="24"/>
      <c r="D173" s="24"/>
      <c r="E173" s="24"/>
      <c r="F173" s="24"/>
      <c r="G173" s="24">
        <v>6</v>
      </c>
      <c r="H173" s="24">
        <v>1</v>
      </c>
      <c r="I173" s="24">
        <v>1</v>
      </c>
      <c r="J173" s="24" t="s">
        <v>1088</v>
      </c>
      <c r="K173" s="24" t="s">
        <v>377</v>
      </c>
      <c r="L173" s="24" t="s">
        <v>143</v>
      </c>
      <c r="M173" s="24" t="s">
        <v>166</v>
      </c>
      <c r="N173" s="70" t="s">
        <v>1231</v>
      </c>
      <c r="S173">
        <v>7</v>
      </c>
      <c r="T173">
        <v>2</v>
      </c>
      <c r="U173">
        <v>2</v>
      </c>
      <c r="V173" s="25">
        <v>0</v>
      </c>
      <c r="W173" s="32">
        <v>0</v>
      </c>
    </row>
    <row r="174" spans="1:23" x14ac:dyDescent="0.2">
      <c r="A174" s="24"/>
      <c r="B174" s="24"/>
      <c r="C174" s="24"/>
      <c r="D174" s="24"/>
      <c r="E174" s="24"/>
      <c r="F174" s="24"/>
      <c r="G174" s="24">
        <v>6</v>
      </c>
      <c r="H174" s="24">
        <v>1</v>
      </c>
      <c r="I174" s="24">
        <v>1</v>
      </c>
      <c r="J174" s="24" t="s">
        <v>1089</v>
      </c>
      <c r="K174" s="24" t="s">
        <v>378</v>
      </c>
      <c r="L174" s="24" t="s">
        <v>143</v>
      </c>
      <c r="M174" s="24" t="s">
        <v>166</v>
      </c>
      <c r="N174" s="70" t="s">
        <v>1231</v>
      </c>
      <c r="S174">
        <v>7</v>
      </c>
      <c r="T174">
        <v>2</v>
      </c>
      <c r="U174">
        <v>3</v>
      </c>
      <c r="V174" s="25">
        <v>0</v>
      </c>
      <c r="W174" s="32">
        <v>0</v>
      </c>
    </row>
    <row r="175" spans="1:23" x14ac:dyDescent="0.2">
      <c r="A175" s="24"/>
      <c r="B175" s="24"/>
      <c r="C175" s="24"/>
      <c r="D175" s="24"/>
      <c r="E175" s="24"/>
      <c r="F175" s="24"/>
      <c r="G175" s="24">
        <v>6</v>
      </c>
      <c r="H175" s="24">
        <v>1</v>
      </c>
      <c r="I175" s="24">
        <v>1</v>
      </c>
      <c r="J175" s="24" t="s">
        <v>1090</v>
      </c>
      <c r="K175" s="24" t="s">
        <v>379</v>
      </c>
      <c r="L175" s="24" t="s">
        <v>142</v>
      </c>
      <c r="M175" s="24" t="s">
        <v>167</v>
      </c>
      <c r="N175" s="70" t="s">
        <v>1231</v>
      </c>
      <c r="S175">
        <v>7</v>
      </c>
      <c r="T175">
        <v>2</v>
      </c>
      <c r="U175">
        <v>4</v>
      </c>
      <c r="V175" s="25">
        <v>0</v>
      </c>
      <c r="W175" s="32">
        <v>0</v>
      </c>
    </row>
    <row r="176" spans="1:23" x14ac:dyDescent="0.2">
      <c r="A176" s="24"/>
      <c r="B176" s="24"/>
      <c r="C176" s="24"/>
      <c r="D176" s="24"/>
      <c r="E176" s="24"/>
      <c r="F176" s="24"/>
      <c r="G176" s="24">
        <v>6</v>
      </c>
      <c r="H176" s="24">
        <v>1</v>
      </c>
      <c r="I176" s="24">
        <v>1</v>
      </c>
      <c r="J176" s="24" t="s">
        <v>1091</v>
      </c>
      <c r="K176" s="24" t="s">
        <v>380</v>
      </c>
      <c r="L176" s="24" t="s">
        <v>142</v>
      </c>
      <c r="M176" s="24" t="s">
        <v>167</v>
      </c>
      <c r="N176" s="70" t="s">
        <v>1231</v>
      </c>
      <c r="S176">
        <v>7</v>
      </c>
      <c r="T176">
        <v>2</v>
      </c>
      <c r="U176">
        <v>5</v>
      </c>
      <c r="V176" s="25">
        <v>0</v>
      </c>
      <c r="W176" s="32">
        <v>0</v>
      </c>
    </row>
    <row r="177" spans="1:23" x14ac:dyDescent="0.2">
      <c r="A177" s="24"/>
      <c r="B177" s="24"/>
      <c r="C177" s="24"/>
      <c r="D177" s="24"/>
      <c r="E177" s="24"/>
      <c r="F177" s="24"/>
      <c r="G177" s="24">
        <v>6</v>
      </c>
      <c r="H177" s="24">
        <v>1</v>
      </c>
      <c r="I177" s="24">
        <v>1</v>
      </c>
      <c r="J177" s="24" t="s">
        <v>1092</v>
      </c>
      <c r="K177" s="24" t="s">
        <v>381</v>
      </c>
      <c r="L177" s="24" t="s">
        <v>142</v>
      </c>
      <c r="M177" s="24" t="s">
        <v>167</v>
      </c>
      <c r="N177" s="70" t="s">
        <v>1231</v>
      </c>
      <c r="S177">
        <v>7</v>
      </c>
      <c r="T177">
        <v>2</v>
      </c>
      <c r="U177">
        <v>6</v>
      </c>
      <c r="V177" s="25">
        <v>0</v>
      </c>
      <c r="W177" s="32">
        <v>0</v>
      </c>
    </row>
    <row r="178" spans="1:23" x14ac:dyDescent="0.2">
      <c r="A178" s="24"/>
      <c r="B178" s="24"/>
      <c r="C178" s="24"/>
      <c r="D178" s="24"/>
      <c r="E178" s="24"/>
      <c r="F178" s="24"/>
      <c r="G178" s="24">
        <v>0</v>
      </c>
      <c r="H178" s="24">
        <v>1</v>
      </c>
      <c r="I178" s="24">
        <v>2</v>
      </c>
      <c r="J178" s="24" t="s">
        <v>1003</v>
      </c>
      <c r="K178" s="24" t="s">
        <v>292</v>
      </c>
      <c r="L178" s="24" t="s">
        <v>142</v>
      </c>
      <c r="M178" s="24" t="s">
        <v>156</v>
      </c>
      <c r="N178" s="70" t="s">
        <v>1231</v>
      </c>
      <c r="V178" s="24"/>
      <c r="W178" s="31"/>
    </row>
    <row r="179" spans="1:23" x14ac:dyDescent="0.2">
      <c r="A179" s="24"/>
      <c r="B179" s="24"/>
      <c r="C179" s="24"/>
      <c r="D179" s="24"/>
      <c r="E179" s="24"/>
      <c r="F179" s="24"/>
      <c r="G179" s="24">
        <v>0</v>
      </c>
      <c r="H179" s="24">
        <v>1</v>
      </c>
      <c r="I179" s="24">
        <v>2</v>
      </c>
      <c r="J179" s="24" t="s">
        <v>1004</v>
      </c>
      <c r="K179" s="24" t="s">
        <v>293</v>
      </c>
      <c r="L179" s="24" t="s">
        <v>142</v>
      </c>
      <c r="M179" s="24" t="s">
        <v>156</v>
      </c>
      <c r="N179" s="70" t="s">
        <v>1231</v>
      </c>
      <c r="S179" s="34">
        <v>8</v>
      </c>
      <c r="T179">
        <v>0</v>
      </c>
      <c r="U179">
        <v>0</v>
      </c>
      <c r="V179" s="25">
        <v>5</v>
      </c>
      <c r="W179" s="32">
        <v>0</v>
      </c>
    </row>
    <row r="180" spans="1:23" x14ac:dyDescent="0.2">
      <c r="A180" s="24"/>
      <c r="B180" s="24"/>
      <c r="C180" s="24"/>
      <c r="D180" s="24"/>
      <c r="E180" s="24"/>
      <c r="F180" s="24"/>
      <c r="G180" s="24">
        <v>0</v>
      </c>
      <c r="H180" s="24">
        <v>1</v>
      </c>
      <c r="I180" s="24">
        <v>2</v>
      </c>
      <c r="J180" s="24" t="s">
        <v>1005</v>
      </c>
      <c r="K180" s="24" t="s">
        <v>294</v>
      </c>
      <c r="L180" s="24" t="s">
        <v>142</v>
      </c>
      <c r="M180" s="24" t="s">
        <v>156</v>
      </c>
      <c r="N180" s="70" t="s">
        <v>1231</v>
      </c>
      <c r="S180">
        <v>8</v>
      </c>
      <c r="T180">
        <v>0</v>
      </c>
      <c r="U180">
        <v>1</v>
      </c>
      <c r="V180" s="25">
        <v>5</v>
      </c>
      <c r="W180" s="32">
        <v>0</v>
      </c>
    </row>
    <row r="181" spans="1:23" x14ac:dyDescent="0.2">
      <c r="A181" s="24"/>
      <c r="B181" s="24"/>
      <c r="C181" s="24"/>
      <c r="D181" s="24"/>
      <c r="E181" s="24"/>
      <c r="F181" s="24"/>
      <c r="G181" s="24">
        <v>0</v>
      </c>
      <c r="H181" s="24">
        <v>1</v>
      </c>
      <c r="I181" s="24">
        <v>2</v>
      </c>
      <c r="J181" s="24" t="s">
        <v>1006</v>
      </c>
      <c r="K181" s="24" t="s">
        <v>295</v>
      </c>
      <c r="L181" s="24" t="s">
        <v>142</v>
      </c>
      <c r="M181" s="24" t="s">
        <v>156</v>
      </c>
      <c r="N181" s="70" t="s">
        <v>1231</v>
      </c>
      <c r="S181">
        <v>8</v>
      </c>
      <c r="T181">
        <v>0</v>
      </c>
      <c r="U181">
        <v>2</v>
      </c>
      <c r="V181" s="25">
        <v>5</v>
      </c>
      <c r="W181" s="32">
        <v>0</v>
      </c>
    </row>
    <row r="182" spans="1:23" x14ac:dyDescent="0.2">
      <c r="A182" s="24"/>
      <c r="B182" s="24"/>
      <c r="C182" s="24"/>
      <c r="D182" s="24"/>
      <c r="E182" s="24"/>
      <c r="F182" s="24"/>
      <c r="G182" s="24">
        <v>0</v>
      </c>
      <c r="H182" s="24">
        <v>1</v>
      </c>
      <c r="I182" s="24">
        <v>2</v>
      </c>
      <c r="J182" s="24" t="s">
        <v>1007</v>
      </c>
      <c r="K182" s="24" t="s">
        <v>296</v>
      </c>
      <c r="L182" s="24" t="s">
        <v>142</v>
      </c>
      <c r="M182" s="24" t="s">
        <v>156</v>
      </c>
      <c r="N182" s="70" t="s">
        <v>1231</v>
      </c>
      <c r="S182">
        <v>8</v>
      </c>
      <c r="T182">
        <v>0</v>
      </c>
      <c r="U182">
        <v>3</v>
      </c>
      <c r="V182" s="25">
        <v>5</v>
      </c>
      <c r="W182" s="32">
        <v>0</v>
      </c>
    </row>
    <row r="183" spans="1:23" x14ac:dyDescent="0.2">
      <c r="A183" s="24"/>
      <c r="B183" s="24"/>
      <c r="C183" s="24"/>
      <c r="D183" s="24"/>
      <c r="E183" s="24"/>
      <c r="F183" s="24"/>
      <c r="G183" s="24">
        <v>1</v>
      </c>
      <c r="H183" s="24">
        <v>1</v>
      </c>
      <c r="I183" s="24">
        <v>2</v>
      </c>
      <c r="J183" s="24" t="s">
        <v>1018</v>
      </c>
      <c r="K183" s="24" t="s">
        <v>307</v>
      </c>
      <c r="L183" s="24" t="s">
        <v>142</v>
      </c>
      <c r="M183" s="24" t="s">
        <v>156</v>
      </c>
      <c r="N183" s="70" t="s">
        <v>1231</v>
      </c>
      <c r="S183">
        <v>8</v>
      </c>
      <c r="T183">
        <v>0</v>
      </c>
      <c r="U183">
        <v>4</v>
      </c>
      <c r="V183" s="25">
        <v>5</v>
      </c>
      <c r="W183" s="32">
        <v>0</v>
      </c>
    </row>
    <row r="184" spans="1:23" x14ac:dyDescent="0.2">
      <c r="A184" s="24"/>
      <c r="B184" s="24"/>
      <c r="C184" s="24"/>
      <c r="D184" s="24"/>
      <c r="E184" s="24"/>
      <c r="F184" s="24"/>
      <c r="G184" s="24">
        <v>1</v>
      </c>
      <c r="H184" s="24">
        <v>1</v>
      </c>
      <c r="I184" s="24">
        <v>2</v>
      </c>
      <c r="J184" s="24" t="s">
        <v>1019</v>
      </c>
      <c r="K184" s="24" t="s">
        <v>308</v>
      </c>
      <c r="L184" s="24" t="s">
        <v>142</v>
      </c>
      <c r="M184" s="24" t="s">
        <v>156</v>
      </c>
      <c r="N184" s="70" t="s">
        <v>1231</v>
      </c>
      <c r="S184">
        <v>8</v>
      </c>
      <c r="T184">
        <v>0</v>
      </c>
      <c r="U184">
        <v>5</v>
      </c>
      <c r="V184" s="25">
        <v>5</v>
      </c>
      <c r="W184" s="32">
        <v>0</v>
      </c>
    </row>
    <row r="185" spans="1:23" x14ac:dyDescent="0.2">
      <c r="A185" s="24"/>
      <c r="B185" s="24"/>
      <c r="C185" s="24"/>
      <c r="D185" s="24"/>
      <c r="E185" s="24"/>
      <c r="F185" s="24"/>
      <c r="G185" s="24">
        <v>1</v>
      </c>
      <c r="H185" s="24">
        <v>1</v>
      </c>
      <c r="I185" s="24">
        <v>2</v>
      </c>
      <c r="J185" s="24" t="s">
        <v>1020</v>
      </c>
      <c r="K185" s="24" t="s">
        <v>309</v>
      </c>
      <c r="L185" s="24" t="s">
        <v>142</v>
      </c>
      <c r="M185" s="24" t="s">
        <v>156</v>
      </c>
      <c r="N185" s="70" t="s">
        <v>1231</v>
      </c>
      <c r="S185">
        <v>8</v>
      </c>
      <c r="T185">
        <v>0</v>
      </c>
      <c r="U185">
        <v>6</v>
      </c>
      <c r="V185" s="25">
        <v>0</v>
      </c>
      <c r="W185" s="32">
        <v>0</v>
      </c>
    </row>
    <row r="186" spans="1:23" x14ac:dyDescent="0.2">
      <c r="A186" s="24"/>
      <c r="B186" s="24"/>
      <c r="C186" s="24"/>
      <c r="D186" s="24"/>
      <c r="E186" s="24"/>
      <c r="F186" s="24"/>
      <c r="G186" s="24">
        <v>1</v>
      </c>
      <c r="H186" s="24">
        <v>1</v>
      </c>
      <c r="I186" s="24">
        <v>2</v>
      </c>
      <c r="J186" s="24" t="s">
        <v>1021</v>
      </c>
      <c r="K186" s="24" t="s">
        <v>310</v>
      </c>
      <c r="L186" s="24" t="s">
        <v>147</v>
      </c>
      <c r="M186" s="24" t="s">
        <v>156</v>
      </c>
      <c r="N186" s="70" t="s">
        <v>1231</v>
      </c>
      <c r="S186">
        <v>8</v>
      </c>
      <c r="T186">
        <v>1</v>
      </c>
      <c r="U186">
        <v>0</v>
      </c>
      <c r="V186" s="25">
        <v>0</v>
      </c>
      <c r="W186" s="32">
        <v>0</v>
      </c>
    </row>
    <row r="187" spans="1:23" x14ac:dyDescent="0.2">
      <c r="A187" s="24"/>
      <c r="B187" s="24"/>
      <c r="C187" s="24"/>
      <c r="D187" s="24"/>
      <c r="E187" s="24"/>
      <c r="F187" s="24"/>
      <c r="G187" s="24">
        <v>1</v>
      </c>
      <c r="H187" s="24">
        <v>1</v>
      </c>
      <c r="I187" s="24">
        <v>2</v>
      </c>
      <c r="J187" s="24" t="s">
        <v>1022</v>
      </c>
      <c r="K187" s="24" t="s">
        <v>311</v>
      </c>
      <c r="L187" s="24" t="s">
        <v>147</v>
      </c>
      <c r="M187" s="24" t="s">
        <v>156</v>
      </c>
      <c r="N187" s="70" t="s">
        <v>1231</v>
      </c>
      <c r="S187">
        <v>8</v>
      </c>
      <c r="T187">
        <v>1</v>
      </c>
      <c r="U187">
        <v>1</v>
      </c>
      <c r="V187" s="25">
        <v>0</v>
      </c>
      <c r="W187" s="32">
        <v>0</v>
      </c>
    </row>
    <row r="188" spans="1:23" x14ac:dyDescent="0.2">
      <c r="A188" s="24"/>
      <c r="B188" s="24"/>
      <c r="C188" s="24"/>
      <c r="D188" s="24"/>
      <c r="E188" s="24"/>
      <c r="F188" s="24"/>
      <c r="G188" s="24">
        <v>2</v>
      </c>
      <c r="H188" s="24">
        <v>1</v>
      </c>
      <c r="I188" s="24">
        <v>2</v>
      </c>
      <c r="J188" s="24" t="s">
        <v>1033</v>
      </c>
      <c r="K188" s="24" t="s">
        <v>322</v>
      </c>
      <c r="L188" s="24" t="s">
        <v>142</v>
      </c>
      <c r="M188" s="24" t="s">
        <v>157</v>
      </c>
      <c r="N188" s="70" t="s">
        <v>1231</v>
      </c>
      <c r="S188">
        <v>8</v>
      </c>
      <c r="T188">
        <v>1</v>
      </c>
      <c r="U188">
        <v>2</v>
      </c>
      <c r="V188" s="25">
        <v>0</v>
      </c>
      <c r="W188" s="32">
        <v>0</v>
      </c>
    </row>
    <row r="189" spans="1:23" x14ac:dyDescent="0.2">
      <c r="A189" s="24"/>
      <c r="B189" s="24"/>
      <c r="C189" s="24"/>
      <c r="D189" s="24"/>
      <c r="E189" s="24"/>
      <c r="F189" s="24"/>
      <c r="G189" s="24">
        <v>2</v>
      </c>
      <c r="H189" s="24">
        <v>1</v>
      </c>
      <c r="I189" s="24">
        <v>2</v>
      </c>
      <c r="J189" s="24" t="s">
        <v>1034</v>
      </c>
      <c r="K189" s="24" t="s">
        <v>323</v>
      </c>
      <c r="L189" s="24" t="s">
        <v>142</v>
      </c>
      <c r="M189" s="24" t="s">
        <v>157</v>
      </c>
      <c r="N189" s="70" t="s">
        <v>1231</v>
      </c>
      <c r="S189">
        <v>8</v>
      </c>
      <c r="T189">
        <v>1</v>
      </c>
      <c r="U189">
        <v>3</v>
      </c>
      <c r="V189" s="25">
        <v>0</v>
      </c>
      <c r="W189" s="32">
        <v>0</v>
      </c>
    </row>
    <row r="190" spans="1:23" x14ac:dyDescent="0.2">
      <c r="A190" s="24"/>
      <c r="B190" s="24"/>
      <c r="C190" s="24"/>
      <c r="D190" s="24"/>
      <c r="E190" s="24"/>
      <c r="F190" s="24"/>
      <c r="G190" s="24">
        <v>2</v>
      </c>
      <c r="H190" s="24">
        <v>1</v>
      </c>
      <c r="I190" s="24">
        <v>2</v>
      </c>
      <c r="J190" s="24" t="s">
        <v>1035</v>
      </c>
      <c r="K190" s="24" t="s">
        <v>324</v>
      </c>
      <c r="L190" s="24" t="s">
        <v>142</v>
      </c>
      <c r="M190" s="24" t="s">
        <v>157</v>
      </c>
      <c r="N190" s="70" t="s">
        <v>1231</v>
      </c>
      <c r="S190">
        <v>8</v>
      </c>
      <c r="T190">
        <v>1</v>
      </c>
      <c r="U190">
        <v>4</v>
      </c>
      <c r="V190" s="25">
        <v>0</v>
      </c>
      <c r="W190" s="32">
        <v>0</v>
      </c>
    </row>
    <row r="191" spans="1:23" x14ac:dyDescent="0.2">
      <c r="A191" s="24"/>
      <c r="B191" s="24"/>
      <c r="C191" s="24"/>
      <c r="D191" s="24"/>
      <c r="E191" s="24"/>
      <c r="F191" s="24"/>
      <c r="G191" s="24">
        <v>2</v>
      </c>
      <c r="H191" s="24">
        <v>1</v>
      </c>
      <c r="I191" s="24">
        <v>2</v>
      </c>
      <c r="J191" s="24" t="s">
        <v>1036</v>
      </c>
      <c r="K191" s="24" t="s">
        <v>325</v>
      </c>
      <c r="L191" s="24" t="s">
        <v>142</v>
      </c>
      <c r="M191" s="24" t="s">
        <v>157</v>
      </c>
      <c r="N191" s="70" t="s">
        <v>1231</v>
      </c>
      <c r="S191">
        <v>8</v>
      </c>
      <c r="T191">
        <v>1</v>
      </c>
      <c r="U191">
        <v>5</v>
      </c>
      <c r="V191" s="25">
        <v>0</v>
      </c>
      <c r="W191" s="32">
        <v>0</v>
      </c>
    </row>
    <row r="192" spans="1:23" x14ac:dyDescent="0.2">
      <c r="A192" s="24"/>
      <c r="B192" s="24"/>
      <c r="C192" s="24"/>
      <c r="D192" s="24"/>
      <c r="E192" s="24"/>
      <c r="F192" s="24"/>
      <c r="G192" s="24">
        <v>2</v>
      </c>
      <c r="H192" s="24">
        <v>1</v>
      </c>
      <c r="I192" s="24">
        <v>2</v>
      </c>
      <c r="J192" s="24" t="s">
        <v>1037</v>
      </c>
      <c r="K192" s="24" t="s">
        <v>326</v>
      </c>
      <c r="L192" s="24" t="s">
        <v>142</v>
      </c>
      <c r="M192" s="24" t="s">
        <v>157</v>
      </c>
      <c r="N192" s="70" t="s">
        <v>1231</v>
      </c>
      <c r="S192">
        <v>8</v>
      </c>
      <c r="T192">
        <v>1</v>
      </c>
      <c r="U192">
        <v>6</v>
      </c>
      <c r="V192" s="25">
        <v>0</v>
      </c>
      <c r="W192" s="32">
        <v>0</v>
      </c>
    </row>
    <row r="193" spans="1:23" x14ac:dyDescent="0.2">
      <c r="A193" s="24"/>
      <c r="B193" s="24"/>
      <c r="C193" s="24"/>
      <c r="D193" s="24"/>
      <c r="E193" s="24"/>
      <c r="F193" s="24"/>
      <c r="G193" s="24">
        <v>3</v>
      </c>
      <c r="H193" s="24">
        <v>1</v>
      </c>
      <c r="I193" s="24">
        <v>2</v>
      </c>
      <c r="J193" s="24" t="s">
        <v>1048</v>
      </c>
      <c r="K193" s="24" t="s">
        <v>337</v>
      </c>
      <c r="L193" s="24" t="s">
        <v>142</v>
      </c>
      <c r="M193" s="24" t="s">
        <v>166</v>
      </c>
      <c r="N193" s="70" t="s">
        <v>1231</v>
      </c>
      <c r="S193">
        <v>8</v>
      </c>
      <c r="T193">
        <v>2</v>
      </c>
      <c r="U193">
        <v>0</v>
      </c>
      <c r="V193" s="25">
        <v>0</v>
      </c>
      <c r="W193" s="32">
        <v>0</v>
      </c>
    </row>
    <row r="194" spans="1:23" x14ac:dyDescent="0.2">
      <c r="A194" s="24"/>
      <c r="B194" s="24"/>
      <c r="C194" s="24"/>
      <c r="D194" s="24"/>
      <c r="E194" s="24"/>
      <c r="F194" s="24"/>
      <c r="G194" s="24">
        <v>3</v>
      </c>
      <c r="H194" s="24">
        <v>1</v>
      </c>
      <c r="I194" s="24">
        <v>2</v>
      </c>
      <c r="J194" s="24" t="s">
        <v>1049</v>
      </c>
      <c r="K194" s="24" t="s">
        <v>338</v>
      </c>
      <c r="L194" s="24" t="s">
        <v>142</v>
      </c>
      <c r="M194" s="24" t="s">
        <v>166</v>
      </c>
      <c r="N194" s="70" t="s">
        <v>1231</v>
      </c>
      <c r="S194">
        <v>8</v>
      </c>
      <c r="T194">
        <v>2</v>
      </c>
      <c r="U194">
        <v>1</v>
      </c>
      <c r="V194" s="25">
        <v>0</v>
      </c>
      <c r="W194" s="32">
        <v>0</v>
      </c>
    </row>
    <row r="195" spans="1:23" x14ac:dyDescent="0.2">
      <c r="A195" s="24"/>
      <c r="B195" s="24"/>
      <c r="C195" s="24"/>
      <c r="D195" s="24"/>
      <c r="E195" s="24"/>
      <c r="F195" s="24"/>
      <c r="G195" s="24">
        <v>3</v>
      </c>
      <c r="H195" s="24">
        <v>1</v>
      </c>
      <c r="I195" s="24">
        <v>2</v>
      </c>
      <c r="J195" s="24" t="s">
        <v>1050</v>
      </c>
      <c r="K195" s="24" t="s">
        <v>339</v>
      </c>
      <c r="L195" s="24" t="s">
        <v>142</v>
      </c>
      <c r="M195" s="24" t="s">
        <v>166</v>
      </c>
      <c r="N195" s="70" t="s">
        <v>1231</v>
      </c>
      <c r="S195">
        <v>8</v>
      </c>
      <c r="T195">
        <v>2</v>
      </c>
      <c r="U195">
        <v>2</v>
      </c>
      <c r="V195" s="25">
        <v>0</v>
      </c>
      <c r="W195" s="32">
        <v>0</v>
      </c>
    </row>
    <row r="196" spans="1:23" x14ac:dyDescent="0.2">
      <c r="A196" s="24"/>
      <c r="B196" s="24"/>
      <c r="C196" s="24"/>
      <c r="D196" s="24"/>
      <c r="E196" s="24"/>
      <c r="F196" s="24"/>
      <c r="G196" s="24">
        <v>3</v>
      </c>
      <c r="H196" s="24">
        <v>1</v>
      </c>
      <c r="I196" s="24">
        <v>2</v>
      </c>
      <c r="J196" s="24" t="s">
        <v>1051</v>
      </c>
      <c r="K196" s="24" t="s">
        <v>340</v>
      </c>
      <c r="L196" s="24" t="s">
        <v>142</v>
      </c>
      <c r="M196" s="24" t="s">
        <v>166</v>
      </c>
      <c r="N196" s="70" t="s">
        <v>1231</v>
      </c>
      <c r="S196">
        <v>8</v>
      </c>
      <c r="T196">
        <v>2</v>
      </c>
      <c r="U196">
        <v>3</v>
      </c>
      <c r="V196" s="25">
        <v>0</v>
      </c>
      <c r="W196" s="32">
        <v>0</v>
      </c>
    </row>
    <row r="197" spans="1:23" x14ac:dyDescent="0.2">
      <c r="A197" s="24"/>
      <c r="B197" s="24"/>
      <c r="C197" s="24"/>
      <c r="D197" s="24"/>
      <c r="E197" s="24"/>
      <c r="F197" s="24"/>
      <c r="G197" s="24">
        <v>3</v>
      </c>
      <c r="H197" s="24">
        <v>1</v>
      </c>
      <c r="I197" s="24">
        <v>2</v>
      </c>
      <c r="J197" s="24" t="s">
        <v>1052</v>
      </c>
      <c r="K197" s="24" t="s">
        <v>341</v>
      </c>
      <c r="L197" s="24" t="s">
        <v>142</v>
      </c>
      <c r="M197" s="24" t="s">
        <v>166</v>
      </c>
      <c r="N197" s="70" t="s">
        <v>1231</v>
      </c>
      <c r="S197">
        <v>8</v>
      </c>
      <c r="T197">
        <v>2</v>
      </c>
      <c r="U197">
        <v>4</v>
      </c>
      <c r="V197" s="25">
        <v>0</v>
      </c>
      <c r="W197" s="32">
        <v>0</v>
      </c>
    </row>
    <row r="198" spans="1:23" x14ac:dyDescent="0.2">
      <c r="A198" s="24"/>
      <c r="B198" s="24"/>
      <c r="C198" s="24"/>
      <c r="D198" s="24"/>
      <c r="E198" s="24"/>
      <c r="F198" s="24"/>
      <c r="G198" s="24">
        <v>4</v>
      </c>
      <c r="H198" s="24">
        <v>1</v>
      </c>
      <c r="I198" s="24">
        <v>2</v>
      </c>
      <c r="J198" s="24" t="s">
        <v>1063</v>
      </c>
      <c r="K198" s="24" t="s">
        <v>352</v>
      </c>
      <c r="L198" s="24" t="s">
        <v>142</v>
      </c>
      <c r="M198" s="24" t="s">
        <v>167</v>
      </c>
      <c r="N198" s="70" t="s">
        <v>1231</v>
      </c>
      <c r="S198">
        <v>8</v>
      </c>
      <c r="T198">
        <v>2</v>
      </c>
      <c r="U198">
        <v>5</v>
      </c>
      <c r="V198" s="25">
        <v>0</v>
      </c>
      <c r="W198" s="32">
        <v>0</v>
      </c>
    </row>
    <row r="199" spans="1:23" x14ac:dyDescent="0.2">
      <c r="A199" s="24"/>
      <c r="B199" s="24"/>
      <c r="C199" s="24"/>
      <c r="D199" s="24"/>
      <c r="E199" s="24"/>
      <c r="F199" s="24"/>
      <c r="G199" s="24">
        <v>4</v>
      </c>
      <c r="H199" s="24">
        <v>1</v>
      </c>
      <c r="I199" s="24">
        <v>2</v>
      </c>
      <c r="J199" s="24" t="s">
        <v>1064</v>
      </c>
      <c r="K199" s="24" t="s">
        <v>353</v>
      </c>
      <c r="L199" s="24" t="s">
        <v>142</v>
      </c>
      <c r="M199" s="24" t="s">
        <v>167</v>
      </c>
      <c r="N199" s="70" t="s">
        <v>1231</v>
      </c>
      <c r="S199">
        <v>8</v>
      </c>
      <c r="T199">
        <v>2</v>
      </c>
      <c r="U199">
        <v>6</v>
      </c>
      <c r="V199" s="25">
        <v>0</v>
      </c>
      <c r="W199" s="32">
        <v>0</v>
      </c>
    </row>
    <row r="200" spans="1:23" x14ac:dyDescent="0.2">
      <c r="A200" s="24"/>
      <c r="B200" s="24"/>
      <c r="C200" s="24"/>
      <c r="D200" s="24"/>
      <c r="E200" s="24"/>
      <c r="F200" s="24"/>
      <c r="G200" s="24">
        <v>4</v>
      </c>
      <c r="H200" s="24">
        <v>1</v>
      </c>
      <c r="I200" s="24">
        <v>2</v>
      </c>
      <c r="J200" s="24" t="s">
        <v>1065</v>
      </c>
      <c r="K200" s="24" t="s">
        <v>354</v>
      </c>
      <c r="L200" s="24" t="s">
        <v>142</v>
      </c>
      <c r="M200" s="24" t="s">
        <v>167</v>
      </c>
      <c r="N200" s="70" t="s">
        <v>1231</v>
      </c>
      <c r="V200" s="24"/>
      <c r="W200" s="31"/>
    </row>
    <row r="201" spans="1:23" x14ac:dyDescent="0.2">
      <c r="A201" s="24"/>
      <c r="B201" s="24"/>
      <c r="C201" s="24"/>
      <c r="D201" s="24"/>
      <c r="E201" s="24"/>
      <c r="F201" s="24"/>
      <c r="G201" s="24">
        <v>4</v>
      </c>
      <c r="H201" s="24">
        <v>1</v>
      </c>
      <c r="I201" s="24">
        <v>2</v>
      </c>
      <c r="J201" s="24" t="s">
        <v>1066</v>
      </c>
      <c r="K201" s="24" t="s">
        <v>355</v>
      </c>
      <c r="L201" s="24" t="s">
        <v>142</v>
      </c>
      <c r="M201" s="24" t="s">
        <v>167</v>
      </c>
      <c r="N201" s="70" t="s">
        <v>1231</v>
      </c>
      <c r="V201" s="25"/>
      <c r="W201" s="31"/>
    </row>
    <row r="202" spans="1:23" x14ac:dyDescent="0.2">
      <c r="A202" s="24"/>
      <c r="B202" s="24"/>
      <c r="C202" s="24"/>
      <c r="D202" s="24"/>
      <c r="E202" s="24"/>
      <c r="F202" s="24"/>
      <c r="G202" s="24">
        <v>4</v>
      </c>
      <c r="H202" s="24">
        <v>1</v>
      </c>
      <c r="I202" s="24">
        <v>2</v>
      </c>
      <c r="J202" s="24" t="s">
        <v>1067</v>
      </c>
      <c r="K202" s="24" t="s">
        <v>356</v>
      </c>
      <c r="L202" s="24" t="s">
        <v>142</v>
      </c>
      <c r="M202" s="24" t="s">
        <v>167</v>
      </c>
      <c r="N202" s="70" t="s">
        <v>1231</v>
      </c>
      <c r="V202" s="25"/>
      <c r="W202" s="31"/>
    </row>
    <row r="203" spans="1:23" x14ac:dyDescent="0.2">
      <c r="A203" s="24"/>
      <c r="B203" s="24"/>
      <c r="C203" s="24"/>
      <c r="D203" s="24"/>
      <c r="E203" s="24"/>
      <c r="F203" s="24"/>
      <c r="G203" s="24">
        <v>5</v>
      </c>
      <c r="H203" s="24">
        <v>1</v>
      </c>
      <c r="I203" s="24">
        <v>2</v>
      </c>
      <c r="J203" s="24" t="s">
        <v>1078</v>
      </c>
      <c r="K203" s="24" t="s">
        <v>367</v>
      </c>
      <c r="L203" s="24" t="s">
        <v>142</v>
      </c>
      <c r="M203" s="24" t="s">
        <v>167</v>
      </c>
      <c r="N203" s="70" t="s">
        <v>1231</v>
      </c>
      <c r="V203" s="25"/>
      <c r="W203" s="31"/>
    </row>
    <row r="204" spans="1:23" x14ac:dyDescent="0.2">
      <c r="A204" s="24"/>
      <c r="B204" s="24"/>
      <c r="C204" s="24"/>
      <c r="D204" s="24"/>
      <c r="E204" s="24"/>
      <c r="F204" s="24"/>
      <c r="G204" s="24">
        <v>5</v>
      </c>
      <c r="H204" s="24">
        <v>1</v>
      </c>
      <c r="I204" s="24">
        <v>2</v>
      </c>
      <c r="J204" s="24" t="s">
        <v>1079</v>
      </c>
      <c r="K204" s="24" t="s">
        <v>368</v>
      </c>
      <c r="L204" s="24" t="s">
        <v>142</v>
      </c>
      <c r="M204" s="24" t="s">
        <v>167</v>
      </c>
      <c r="N204" s="70" t="s">
        <v>1231</v>
      </c>
      <c r="V204" s="25"/>
      <c r="W204" s="31"/>
    </row>
    <row r="205" spans="1:23" x14ac:dyDescent="0.2">
      <c r="A205" s="24"/>
      <c r="B205" s="24"/>
      <c r="C205" s="24"/>
      <c r="D205" s="24"/>
      <c r="E205" s="24"/>
      <c r="F205" s="24"/>
      <c r="G205" s="24">
        <v>5</v>
      </c>
      <c r="H205" s="24">
        <v>1</v>
      </c>
      <c r="I205" s="24">
        <v>2</v>
      </c>
      <c r="J205" s="24" t="s">
        <v>1080</v>
      </c>
      <c r="K205" s="24" t="s">
        <v>369</v>
      </c>
      <c r="L205" s="24" t="s">
        <v>142</v>
      </c>
      <c r="M205" s="24" t="s">
        <v>167</v>
      </c>
      <c r="N205" s="70" t="s">
        <v>1231</v>
      </c>
      <c r="V205" s="25"/>
      <c r="W205" s="31"/>
    </row>
    <row r="206" spans="1:23" x14ac:dyDescent="0.2">
      <c r="A206" s="24"/>
      <c r="B206" s="24"/>
      <c r="C206" s="24"/>
      <c r="D206" s="24"/>
      <c r="E206" s="24"/>
      <c r="F206" s="24"/>
      <c r="G206" s="24">
        <v>5</v>
      </c>
      <c r="H206" s="24">
        <v>1</v>
      </c>
      <c r="I206" s="24">
        <v>2</v>
      </c>
      <c r="J206" s="24" t="s">
        <v>1081</v>
      </c>
      <c r="K206" s="24" t="s">
        <v>370</v>
      </c>
      <c r="L206" s="24" t="s">
        <v>142</v>
      </c>
      <c r="M206" s="24" t="s">
        <v>167</v>
      </c>
      <c r="N206" s="70" t="s">
        <v>1231</v>
      </c>
      <c r="V206" s="25"/>
      <c r="W206" s="31"/>
    </row>
    <row r="207" spans="1:23" x14ac:dyDescent="0.2">
      <c r="A207" s="24"/>
      <c r="B207" s="24"/>
      <c r="C207" s="24"/>
      <c r="D207" s="24"/>
      <c r="E207" s="24"/>
      <c r="F207" s="24"/>
      <c r="G207" s="24">
        <v>5</v>
      </c>
      <c r="H207" s="24">
        <v>1</v>
      </c>
      <c r="I207" s="24">
        <v>2</v>
      </c>
      <c r="J207" s="24" t="s">
        <v>1082</v>
      </c>
      <c r="K207" s="24" t="s">
        <v>371</v>
      </c>
      <c r="L207" s="24" t="s">
        <v>142</v>
      </c>
      <c r="M207" s="24" t="s">
        <v>167</v>
      </c>
      <c r="N207" s="70" t="s">
        <v>1231</v>
      </c>
      <c r="V207" s="25"/>
      <c r="W207" s="31"/>
    </row>
    <row r="208" spans="1:23" x14ac:dyDescent="0.2">
      <c r="A208" s="24"/>
      <c r="B208" s="24"/>
      <c r="C208" s="24"/>
      <c r="D208" s="24"/>
      <c r="E208" s="24"/>
      <c r="F208" s="24"/>
      <c r="G208" s="24">
        <v>6</v>
      </c>
      <c r="H208" s="24">
        <v>1</v>
      </c>
      <c r="I208" s="24">
        <v>2</v>
      </c>
      <c r="J208" s="24" t="s">
        <v>1093</v>
      </c>
      <c r="K208" s="24" t="s">
        <v>382</v>
      </c>
      <c r="L208" s="24" t="s">
        <v>142</v>
      </c>
      <c r="M208" s="24" t="s">
        <v>168</v>
      </c>
      <c r="N208" s="70" t="s">
        <v>1231</v>
      </c>
      <c r="V208" s="25"/>
      <c r="W208" s="31"/>
    </row>
    <row r="209" spans="1:23" x14ac:dyDescent="0.2">
      <c r="A209" s="24"/>
      <c r="B209" s="24"/>
      <c r="C209" s="24"/>
      <c r="D209" s="24"/>
      <c r="E209" s="24"/>
      <c r="F209" s="24"/>
      <c r="G209" s="24">
        <v>6</v>
      </c>
      <c r="H209" s="24">
        <v>1</v>
      </c>
      <c r="I209" s="24">
        <v>2</v>
      </c>
      <c r="J209" s="24" t="s">
        <v>1094</v>
      </c>
      <c r="K209" s="24" t="s">
        <v>383</v>
      </c>
      <c r="L209" s="24" t="s">
        <v>142</v>
      </c>
      <c r="M209" s="24" t="s">
        <v>168</v>
      </c>
      <c r="N209" s="70" t="s">
        <v>1231</v>
      </c>
      <c r="V209" s="25"/>
      <c r="W209" s="31"/>
    </row>
    <row r="210" spans="1:23" x14ac:dyDescent="0.2">
      <c r="A210" s="24"/>
      <c r="B210" s="24"/>
      <c r="C210" s="24"/>
      <c r="D210" s="24"/>
      <c r="E210" s="24"/>
      <c r="F210" s="24"/>
      <c r="G210" s="24">
        <v>6</v>
      </c>
      <c r="H210" s="24">
        <v>1</v>
      </c>
      <c r="I210" s="24">
        <v>2</v>
      </c>
      <c r="J210" s="24" t="s">
        <v>1095</v>
      </c>
      <c r="K210" s="24" t="s">
        <v>384</v>
      </c>
      <c r="L210" s="24" t="s">
        <v>142</v>
      </c>
      <c r="M210" s="24" t="s">
        <v>168</v>
      </c>
      <c r="N210" s="70" t="s">
        <v>1231</v>
      </c>
      <c r="V210" s="25"/>
      <c r="W210" s="31"/>
    </row>
    <row r="211" spans="1:23" x14ac:dyDescent="0.2">
      <c r="A211" s="24"/>
      <c r="B211" s="24"/>
      <c r="C211" s="24"/>
      <c r="D211" s="24"/>
      <c r="E211" s="24"/>
      <c r="F211" s="24"/>
      <c r="G211" s="24">
        <v>6</v>
      </c>
      <c r="H211" s="24">
        <v>1</v>
      </c>
      <c r="I211" s="24">
        <v>2</v>
      </c>
      <c r="J211" s="24" t="s">
        <v>1096</v>
      </c>
      <c r="K211" s="24" t="s">
        <v>385</v>
      </c>
      <c r="L211" s="24" t="s">
        <v>142</v>
      </c>
      <c r="M211" s="24" t="s">
        <v>168</v>
      </c>
      <c r="N211" s="70" t="s">
        <v>1231</v>
      </c>
      <c r="V211" s="25"/>
      <c r="W211" s="31"/>
    </row>
    <row r="212" spans="1:23" x14ac:dyDescent="0.2">
      <c r="A212" s="24"/>
      <c r="B212" s="24"/>
      <c r="C212" s="24"/>
      <c r="D212" s="24"/>
      <c r="E212" s="24"/>
      <c r="F212" s="24"/>
      <c r="G212" s="24">
        <v>6</v>
      </c>
      <c r="H212" s="24">
        <v>1</v>
      </c>
      <c r="I212" s="24">
        <v>2</v>
      </c>
      <c r="J212" s="24" t="s">
        <v>1097</v>
      </c>
      <c r="K212" s="24" t="s">
        <v>386</v>
      </c>
      <c r="L212" s="24" t="s">
        <v>142</v>
      </c>
      <c r="M212" s="24" t="s">
        <v>168</v>
      </c>
      <c r="N212" s="70" t="s">
        <v>1231</v>
      </c>
      <c r="V212" s="25"/>
      <c r="W212" s="31"/>
    </row>
    <row r="213" spans="1:23" ht="15" x14ac:dyDescent="0.2">
      <c r="A213" s="68">
        <v>0</v>
      </c>
      <c r="B213" s="68">
        <v>2</v>
      </c>
      <c r="C213" s="68">
        <v>0</v>
      </c>
      <c r="D213" s="69">
        <v>825220162</v>
      </c>
      <c r="E213" s="69" t="s">
        <v>144</v>
      </c>
      <c r="F213" s="24" t="s">
        <v>160</v>
      </c>
      <c r="G213" s="24">
        <v>0</v>
      </c>
      <c r="H213" s="24">
        <v>2</v>
      </c>
      <c r="I213" s="24">
        <v>0</v>
      </c>
      <c r="J213" s="24" t="s">
        <v>1098</v>
      </c>
      <c r="K213" s="24" t="s">
        <v>387</v>
      </c>
      <c r="L213" s="24" t="s">
        <v>142</v>
      </c>
      <c r="M213" s="24" t="s">
        <v>169</v>
      </c>
      <c r="N213" s="25">
        <v>0</v>
      </c>
      <c r="V213" s="25"/>
      <c r="W213" s="31"/>
    </row>
    <row r="214" spans="1:23" ht="15" x14ac:dyDescent="0.2">
      <c r="A214" s="68">
        <v>0</v>
      </c>
      <c r="B214" s="68">
        <v>2</v>
      </c>
      <c r="C214" s="68">
        <v>0</v>
      </c>
      <c r="D214" s="69">
        <v>825220183</v>
      </c>
      <c r="E214" s="69" t="s">
        <v>144</v>
      </c>
      <c r="F214" s="24" t="s">
        <v>160</v>
      </c>
      <c r="G214" s="24">
        <v>0</v>
      </c>
      <c r="H214" s="24">
        <v>2</v>
      </c>
      <c r="I214" s="24">
        <v>0</v>
      </c>
      <c r="J214" s="24" t="s">
        <v>1099</v>
      </c>
      <c r="K214" s="24" t="s">
        <v>388</v>
      </c>
      <c r="L214" s="24" t="s">
        <v>142</v>
      </c>
      <c r="M214" s="24" t="s">
        <v>169</v>
      </c>
      <c r="N214" s="25">
        <v>0</v>
      </c>
      <c r="V214" s="25"/>
      <c r="W214" s="31"/>
    </row>
    <row r="215" spans="1:23" ht="15" x14ac:dyDescent="0.2">
      <c r="A215" s="68">
        <v>0</v>
      </c>
      <c r="B215" s="68">
        <v>2</v>
      </c>
      <c r="C215" s="68">
        <v>0</v>
      </c>
      <c r="D215" s="69">
        <v>535220079</v>
      </c>
      <c r="E215" s="69" t="s">
        <v>144</v>
      </c>
      <c r="F215" s="24" t="s">
        <v>168</v>
      </c>
      <c r="G215" s="24">
        <v>0</v>
      </c>
      <c r="H215" s="24">
        <v>2</v>
      </c>
      <c r="I215" s="24">
        <v>0</v>
      </c>
      <c r="J215" s="24" t="s">
        <v>1100</v>
      </c>
      <c r="K215" s="24" t="s">
        <v>389</v>
      </c>
      <c r="L215" s="24" t="s">
        <v>142</v>
      </c>
      <c r="M215" s="24" t="s">
        <v>169</v>
      </c>
      <c r="N215" s="25">
        <v>0</v>
      </c>
      <c r="V215" s="25"/>
      <c r="W215" s="31"/>
    </row>
    <row r="216" spans="1:23" ht="15" x14ac:dyDescent="0.2">
      <c r="A216" s="68">
        <v>0</v>
      </c>
      <c r="B216" s="68">
        <v>2</v>
      </c>
      <c r="C216" s="68">
        <v>0</v>
      </c>
      <c r="D216" s="69">
        <v>535220016</v>
      </c>
      <c r="E216" s="69" t="s">
        <v>142</v>
      </c>
      <c r="F216" s="24" t="s">
        <v>169</v>
      </c>
      <c r="G216" s="24">
        <v>0</v>
      </c>
      <c r="H216" s="24">
        <v>2</v>
      </c>
      <c r="I216" s="24">
        <v>0</v>
      </c>
      <c r="J216" s="24" t="s">
        <v>1101</v>
      </c>
      <c r="K216" s="24" t="s">
        <v>390</v>
      </c>
      <c r="L216" s="24" t="s">
        <v>142</v>
      </c>
      <c r="M216" s="24" t="s">
        <v>169</v>
      </c>
      <c r="N216" s="25">
        <v>1</v>
      </c>
      <c r="V216" s="25"/>
      <c r="W216" s="31"/>
    </row>
    <row r="217" spans="1:23" ht="15" x14ac:dyDescent="0.2">
      <c r="A217" s="68">
        <v>0</v>
      </c>
      <c r="B217" s="68">
        <v>2</v>
      </c>
      <c r="C217" s="68">
        <v>0</v>
      </c>
      <c r="D217" s="69">
        <v>535220018</v>
      </c>
      <c r="E217" s="69" t="s">
        <v>142</v>
      </c>
      <c r="F217" s="24" t="s">
        <v>169</v>
      </c>
      <c r="G217" s="24">
        <v>0</v>
      </c>
      <c r="H217" s="24">
        <v>2</v>
      </c>
      <c r="I217" s="24">
        <v>0</v>
      </c>
      <c r="J217" s="24" t="s">
        <v>1102</v>
      </c>
      <c r="K217" s="24" t="s">
        <v>391</v>
      </c>
      <c r="L217" s="24" t="s">
        <v>142</v>
      </c>
      <c r="M217" s="24" t="s">
        <v>169</v>
      </c>
      <c r="N217" s="25">
        <v>1</v>
      </c>
      <c r="V217" s="25"/>
      <c r="W217" s="31"/>
    </row>
    <row r="218" spans="1:23" x14ac:dyDescent="0.2">
      <c r="A218" s="24"/>
      <c r="B218" s="24"/>
      <c r="C218" s="24"/>
      <c r="D218" s="24"/>
      <c r="E218" s="24"/>
      <c r="F218" s="24"/>
      <c r="G218" s="24">
        <v>1</v>
      </c>
      <c r="H218" s="24">
        <v>2</v>
      </c>
      <c r="I218" s="24">
        <v>0</v>
      </c>
      <c r="J218" s="24" t="s">
        <v>1113</v>
      </c>
      <c r="K218" s="24" t="s">
        <v>402</v>
      </c>
      <c r="L218" s="24" t="s">
        <v>142</v>
      </c>
      <c r="M218" s="24" t="s">
        <v>169</v>
      </c>
      <c r="N218" s="27" t="s">
        <v>1231</v>
      </c>
      <c r="V218" s="25"/>
      <c r="W218" s="31"/>
    </row>
    <row r="219" spans="1:23" x14ac:dyDescent="0.2">
      <c r="A219" s="24"/>
      <c r="B219" s="24"/>
      <c r="C219" s="24"/>
      <c r="D219" s="24"/>
      <c r="E219" s="24"/>
      <c r="F219" s="24"/>
      <c r="G219" s="24">
        <v>1</v>
      </c>
      <c r="H219" s="24">
        <v>2</v>
      </c>
      <c r="I219" s="24">
        <v>0</v>
      </c>
      <c r="J219" s="24" t="s">
        <v>1114</v>
      </c>
      <c r="K219" s="24" t="s">
        <v>403</v>
      </c>
      <c r="L219" s="24" t="s">
        <v>142</v>
      </c>
      <c r="M219" s="24" t="s">
        <v>169</v>
      </c>
      <c r="N219" s="27" t="s">
        <v>1231</v>
      </c>
      <c r="V219" s="25"/>
      <c r="W219" s="31"/>
    </row>
    <row r="220" spans="1:23" x14ac:dyDescent="0.2">
      <c r="A220" s="24"/>
      <c r="B220" s="24"/>
      <c r="C220" s="24"/>
      <c r="D220" s="24"/>
      <c r="E220" s="24"/>
      <c r="F220" s="24"/>
      <c r="G220" s="24">
        <v>1</v>
      </c>
      <c r="H220" s="24">
        <v>2</v>
      </c>
      <c r="I220" s="24">
        <v>0</v>
      </c>
      <c r="J220" s="24" t="s">
        <v>1115</v>
      </c>
      <c r="K220" s="24" t="s">
        <v>404</v>
      </c>
      <c r="L220" s="24" t="s">
        <v>142</v>
      </c>
      <c r="M220" s="24" t="s">
        <v>169</v>
      </c>
      <c r="N220" s="27" t="s">
        <v>1231</v>
      </c>
      <c r="V220" s="25"/>
      <c r="W220" s="31"/>
    </row>
    <row r="221" spans="1:23" x14ac:dyDescent="0.2">
      <c r="A221" s="24"/>
      <c r="B221" s="24"/>
      <c r="C221" s="24"/>
      <c r="D221" s="24"/>
      <c r="E221" s="24"/>
      <c r="F221" s="24"/>
      <c r="G221" s="24">
        <v>1</v>
      </c>
      <c r="H221" s="24">
        <v>2</v>
      </c>
      <c r="I221" s="24">
        <v>0</v>
      </c>
      <c r="J221" s="24" t="s">
        <v>1116</v>
      </c>
      <c r="K221" s="24" t="s">
        <v>405</v>
      </c>
      <c r="L221" s="24" t="s">
        <v>142</v>
      </c>
      <c r="M221" s="24" t="s">
        <v>169</v>
      </c>
      <c r="N221" s="27" t="s">
        <v>1231</v>
      </c>
      <c r="V221" s="25"/>
      <c r="W221" s="31"/>
    </row>
    <row r="222" spans="1:23" x14ac:dyDescent="0.2">
      <c r="A222" s="24"/>
      <c r="B222" s="24"/>
      <c r="C222" s="24"/>
      <c r="D222" s="24"/>
      <c r="E222" s="24"/>
      <c r="F222" s="24"/>
      <c r="G222" s="24">
        <v>1</v>
      </c>
      <c r="H222" s="24">
        <v>2</v>
      </c>
      <c r="I222" s="24">
        <v>0</v>
      </c>
      <c r="J222" s="24" t="s">
        <v>1117</v>
      </c>
      <c r="K222" s="24" t="s">
        <v>406</v>
      </c>
      <c r="L222" s="24" t="s">
        <v>142</v>
      </c>
      <c r="M222" s="24" t="s">
        <v>169</v>
      </c>
      <c r="N222" s="27" t="s">
        <v>1231</v>
      </c>
      <c r="V222" s="24"/>
      <c r="W222" s="31"/>
    </row>
    <row r="223" spans="1:23" x14ac:dyDescent="0.2">
      <c r="A223" s="24"/>
      <c r="B223" s="24"/>
      <c r="C223" s="24"/>
      <c r="D223" s="24"/>
      <c r="E223" s="24"/>
      <c r="F223" s="24"/>
      <c r="G223" s="24">
        <v>2</v>
      </c>
      <c r="H223" s="24">
        <v>2</v>
      </c>
      <c r="I223" s="24">
        <v>0</v>
      </c>
      <c r="J223" s="24" t="s">
        <v>1128</v>
      </c>
      <c r="K223" s="24" t="s">
        <v>417</v>
      </c>
      <c r="L223" s="24" t="s">
        <v>142</v>
      </c>
      <c r="M223" s="24" t="s">
        <v>169</v>
      </c>
      <c r="N223" s="27" t="s">
        <v>1231</v>
      </c>
      <c r="V223" s="24"/>
      <c r="W223" s="31"/>
    </row>
    <row r="224" spans="1:23" x14ac:dyDescent="0.2">
      <c r="A224" s="24"/>
      <c r="B224" s="24"/>
      <c r="C224" s="24"/>
      <c r="D224" s="24"/>
      <c r="E224" s="24"/>
      <c r="F224" s="24"/>
      <c r="G224" s="24">
        <v>2</v>
      </c>
      <c r="H224" s="24">
        <v>2</v>
      </c>
      <c r="I224" s="24">
        <v>0</v>
      </c>
      <c r="J224" s="24" t="s">
        <v>1129</v>
      </c>
      <c r="K224" s="24" t="s">
        <v>418</v>
      </c>
      <c r="L224" s="24" t="s">
        <v>143</v>
      </c>
      <c r="M224" s="24" t="s">
        <v>169</v>
      </c>
      <c r="N224" s="27" t="s">
        <v>1231</v>
      </c>
      <c r="V224" s="24"/>
      <c r="W224" s="31"/>
    </row>
    <row r="225" spans="1:23" x14ac:dyDescent="0.2">
      <c r="A225" s="24"/>
      <c r="B225" s="24"/>
      <c r="C225" s="24"/>
      <c r="D225" s="24"/>
      <c r="E225" s="24"/>
      <c r="F225" s="24"/>
      <c r="G225" s="24">
        <v>2</v>
      </c>
      <c r="H225" s="24">
        <v>2</v>
      </c>
      <c r="I225" s="24">
        <v>0</v>
      </c>
      <c r="J225" s="24" t="s">
        <v>1130</v>
      </c>
      <c r="K225" s="24" t="s">
        <v>419</v>
      </c>
      <c r="L225" s="24" t="s">
        <v>143</v>
      </c>
      <c r="M225" s="24" t="s">
        <v>169</v>
      </c>
      <c r="N225" s="27" t="s">
        <v>1231</v>
      </c>
      <c r="V225" s="24"/>
      <c r="W225" s="31"/>
    </row>
    <row r="226" spans="1:23" x14ac:dyDescent="0.2">
      <c r="A226" s="24"/>
      <c r="B226" s="24"/>
      <c r="C226" s="24"/>
      <c r="D226" s="24"/>
      <c r="E226" s="24"/>
      <c r="F226" s="24"/>
      <c r="G226" s="24">
        <v>2</v>
      </c>
      <c r="H226" s="24">
        <v>2</v>
      </c>
      <c r="I226" s="24">
        <v>0</v>
      </c>
      <c r="J226" s="24" t="s">
        <v>1131</v>
      </c>
      <c r="K226" s="24" t="s">
        <v>420</v>
      </c>
      <c r="L226" s="24" t="s">
        <v>143</v>
      </c>
      <c r="M226" s="24" t="s">
        <v>169</v>
      </c>
      <c r="N226" s="27" t="s">
        <v>1231</v>
      </c>
      <c r="V226" s="24"/>
      <c r="W226" s="31"/>
    </row>
    <row r="227" spans="1:23" x14ac:dyDescent="0.2">
      <c r="A227" s="24"/>
      <c r="B227" s="24"/>
      <c r="C227" s="24"/>
      <c r="D227" s="24"/>
      <c r="E227" s="24"/>
      <c r="F227" s="24"/>
      <c r="G227" s="24">
        <v>2</v>
      </c>
      <c r="H227" s="24">
        <v>2</v>
      </c>
      <c r="I227" s="24">
        <v>0</v>
      </c>
      <c r="J227" s="24" t="s">
        <v>1132</v>
      </c>
      <c r="K227" s="24" t="s">
        <v>421</v>
      </c>
      <c r="L227" s="24" t="s">
        <v>143</v>
      </c>
      <c r="M227" s="24" t="s">
        <v>169</v>
      </c>
      <c r="N227" s="27" t="s">
        <v>1231</v>
      </c>
      <c r="V227" s="24"/>
      <c r="W227" s="31"/>
    </row>
    <row r="228" spans="1:23" x14ac:dyDescent="0.2">
      <c r="A228" s="24"/>
      <c r="B228" s="24"/>
      <c r="C228" s="24"/>
      <c r="D228" s="24"/>
      <c r="E228" s="24"/>
      <c r="F228" s="24"/>
      <c r="G228" s="24">
        <v>3</v>
      </c>
      <c r="H228" s="24">
        <v>2</v>
      </c>
      <c r="I228" s="24">
        <v>0</v>
      </c>
      <c r="J228" s="24" t="s">
        <v>961</v>
      </c>
      <c r="K228" s="24" t="s">
        <v>427</v>
      </c>
      <c r="L228" s="24" t="s">
        <v>143</v>
      </c>
      <c r="M228" s="24" t="s">
        <v>169</v>
      </c>
      <c r="N228" s="27" t="s">
        <v>1231</v>
      </c>
      <c r="V228" s="24"/>
      <c r="W228" s="31"/>
    </row>
    <row r="229" spans="1:23" x14ac:dyDescent="0.2">
      <c r="A229" s="24"/>
      <c r="B229" s="24"/>
      <c r="C229" s="24"/>
      <c r="D229" s="24"/>
      <c r="E229" s="24"/>
      <c r="F229" s="24"/>
      <c r="G229" s="24">
        <v>3</v>
      </c>
      <c r="H229" s="24">
        <v>2</v>
      </c>
      <c r="I229" s="24">
        <v>0</v>
      </c>
      <c r="J229" s="24" t="s">
        <v>1138</v>
      </c>
      <c r="K229" s="24" t="s">
        <v>428</v>
      </c>
      <c r="L229" s="24" t="s">
        <v>143</v>
      </c>
      <c r="M229" s="24" t="s">
        <v>168</v>
      </c>
      <c r="N229" s="27" t="s">
        <v>1231</v>
      </c>
      <c r="V229" s="24"/>
      <c r="W229" s="31"/>
    </row>
    <row r="230" spans="1:23" x14ac:dyDescent="0.2">
      <c r="A230" s="24"/>
      <c r="B230" s="24"/>
      <c r="C230" s="24"/>
      <c r="D230" s="24"/>
      <c r="E230" s="24"/>
      <c r="F230" s="24"/>
      <c r="G230" s="24">
        <v>3</v>
      </c>
      <c r="H230" s="24">
        <v>2</v>
      </c>
      <c r="I230" s="24">
        <v>0</v>
      </c>
      <c r="J230" s="24" t="s">
        <v>1139</v>
      </c>
      <c r="K230" s="24" t="s">
        <v>429</v>
      </c>
      <c r="L230" s="24" t="s">
        <v>144</v>
      </c>
      <c r="M230" s="24" t="s">
        <v>168</v>
      </c>
      <c r="N230" s="27" t="s">
        <v>1231</v>
      </c>
      <c r="V230" s="24"/>
      <c r="W230" s="31"/>
    </row>
    <row r="231" spans="1:23" ht="15" x14ac:dyDescent="0.2">
      <c r="A231" s="68">
        <v>0</v>
      </c>
      <c r="B231" s="68">
        <v>2</v>
      </c>
      <c r="C231" s="68">
        <v>1</v>
      </c>
      <c r="D231" s="69">
        <v>535220152</v>
      </c>
      <c r="E231" s="69" t="s">
        <v>142</v>
      </c>
      <c r="F231" s="24" t="s">
        <v>164</v>
      </c>
      <c r="G231" s="24">
        <v>0</v>
      </c>
      <c r="H231" s="24">
        <v>2</v>
      </c>
      <c r="I231" s="24">
        <v>1</v>
      </c>
      <c r="J231" s="24" t="s">
        <v>1103</v>
      </c>
      <c r="K231" s="24" t="s">
        <v>392</v>
      </c>
      <c r="L231" s="24" t="s">
        <v>142</v>
      </c>
      <c r="M231" s="24" t="s">
        <v>164</v>
      </c>
      <c r="N231" s="25">
        <v>1</v>
      </c>
      <c r="V231" s="24"/>
      <c r="W231" s="31"/>
    </row>
    <row r="232" spans="1:23" ht="15" x14ac:dyDescent="0.2">
      <c r="A232" s="68">
        <v>0</v>
      </c>
      <c r="B232" s="68">
        <v>2</v>
      </c>
      <c r="C232" s="68">
        <v>1</v>
      </c>
      <c r="D232" s="69">
        <v>535220154</v>
      </c>
      <c r="E232" s="69" t="s">
        <v>142</v>
      </c>
      <c r="F232" s="24" t="s">
        <v>164</v>
      </c>
      <c r="G232" s="24">
        <v>0</v>
      </c>
      <c r="H232" s="24">
        <v>2</v>
      </c>
      <c r="I232" s="24">
        <v>1</v>
      </c>
      <c r="J232" s="24" t="s">
        <v>1104</v>
      </c>
      <c r="K232" s="24" t="s">
        <v>393</v>
      </c>
      <c r="L232" s="24" t="s">
        <v>142</v>
      </c>
      <c r="M232" s="24" t="s">
        <v>164</v>
      </c>
      <c r="N232" s="25">
        <v>1</v>
      </c>
      <c r="V232" s="24"/>
      <c r="W232" s="31"/>
    </row>
    <row r="233" spans="1:23" ht="15" x14ac:dyDescent="0.2">
      <c r="A233" s="68">
        <v>0</v>
      </c>
      <c r="B233" s="68">
        <v>2</v>
      </c>
      <c r="C233" s="68">
        <v>1</v>
      </c>
      <c r="D233" s="69">
        <v>535220191</v>
      </c>
      <c r="E233" s="69" t="s">
        <v>142</v>
      </c>
      <c r="F233" s="24" t="s">
        <v>164</v>
      </c>
      <c r="G233" s="24">
        <v>0</v>
      </c>
      <c r="H233" s="24">
        <v>2</v>
      </c>
      <c r="I233" s="24">
        <v>1</v>
      </c>
      <c r="J233" s="24" t="s">
        <v>1105</v>
      </c>
      <c r="K233" s="24" t="s">
        <v>394</v>
      </c>
      <c r="L233" s="24" t="s">
        <v>142</v>
      </c>
      <c r="M233" s="24" t="s">
        <v>164</v>
      </c>
      <c r="N233" s="25">
        <v>1</v>
      </c>
      <c r="V233" s="24"/>
      <c r="W233" s="31"/>
    </row>
    <row r="234" spans="1:23" ht="15" x14ac:dyDescent="0.2">
      <c r="A234" s="68">
        <v>0</v>
      </c>
      <c r="B234" s="68">
        <v>2</v>
      </c>
      <c r="C234" s="68">
        <v>1</v>
      </c>
      <c r="D234" s="69">
        <v>535220206</v>
      </c>
      <c r="E234" s="69" t="s">
        <v>142</v>
      </c>
      <c r="F234" s="24" t="s">
        <v>164</v>
      </c>
      <c r="G234" s="24">
        <v>0</v>
      </c>
      <c r="H234" s="24">
        <v>2</v>
      </c>
      <c r="I234" s="24">
        <v>1</v>
      </c>
      <c r="J234" s="24" t="s">
        <v>1106</v>
      </c>
      <c r="K234" s="24" t="s">
        <v>395</v>
      </c>
      <c r="L234" s="24" t="s">
        <v>142</v>
      </c>
      <c r="M234" s="24" t="s">
        <v>164</v>
      </c>
      <c r="N234" s="25">
        <v>1</v>
      </c>
      <c r="V234" s="24"/>
      <c r="W234" s="31"/>
    </row>
    <row r="235" spans="1:23" ht="15" x14ac:dyDescent="0.2">
      <c r="A235" s="68">
        <v>0</v>
      </c>
      <c r="B235" s="68">
        <v>2</v>
      </c>
      <c r="C235" s="68">
        <v>1</v>
      </c>
      <c r="D235" s="69">
        <v>535220210</v>
      </c>
      <c r="E235" s="69" t="s">
        <v>142</v>
      </c>
      <c r="F235" s="24" t="s">
        <v>164</v>
      </c>
      <c r="G235" s="24">
        <v>0</v>
      </c>
      <c r="H235" s="24">
        <v>2</v>
      </c>
      <c r="I235" s="24">
        <v>1</v>
      </c>
      <c r="J235" s="24" t="s">
        <v>1107</v>
      </c>
      <c r="K235" s="24" t="s">
        <v>396</v>
      </c>
      <c r="L235" s="24" t="s">
        <v>142</v>
      </c>
      <c r="M235" s="24" t="s">
        <v>164</v>
      </c>
      <c r="N235" s="25">
        <v>1</v>
      </c>
      <c r="V235" s="24"/>
      <c r="W235" s="31"/>
    </row>
    <row r="236" spans="1:23" ht="15" x14ac:dyDescent="0.2">
      <c r="A236" s="68">
        <v>1</v>
      </c>
      <c r="B236" s="68">
        <v>2</v>
      </c>
      <c r="C236" s="68">
        <v>1</v>
      </c>
      <c r="D236" s="69">
        <v>535220213</v>
      </c>
      <c r="E236" s="69" t="s">
        <v>142</v>
      </c>
      <c r="F236" s="24" t="s">
        <v>164</v>
      </c>
      <c r="G236" s="24">
        <v>1</v>
      </c>
      <c r="H236" s="24">
        <v>2</v>
      </c>
      <c r="I236" s="24">
        <v>1</v>
      </c>
      <c r="J236" s="24" t="s">
        <v>1118</v>
      </c>
      <c r="K236" s="24" t="s">
        <v>407</v>
      </c>
      <c r="L236" s="24" t="s">
        <v>142</v>
      </c>
      <c r="M236" s="24" t="s">
        <v>164</v>
      </c>
      <c r="N236" s="25">
        <v>1</v>
      </c>
      <c r="V236" s="24"/>
      <c r="W236" s="31"/>
    </row>
    <row r="237" spans="1:23" ht="15" x14ac:dyDescent="0.2">
      <c r="A237" s="68">
        <v>1</v>
      </c>
      <c r="B237" s="68">
        <v>2</v>
      </c>
      <c r="C237" s="68">
        <v>1</v>
      </c>
      <c r="D237" s="69">
        <v>535220247</v>
      </c>
      <c r="E237" s="69" t="s">
        <v>142</v>
      </c>
      <c r="F237" s="24" t="s">
        <v>164</v>
      </c>
      <c r="G237" s="24">
        <v>1</v>
      </c>
      <c r="H237" s="24">
        <v>2</v>
      </c>
      <c r="I237" s="24">
        <v>1</v>
      </c>
      <c r="J237" s="24" t="s">
        <v>1119</v>
      </c>
      <c r="K237" s="24" t="s">
        <v>408</v>
      </c>
      <c r="L237" s="24" t="s">
        <v>142</v>
      </c>
      <c r="M237" s="24" t="s">
        <v>164</v>
      </c>
      <c r="N237" s="25">
        <v>1</v>
      </c>
      <c r="V237" s="24"/>
      <c r="W237" s="31"/>
    </row>
    <row r="238" spans="1:23" ht="15" x14ac:dyDescent="0.2">
      <c r="A238" s="68">
        <v>1</v>
      </c>
      <c r="B238" s="68">
        <v>2</v>
      </c>
      <c r="C238" s="68">
        <v>1</v>
      </c>
      <c r="D238" s="69">
        <v>535220014</v>
      </c>
      <c r="E238" s="69" t="s">
        <v>142</v>
      </c>
      <c r="F238" s="24" t="s">
        <v>165</v>
      </c>
      <c r="G238" s="24">
        <v>1</v>
      </c>
      <c r="H238" s="24">
        <v>2</v>
      </c>
      <c r="I238" s="24">
        <v>1</v>
      </c>
      <c r="J238" s="24" t="s">
        <v>1120</v>
      </c>
      <c r="K238" s="24" t="s">
        <v>409</v>
      </c>
      <c r="L238" s="24" t="s">
        <v>142</v>
      </c>
      <c r="M238" s="24" t="s">
        <v>164</v>
      </c>
      <c r="N238" s="25">
        <v>0</v>
      </c>
      <c r="V238" s="24"/>
      <c r="W238" s="31"/>
    </row>
    <row r="239" spans="1:23" ht="15" x14ac:dyDescent="0.2">
      <c r="A239" s="68">
        <v>1</v>
      </c>
      <c r="B239" s="68">
        <v>2</v>
      </c>
      <c r="C239" s="68">
        <v>1</v>
      </c>
      <c r="D239" s="69">
        <v>535220020</v>
      </c>
      <c r="E239" s="69" t="s">
        <v>142</v>
      </c>
      <c r="F239" s="24" t="s">
        <v>165</v>
      </c>
      <c r="G239" s="24">
        <v>1</v>
      </c>
      <c r="H239" s="24">
        <v>2</v>
      </c>
      <c r="I239" s="24">
        <v>1</v>
      </c>
      <c r="J239" s="24" t="s">
        <v>1121</v>
      </c>
      <c r="K239" s="24" t="s">
        <v>410</v>
      </c>
      <c r="L239" s="24" t="s">
        <v>142</v>
      </c>
      <c r="M239" s="24" t="s">
        <v>164</v>
      </c>
      <c r="N239" s="25">
        <v>0</v>
      </c>
      <c r="V239" s="24"/>
      <c r="W239" s="31"/>
    </row>
    <row r="240" spans="1:23" ht="15" x14ac:dyDescent="0.2">
      <c r="A240" s="68">
        <v>1</v>
      </c>
      <c r="B240" s="68">
        <v>2</v>
      </c>
      <c r="C240" s="68">
        <v>1</v>
      </c>
      <c r="D240" s="69">
        <v>535220121</v>
      </c>
      <c r="E240" s="69" t="s">
        <v>142</v>
      </c>
      <c r="F240" s="24" t="s">
        <v>165</v>
      </c>
      <c r="G240" s="24">
        <v>1</v>
      </c>
      <c r="H240" s="24">
        <v>2</v>
      </c>
      <c r="I240" s="24">
        <v>1</v>
      </c>
      <c r="J240" s="24" t="s">
        <v>1122</v>
      </c>
      <c r="K240" s="24" t="s">
        <v>411</v>
      </c>
      <c r="L240" s="24" t="s">
        <v>142</v>
      </c>
      <c r="M240" s="24" t="s">
        <v>164</v>
      </c>
      <c r="N240" s="25">
        <v>0</v>
      </c>
      <c r="V240" s="24"/>
      <c r="W240" s="31"/>
    </row>
    <row r="241" spans="1:23" ht="15" x14ac:dyDescent="0.2">
      <c r="A241" s="68">
        <v>2</v>
      </c>
      <c r="B241" s="68">
        <v>2</v>
      </c>
      <c r="C241" s="68">
        <v>1</v>
      </c>
      <c r="D241" s="69">
        <v>535220021</v>
      </c>
      <c r="E241" s="69" t="s">
        <v>142</v>
      </c>
      <c r="F241" s="24" t="s">
        <v>163</v>
      </c>
      <c r="G241" s="24">
        <v>2</v>
      </c>
      <c r="H241" s="24">
        <v>2</v>
      </c>
      <c r="I241" s="24">
        <v>1</v>
      </c>
      <c r="J241" s="24" t="s">
        <v>1133</v>
      </c>
      <c r="K241" s="24" t="s">
        <v>422</v>
      </c>
      <c r="L241" s="24" t="s">
        <v>142</v>
      </c>
      <c r="M241" s="24" t="s">
        <v>168</v>
      </c>
      <c r="N241" s="25">
        <v>0</v>
      </c>
      <c r="V241" s="24"/>
      <c r="W241" s="31"/>
    </row>
    <row r="242" spans="1:23" ht="15" x14ac:dyDescent="0.2">
      <c r="A242" s="68">
        <v>2</v>
      </c>
      <c r="B242" s="68">
        <v>2</v>
      </c>
      <c r="C242" s="68">
        <v>1</v>
      </c>
      <c r="D242" s="69">
        <v>535220050</v>
      </c>
      <c r="E242" s="69" t="s">
        <v>142</v>
      </c>
      <c r="F242" s="24" t="s">
        <v>163</v>
      </c>
      <c r="G242" s="24">
        <v>2</v>
      </c>
      <c r="H242" s="24">
        <v>2</v>
      </c>
      <c r="I242" s="24">
        <v>1</v>
      </c>
      <c r="J242" s="24" t="s">
        <v>1134</v>
      </c>
      <c r="K242" s="24" t="s">
        <v>423</v>
      </c>
      <c r="L242" s="24" t="s">
        <v>142</v>
      </c>
      <c r="M242" s="24" t="s">
        <v>168</v>
      </c>
      <c r="N242" s="25">
        <v>0</v>
      </c>
      <c r="V242" s="24"/>
      <c r="W242" s="31"/>
    </row>
    <row r="243" spans="1:23" ht="15" x14ac:dyDescent="0.2">
      <c r="A243" s="68">
        <v>2</v>
      </c>
      <c r="B243" s="68">
        <v>2</v>
      </c>
      <c r="C243" s="68">
        <v>1</v>
      </c>
      <c r="D243" s="69">
        <v>535220076</v>
      </c>
      <c r="E243" s="69" t="s">
        <v>142</v>
      </c>
      <c r="F243" s="24" t="s">
        <v>163</v>
      </c>
      <c r="G243" s="24">
        <v>2</v>
      </c>
      <c r="H243" s="24">
        <v>2</v>
      </c>
      <c r="I243" s="24">
        <v>1</v>
      </c>
      <c r="J243" s="24" t="s">
        <v>1135</v>
      </c>
      <c r="K243" s="24" t="s">
        <v>424</v>
      </c>
      <c r="L243" s="24" t="s">
        <v>142</v>
      </c>
      <c r="M243" s="24" t="s">
        <v>168</v>
      </c>
      <c r="N243" s="25">
        <v>0</v>
      </c>
      <c r="V243" s="24"/>
      <c r="W243" s="31"/>
    </row>
    <row r="244" spans="1:23" ht="15" x14ac:dyDescent="0.2">
      <c r="A244" s="68">
        <v>2</v>
      </c>
      <c r="B244" s="68">
        <v>2</v>
      </c>
      <c r="C244" s="68">
        <v>1</v>
      </c>
      <c r="D244" s="69">
        <v>535220172</v>
      </c>
      <c r="E244" s="69" t="s">
        <v>142</v>
      </c>
      <c r="F244" s="24" t="s">
        <v>163</v>
      </c>
      <c r="G244" s="24">
        <v>2</v>
      </c>
      <c r="H244" s="24">
        <v>2</v>
      </c>
      <c r="I244" s="24">
        <v>1</v>
      </c>
      <c r="J244" s="24" t="s">
        <v>1136</v>
      </c>
      <c r="K244" s="24" t="s">
        <v>425</v>
      </c>
      <c r="L244" s="24" t="s">
        <v>142</v>
      </c>
      <c r="M244" s="24" t="s">
        <v>168</v>
      </c>
      <c r="N244" s="25">
        <v>0</v>
      </c>
      <c r="V244" s="24"/>
      <c r="W244" s="31"/>
    </row>
    <row r="245" spans="1:23" ht="15" x14ac:dyDescent="0.2">
      <c r="A245" s="68">
        <v>2</v>
      </c>
      <c r="B245" s="68">
        <v>2</v>
      </c>
      <c r="C245" s="68">
        <v>1</v>
      </c>
      <c r="D245" s="69">
        <v>535220173</v>
      </c>
      <c r="E245" s="69" t="s">
        <v>142</v>
      </c>
      <c r="F245" s="24" t="s">
        <v>163</v>
      </c>
      <c r="G245" s="24">
        <v>2</v>
      </c>
      <c r="H245" s="24">
        <v>2</v>
      </c>
      <c r="I245" s="24">
        <v>1</v>
      </c>
      <c r="J245" s="24" t="s">
        <v>1137</v>
      </c>
      <c r="K245" s="24" t="s">
        <v>426</v>
      </c>
      <c r="L245" s="24" t="s">
        <v>142</v>
      </c>
      <c r="M245" s="24" t="s">
        <v>168</v>
      </c>
      <c r="N245" s="25">
        <v>0</v>
      </c>
      <c r="V245" s="24"/>
      <c r="W245" s="31"/>
    </row>
    <row r="246" spans="1:23" ht="15" x14ac:dyDescent="0.2">
      <c r="A246" s="68">
        <v>0</v>
      </c>
      <c r="B246" s="68">
        <v>2</v>
      </c>
      <c r="C246" s="68">
        <v>2</v>
      </c>
      <c r="D246" s="69">
        <v>825220125</v>
      </c>
      <c r="E246" s="69" t="s">
        <v>142</v>
      </c>
      <c r="F246" s="24" t="s">
        <v>155</v>
      </c>
      <c r="G246" s="24">
        <v>0</v>
      </c>
      <c r="H246" s="24">
        <v>2</v>
      </c>
      <c r="I246" s="24">
        <v>2</v>
      </c>
      <c r="J246" s="24" t="s">
        <v>1108</v>
      </c>
      <c r="K246" s="24" t="s">
        <v>397</v>
      </c>
      <c r="L246" s="24" t="s">
        <v>145</v>
      </c>
      <c r="M246" s="24" t="s">
        <v>165</v>
      </c>
      <c r="N246" s="25">
        <v>0</v>
      </c>
      <c r="V246" s="24"/>
      <c r="W246" s="31"/>
    </row>
    <row r="247" spans="1:23" ht="15" x14ac:dyDescent="0.2">
      <c r="A247" s="68">
        <v>0</v>
      </c>
      <c r="B247" s="68">
        <v>2</v>
      </c>
      <c r="C247" s="68">
        <v>2</v>
      </c>
      <c r="D247" s="69">
        <v>825220135</v>
      </c>
      <c r="E247" s="69" t="s">
        <v>142</v>
      </c>
      <c r="F247" s="24" t="s">
        <v>155</v>
      </c>
      <c r="G247" s="24">
        <v>0</v>
      </c>
      <c r="H247" s="24">
        <v>2</v>
      </c>
      <c r="I247" s="24">
        <v>2</v>
      </c>
      <c r="J247" s="24" t="s">
        <v>1109</v>
      </c>
      <c r="K247" s="24" t="s">
        <v>398</v>
      </c>
      <c r="L247" s="24" t="s">
        <v>142</v>
      </c>
      <c r="M247" s="24" t="s">
        <v>167</v>
      </c>
      <c r="N247" s="25">
        <v>0</v>
      </c>
      <c r="V247" s="24"/>
      <c r="W247" s="31"/>
    </row>
    <row r="248" spans="1:23" ht="15" x14ac:dyDescent="0.2">
      <c r="A248" s="68">
        <v>0</v>
      </c>
      <c r="B248" s="68">
        <v>2</v>
      </c>
      <c r="C248" s="68">
        <v>2</v>
      </c>
      <c r="D248" s="69">
        <v>825220136</v>
      </c>
      <c r="E248" s="69" t="s">
        <v>142</v>
      </c>
      <c r="F248" s="24" t="s">
        <v>155</v>
      </c>
      <c r="G248" s="24">
        <v>0</v>
      </c>
      <c r="H248" s="24">
        <v>2</v>
      </c>
      <c r="I248" s="24">
        <v>2</v>
      </c>
      <c r="J248" s="24" t="s">
        <v>1110</v>
      </c>
      <c r="K248" s="24" t="s">
        <v>399</v>
      </c>
      <c r="L248" s="24" t="s">
        <v>142</v>
      </c>
      <c r="M248" s="24" t="s">
        <v>167</v>
      </c>
      <c r="N248" s="25">
        <v>0</v>
      </c>
      <c r="V248" s="24"/>
      <c r="W248" s="31"/>
    </row>
    <row r="249" spans="1:23" ht="15" x14ac:dyDescent="0.2">
      <c r="A249" s="68">
        <v>0</v>
      </c>
      <c r="B249" s="68">
        <v>2</v>
      </c>
      <c r="C249" s="68">
        <v>2</v>
      </c>
      <c r="D249" s="69">
        <v>825220003</v>
      </c>
      <c r="E249" s="69" t="s">
        <v>142</v>
      </c>
      <c r="F249" s="24" t="s">
        <v>161</v>
      </c>
      <c r="G249" s="24">
        <v>0</v>
      </c>
      <c r="H249" s="24">
        <v>2</v>
      </c>
      <c r="I249" s="24">
        <v>2</v>
      </c>
      <c r="J249" s="24" t="s">
        <v>1111</v>
      </c>
      <c r="K249" s="24" t="s">
        <v>400</v>
      </c>
      <c r="L249" s="24" t="s">
        <v>142</v>
      </c>
      <c r="M249" s="24" t="s">
        <v>167</v>
      </c>
      <c r="N249" s="25">
        <v>0</v>
      </c>
      <c r="V249" s="24"/>
      <c r="W249" s="31"/>
    </row>
    <row r="250" spans="1:23" ht="15" x14ac:dyDescent="0.2">
      <c r="A250" s="68">
        <v>0</v>
      </c>
      <c r="B250" s="68">
        <v>2</v>
      </c>
      <c r="C250" s="68">
        <v>2</v>
      </c>
      <c r="D250" s="69">
        <v>825220014</v>
      </c>
      <c r="E250" s="69" t="s">
        <v>142</v>
      </c>
      <c r="F250" s="24" t="s">
        <v>161</v>
      </c>
      <c r="G250" s="24">
        <v>0</v>
      </c>
      <c r="H250" s="24">
        <v>2</v>
      </c>
      <c r="I250" s="24">
        <v>2</v>
      </c>
      <c r="J250" s="24" t="s">
        <v>1112</v>
      </c>
      <c r="K250" s="24" t="s">
        <v>401</v>
      </c>
      <c r="L250" s="24" t="s">
        <v>142</v>
      </c>
      <c r="M250" s="24" t="s">
        <v>167</v>
      </c>
      <c r="N250" s="25">
        <v>0</v>
      </c>
      <c r="V250" s="24"/>
      <c r="W250" s="31"/>
    </row>
    <row r="251" spans="1:23" ht="15" x14ac:dyDescent="0.2">
      <c r="A251" s="68">
        <v>1</v>
      </c>
      <c r="B251" s="68">
        <v>2</v>
      </c>
      <c r="C251" s="68">
        <v>2</v>
      </c>
      <c r="D251" s="69">
        <v>825220019</v>
      </c>
      <c r="E251" s="69" t="s">
        <v>142</v>
      </c>
      <c r="F251" s="24" t="s">
        <v>161</v>
      </c>
      <c r="G251" s="24">
        <v>1</v>
      </c>
      <c r="H251" s="24">
        <v>2</v>
      </c>
      <c r="I251" s="24">
        <v>2</v>
      </c>
      <c r="J251" s="24" t="s">
        <v>1123</v>
      </c>
      <c r="K251" s="24" t="s">
        <v>412</v>
      </c>
      <c r="L251" s="24" t="s">
        <v>142</v>
      </c>
      <c r="M251" s="24" t="s">
        <v>168</v>
      </c>
      <c r="N251" s="25">
        <v>0</v>
      </c>
      <c r="V251" s="24"/>
      <c r="W251" s="31"/>
    </row>
    <row r="252" spans="1:23" ht="15" x14ac:dyDescent="0.2">
      <c r="A252" s="68">
        <v>1</v>
      </c>
      <c r="B252" s="68">
        <v>2</v>
      </c>
      <c r="C252" s="68">
        <v>2</v>
      </c>
      <c r="D252" s="69">
        <v>825220036</v>
      </c>
      <c r="E252" s="69" t="s">
        <v>142</v>
      </c>
      <c r="F252" s="24" t="s">
        <v>161</v>
      </c>
      <c r="G252" s="24">
        <v>1</v>
      </c>
      <c r="H252" s="24">
        <v>2</v>
      </c>
      <c r="I252" s="24">
        <v>2</v>
      </c>
      <c r="J252" s="24" t="s">
        <v>1124</v>
      </c>
      <c r="K252" s="24" t="s">
        <v>413</v>
      </c>
      <c r="L252" s="24" t="s">
        <v>142</v>
      </c>
      <c r="M252" s="24" t="s">
        <v>168</v>
      </c>
      <c r="N252" s="25">
        <v>0</v>
      </c>
      <c r="V252" s="24"/>
      <c r="W252" s="31"/>
    </row>
    <row r="253" spans="1:23" ht="15" x14ac:dyDescent="0.2">
      <c r="A253" s="68">
        <v>1</v>
      </c>
      <c r="B253" s="68">
        <v>2</v>
      </c>
      <c r="C253" s="68">
        <v>2</v>
      </c>
      <c r="D253" s="69">
        <v>825220062</v>
      </c>
      <c r="E253" s="69" t="s">
        <v>142</v>
      </c>
      <c r="F253" s="24" t="s">
        <v>161</v>
      </c>
      <c r="G253" s="24">
        <v>1</v>
      </c>
      <c r="H253" s="24">
        <v>2</v>
      </c>
      <c r="I253" s="24">
        <v>2</v>
      </c>
      <c r="J253" s="24" t="s">
        <v>1125</v>
      </c>
      <c r="K253" s="24" t="s">
        <v>414</v>
      </c>
      <c r="L253" s="24" t="s">
        <v>142</v>
      </c>
      <c r="M253" s="24" t="s">
        <v>168</v>
      </c>
      <c r="N253" s="25">
        <v>0</v>
      </c>
      <c r="V253" s="24"/>
      <c r="W253" s="31"/>
    </row>
    <row r="254" spans="1:23" ht="15" x14ac:dyDescent="0.2">
      <c r="A254" s="68">
        <v>1</v>
      </c>
      <c r="B254" s="68">
        <v>2</v>
      </c>
      <c r="C254" s="68">
        <v>2</v>
      </c>
      <c r="D254" s="69">
        <v>825220120</v>
      </c>
      <c r="E254" s="69" t="s">
        <v>142</v>
      </c>
      <c r="F254" s="24" t="s">
        <v>161</v>
      </c>
      <c r="G254" s="24">
        <v>1</v>
      </c>
      <c r="H254" s="24">
        <v>2</v>
      </c>
      <c r="I254" s="24">
        <v>2</v>
      </c>
      <c r="J254" s="24" t="s">
        <v>1126</v>
      </c>
      <c r="K254" s="24" t="s">
        <v>415</v>
      </c>
      <c r="L254" s="24" t="s">
        <v>142</v>
      </c>
      <c r="M254" s="24" t="s">
        <v>168</v>
      </c>
      <c r="N254" s="25">
        <v>0</v>
      </c>
      <c r="V254" s="24"/>
      <c r="W254" s="31"/>
    </row>
    <row r="255" spans="1:23" ht="15" x14ac:dyDescent="0.2">
      <c r="A255" s="68">
        <v>1</v>
      </c>
      <c r="B255" s="68">
        <v>2</v>
      </c>
      <c r="C255" s="68">
        <v>2</v>
      </c>
      <c r="D255" s="69">
        <v>825220134</v>
      </c>
      <c r="E255" s="69" t="s">
        <v>142</v>
      </c>
      <c r="F255" s="24" t="s">
        <v>161</v>
      </c>
      <c r="G255" s="24">
        <v>1</v>
      </c>
      <c r="H255" s="24">
        <v>2</v>
      </c>
      <c r="I255" s="24">
        <v>2</v>
      </c>
      <c r="J255" s="24" t="s">
        <v>1127</v>
      </c>
      <c r="K255" s="24" t="s">
        <v>416</v>
      </c>
      <c r="L255" s="24" t="s">
        <v>142</v>
      </c>
      <c r="M255" s="24" t="s">
        <v>168</v>
      </c>
      <c r="N255" s="25">
        <v>0</v>
      </c>
      <c r="V255" s="24"/>
      <c r="W255" s="31"/>
    </row>
    <row r="256" spans="1:23" ht="15" x14ac:dyDescent="0.2">
      <c r="A256" s="68">
        <v>4</v>
      </c>
      <c r="B256" s="68">
        <v>3</v>
      </c>
      <c r="C256" s="68">
        <v>0</v>
      </c>
      <c r="D256" s="69">
        <v>535220002</v>
      </c>
      <c r="E256" s="69" t="s">
        <v>142</v>
      </c>
      <c r="F256" s="24" t="s">
        <v>170</v>
      </c>
      <c r="G256" s="24">
        <v>4</v>
      </c>
      <c r="H256" s="24">
        <v>3</v>
      </c>
      <c r="I256" s="24">
        <v>0</v>
      </c>
      <c r="J256" s="24" t="s">
        <v>1140</v>
      </c>
      <c r="K256" s="24" t="s">
        <v>430</v>
      </c>
      <c r="L256" s="24" t="s">
        <v>142</v>
      </c>
      <c r="M256" s="24" t="s">
        <v>170</v>
      </c>
      <c r="N256" s="25">
        <v>1</v>
      </c>
      <c r="V256" s="24"/>
      <c r="W256" s="31"/>
    </row>
    <row r="257" spans="1:23" ht="15" x14ac:dyDescent="0.2">
      <c r="A257" s="68">
        <v>4</v>
      </c>
      <c r="B257" s="68">
        <v>3</v>
      </c>
      <c r="C257" s="68">
        <v>0</v>
      </c>
      <c r="D257" s="69">
        <v>535220004</v>
      </c>
      <c r="E257" s="69" t="s">
        <v>142</v>
      </c>
      <c r="F257" s="24" t="s">
        <v>170</v>
      </c>
      <c r="G257" s="24">
        <v>4</v>
      </c>
      <c r="H257" s="24">
        <v>3</v>
      </c>
      <c r="I257" s="24">
        <v>0</v>
      </c>
      <c r="J257" s="24" t="s">
        <v>1141</v>
      </c>
      <c r="K257" s="24" t="s">
        <v>431</v>
      </c>
      <c r="L257" s="24" t="s">
        <v>142</v>
      </c>
      <c r="M257" s="24" t="s">
        <v>170</v>
      </c>
      <c r="N257" s="25">
        <v>1</v>
      </c>
      <c r="V257" s="24"/>
      <c r="W257" s="31"/>
    </row>
    <row r="258" spans="1:23" ht="15" x14ac:dyDescent="0.2">
      <c r="A258" s="68">
        <v>4</v>
      </c>
      <c r="B258" s="68">
        <v>3</v>
      </c>
      <c r="C258" s="68">
        <v>0</v>
      </c>
      <c r="D258" s="69">
        <v>535220027</v>
      </c>
      <c r="E258" s="69" t="s">
        <v>142</v>
      </c>
      <c r="F258" s="24" t="s">
        <v>170</v>
      </c>
      <c r="G258" s="24">
        <v>4</v>
      </c>
      <c r="H258" s="24">
        <v>3</v>
      </c>
      <c r="I258" s="24">
        <v>0</v>
      </c>
      <c r="J258" s="24" t="s">
        <v>1142</v>
      </c>
      <c r="K258" s="24" t="s">
        <v>432</v>
      </c>
      <c r="L258" s="24" t="s">
        <v>142</v>
      </c>
      <c r="M258" s="24" t="s">
        <v>170</v>
      </c>
      <c r="N258" s="25">
        <v>1</v>
      </c>
      <c r="V258" s="24"/>
      <c r="W258" s="31"/>
    </row>
    <row r="259" spans="1:23" ht="15" x14ac:dyDescent="0.2">
      <c r="A259" s="68">
        <v>4</v>
      </c>
      <c r="B259" s="68">
        <v>3</v>
      </c>
      <c r="C259" s="68">
        <v>0</v>
      </c>
      <c r="D259" s="69">
        <v>535220030</v>
      </c>
      <c r="E259" s="69" t="s">
        <v>142</v>
      </c>
      <c r="F259" s="24" t="s">
        <v>170</v>
      </c>
      <c r="G259" s="24">
        <v>4</v>
      </c>
      <c r="H259" s="24">
        <v>3</v>
      </c>
      <c r="I259" s="24">
        <v>0</v>
      </c>
      <c r="J259" s="24" t="s">
        <v>1143</v>
      </c>
      <c r="K259" s="24" t="s">
        <v>433</v>
      </c>
      <c r="L259" s="24" t="s">
        <v>142</v>
      </c>
      <c r="M259" s="24" t="s">
        <v>170</v>
      </c>
      <c r="N259" s="25">
        <v>1</v>
      </c>
      <c r="V259" s="24"/>
      <c r="W259" s="31"/>
    </row>
    <row r="260" spans="1:23" ht="15" x14ac:dyDescent="0.2">
      <c r="A260" s="68">
        <v>4</v>
      </c>
      <c r="B260" s="68">
        <v>3</v>
      </c>
      <c r="C260" s="68">
        <v>0</v>
      </c>
      <c r="D260" s="69">
        <v>535220038</v>
      </c>
      <c r="E260" s="69" t="s">
        <v>142</v>
      </c>
      <c r="F260" s="24" t="s">
        <v>170</v>
      </c>
      <c r="G260" s="24">
        <v>4</v>
      </c>
      <c r="H260" s="24">
        <v>3</v>
      </c>
      <c r="I260" s="24">
        <v>0</v>
      </c>
      <c r="J260" s="24" t="s">
        <v>1144</v>
      </c>
      <c r="K260" s="24" t="s">
        <v>434</v>
      </c>
      <c r="L260" s="24" t="s">
        <v>142</v>
      </c>
      <c r="M260" s="24" t="s">
        <v>170</v>
      </c>
      <c r="N260" s="25">
        <v>1</v>
      </c>
      <c r="V260" s="24"/>
      <c r="W260" s="31"/>
    </row>
    <row r="261" spans="1:23" ht="15" x14ac:dyDescent="0.2">
      <c r="A261" s="68">
        <v>5</v>
      </c>
      <c r="B261" s="68">
        <v>3</v>
      </c>
      <c r="C261" s="68">
        <v>0</v>
      </c>
      <c r="D261" s="69">
        <v>535220053</v>
      </c>
      <c r="E261" s="69" t="s">
        <v>143</v>
      </c>
      <c r="F261" s="24" t="s">
        <v>170</v>
      </c>
      <c r="G261" s="24">
        <v>5</v>
      </c>
      <c r="H261" s="24">
        <v>3</v>
      </c>
      <c r="I261" s="24">
        <v>0</v>
      </c>
      <c r="J261" s="24" t="s">
        <v>1145</v>
      </c>
      <c r="K261" s="24" t="s">
        <v>435</v>
      </c>
      <c r="L261" s="24" t="s">
        <v>142</v>
      </c>
      <c r="M261" s="24" t="s">
        <v>170</v>
      </c>
      <c r="N261" s="25">
        <v>1</v>
      </c>
      <c r="V261" s="24"/>
      <c r="W261" s="31"/>
    </row>
    <row r="262" spans="1:23" ht="15" x14ac:dyDescent="0.2">
      <c r="A262" s="68">
        <v>5</v>
      </c>
      <c r="B262" s="68">
        <v>3</v>
      </c>
      <c r="C262" s="68">
        <v>0</v>
      </c>
      <c r="D262" s="69">
        <v>535220024</v>
      </c>
      <c r="E262" s="69" t="s">
        <v>143</v>
      </c>
      <c r="F262" s="24" t="s">
        <v>166</v>
      </c>
      <c r="G262" s="24">
        <v>5</v>
      </c>
      <c r="H262" s="24">
        <v>3</v>
      </c>
      <c r="I262" s="24">
        <v>0</v>
      </c>
      <c r="J262" s="24" t="s">
        <v>1146</v>
      </c>
      <c r="K262" s="24" t="s">
        <v>436</v>
      </c>
      <c r="L262" s="24" t="s">
        <v>142</v>
      </c>
      <c r="M262" s="24" t="s">
        <v>170</v>
      </c>
      <c r="N262" s="25">
        <v>0</v>
      </c>
      <c r="V262" s="24"/>
      <c r="W262" s="31"/>
    </row>
    <row r="263" spans="1:23" ht="15" x14ac:dyDescent="0.2">
      <c r="A263" s="68">
        <v>5</v>
      </c>
      <c r="B263" s="68">
        <v>3</v>
      </c>
      <c r="C263" s="68">
        <v>0</v>
      </c>
      <c r="D263" s="69">
        <v>535220175</v>
      </c>
      <c r="E263" s="69" t="s">
        <v>143</v>
      </c>
      <c r="F263" s="24" t="s">
        <v>166</v>
      </c>
      <c r="G263" s="24">
        <v>5</v>
      </c>
      <c r="H263" s="24">
        <v>3</v>
      </c>
      <c r="I263" s="24">
        <v>0</v>
      </c>
      <c r="J263" s="24" t="s">
        <v>1147</v>
      </c>
      <c r="K263" s="24" t="s">
        <v>437</v>
      </c>
      <c r="L263" s="24" t="s">
        <v>143</v>
      </c>
      <c r="M263" s="24" t="s">
        <v>170</v>
      </c>
      <c r="N263" s="25">
        <v>0</v>
      </c>
      <c r="V263" s="24"/>
      <c r="W263" s="31"/>
    </row>
    <row r="264" spans="1:23" ht="15" x14ac:dyDescent="0.2">
      <c r="A264" s="68">
        <v>5</v>
      </c>
      <c r="B264" s="68">
        <v>3</v>
      </c>
      <c r="C264" s="68">
        <v>0</v>
      </c>
      <c r="D264" s="69">
        <v>535220212</v>
      </c>
      <c r="E264" s="69" t="s">
        <v>143</v>
      </c>
      <c r="F264" s="24" t="s">
        <v>166</v>
      </c>
      <c r="G264" s="24">
        <v>0</v>
      </c>
      <c r="H264" s="24">
        <v>5</v>
      </c>
      <c r="I264" s="24">
        <v>0</v>
      </c>
      <c r="J264" s="24" t="s">
        <v>1148</v>
      </c>
      <c r="K264" s="24" t="s">
        <v>438</v>
      </c>
      <c r="L264" s="24" t="s">
        <v>142</v>
      </c>
      <c r="M264" s="24" t="s">
        <v>172</v>
      </c>
      <c r="N264" s="25">
        <v>999</v>
      </c>
      <c r="V264" s="24"/>
      <c r="W264" s="31"/>
    </row>
    <row r="265" spans="1:23" ht="15" x14ac:dyDescent="0.2">
      <c r="A265" s="68">
        <v>5</v>
      </c>
      <c r="B265" s="68">
        <v>3</v>
      </c>
      <c r="C265" s="68">
        <v>0</v>
      </c>
      <c r="D265" s="69">
        <v>535220045</v>
      </c>
      <c r="E265" s="69" t="s">
        <v>143</v>
      </c>
      <c r="F265" s="24" t="s">
        <v>166</v>
      </c>
      <c r="G265" s="24">
        <v>0</v>
      </c>
      <c r="H265" s="24">
        <v>5</v>
      </c>
      <c r="I265" s="24">
        <v>0</v>
      </c>
      <c r="J265" s="24" t="s">
        <v>1149</v>
      </c>
      <c r="K265" s="24" t="s">
        <v>439</v>
      </c>
      <c r="L265" s="24" t="s">
        <v>142</v>
      </c>
      <c r="M265" s="24" t="s">
        <v>172</v>
      </c>
      <c r="N265" s="25">
        <v>999</v>
      </c>
      <c r="V265" s="24"/>
      <c r="W265" s="31"/>
    </row>
    <row r="266" spans="1:23" ht="15" x14ac:dyDescent="0.2">
      <c r="A266" s="68">
        <v>6</v>
      </c>
      <c r="B266" s="68">
        <v>3</v>
      </c>
      <c r="C266" s="68">
        <v>0</v>
      </c>
      <c r="D266" s="69">
        <v>535220077</v>
      </c>
      <c r="E266" s="69" t="s">
        <v>142</v>
      </c>
      <c r="F266" s="24" t="s">
        <v>170</v>
      </c>
      <c r="G266" s="24">
        <v>0</v>
      </c>
      <c r="H266" s="24">
        <v>5</v>
      </c>
      <c r="I266" s="24">
        <v>0</v>
      </c>
      <c r="J266" s="24" t="s">
        <v>1150</v>
      </c>
      <c r="K266" s="24" t="s">
        <v>440</v>
      </c>
      <c r="L266" s="24" t="s">
        <v>142</v>
      </c>
      <c r="M266" s="24" t="s">
        <v>172</v>
      </c>
      <c r="N266" s="25">
        <v>999</v>
      </c>
      <c r="V266" s="24"/>
      <c r="W266" s="31"/>
    </row>
    <row r="267" spans="1:23" ht="15" x14ac:dyDescent="0.2">
      <c r="A267" s="68">
        <v>6</v>
      </c>
      <c r="B267" s="68">
        <v>3</v>
      </c>
      <c r="C267" s="68">
        <v>0</v>
      </c>
      <c r="D267" s="69">
        <v>535220084</v>
      </c>
      <c r="E267" s="69" t="s">
        <v>142</v>
      </c>
      <c r="F267" s="24" t="s">
        <v>170</v>
      </c>
      <c r="G267" s="24">
        <v>0</v>
      </c>
      <c r="H267" s="24">
        <v>5</v>
      </c>
      <c r="I267" s="24">
        <v>0</v>
      </c>
      <c r="J267" s="24" t="s">
        <v>1151</v>
      </c>
      <c r="K267" s="24" t="s">
        <v>441</v>
      </c>
      <c r="L267" s="24" t="s">
        <v>142</v>
      </c>
      <c r="M267" s="24" t="s">
        <v>172</v>
      </c>
      <c r="N267" s="25">
        <v>999</v>
      </c>
      <c r="V267" s="24"/>
      <c r="W267" s="31"/>
    </row>
    <row r="268" spans="1:23" ht="15" x14ac:dyDescent="0.2">
      <c r="A268" s="68">
        <v>6</v>
      </c>
      <c r="B268" s="68">
        <v>3</v>
      </c>
      <c r="C268" s="68">
        <v>0</v>
      </c>
      <c r="D268" s="69">
        <v>535220034</v>
      </c>
      <c r="E268" s="69" t="s">
        <v>142</v>
      </c>
      <c r="F268" s="24" t="s">
        <v>167</v>
      </c>
      <c r="G268" s="24">
        <v>0</v>
      </c>
      <c r="H268" s="24">
        <v>5</v>
      </c>
      <c r="I268" s="24">
        <v>0</v>
      </c>
      <c r="J268" s="24" t="s">
        <v>1152</v>
      </c>
      <c r="K268" s="24" t="s">
        <v>442</v>
      </c>
      <c r="L268" s="24" t="s">
        <v>142</v>
      </c>
      <c r="M268" s="24" t="s">
        <v>172</v>
      </c>
      <c r="N268" s="25">
        <v>999</v>
      </c>
      <c r="V268" s="24"/>
      <c r="W268" s="31"/>
    </row>
    <row r="269" spans="1:23" ht="15" x14ac:dyDescent="0.2">
      <c r="A269" s="68">
        <v>6</v>
      </c>
      <c r="B269" s="68">
        <v>3</v>
      </c>
      <c r="C269" s="68">
        <v>0</v>
      </c>
      <c r="D269" s="69">
        <v>535220035</v>
      </c>
      <c r="E269" s="69" t="s">
        <v>142</v>
      </c>
      <c r="F269" s="24" t="s">
        <v>167</v>
      </c>
      <c r="G269" s="24">
        <v>1</v>
      </c>
      <c r="H269" s="24">
        <v>5</v>
      </c>
      <c r="I269" s="24">
        <v>0</v>
      </c>
      <c r="J269" s="24" t="s">
        <v>1158</v>
      </c>
      <c r="K269" s="24" t="s">
        <v>448</v>
      </c>
      <c r="L269" s="24" t="s">
        <v>142</v>
      </c>
      <c r="M269" s="24" t="s">
        <v>172</v>
      </c>
      <c r="N269" s="25">
        <v>999</v>
      </c>
      <c r="V269" s="24"/>
      <c r="W269" s="31"/>
    </row>
    <row r="270" spans="1:23" ht="15" x14ac:dyDescent="0.2">
      <c r="A270" s="68">
        <v>6</v>
      </c>
      <c r="B270" s="68">
        <v>3</v>
      </c>
      <c r="C270" s="68">
        <v>0</v>
      </c>
      <c r="D270" s="69">
        <v>535220128</v>
      </c>
      <c r="E270" s="69" t="s">
        <v>142</v>
      </c>
      <c r="F270" s="24" t="s">
        <v>166</v>
      </c>
      <c r="G270" s="24">
        <v>1</v>
      </c>
      <c r="H270" s="24">
        <v>5</v>
      </c>
      <c r="I270" s="24">
        <v>0</v>
      </c>
      <c r="J270" s="24" t="s">
        <v>1159</v>
      </c>
      <c r="K270" s="24" t="s">
        <v>449</v>
      </c>
      <c r="L270" s="24" t="s">
        <v>142</v>
      </c>
      <c r="M270" s="24" t="s">
        <v>172</v>
      </c>
      <c r="N270" s="25">
        <v>999</v>
      </c>
      <c r="V270" s="24"/>
      <c r="W270" s="31"/>
    </row>
    <row r="271" spans="1:23" x14ac:dyDescent="0.2">
      <c r="A271" s="24"/>
      <c r="B271" s="24"/>
      <c r="C271" s="24"/>
      <c r="D271" s="24"/>
      <c r="E271" s="24"/>
      <c r="F271" s="27"/>
      <c r="G271" s="24">
        <v>1</v>
      </c>
      <c r="H271" s="24">
        <v>5</v>
      </c>
      <c r="I271" s="24">
        <v>0</v>
      </c>
      <c r="J271" s="24" t="s">
        <v>1160</v>
      </c>
      <c r="K271" s="24" t="s">
        <v>450</v>
      </c>
      <c r="L271" s="24" t="s">
        <v>142</v>
      </c>
      <c r="M271" s="24" t="s">
        <v>172</v>
      </c>
      <c r="N271" s="27" t="s">
        <v>1231</v>
      </c>
      <c r="V271" s="24"/>
      <c r="W271" s="31"/>
    </row>
    <row r="272" spans="1:23" x14ac:dyDescent="0.2">
      <c r="A272" s="24"/>
      <c r="B272" s="24"/>
      <c r="C272" s="24"/>
      <c r="D272" s="24"/>
      <c r="E272" s="24"/>
      <c r="F272" s="24"/>
      <c r="G272" s="24">
        <v>1</v>
      </c>
      <c r="H272" s="24">
        <v>5</v>
      </c>
      <c r="I272" s="24">
        <v>0</v>
      </c>
      <c r="J272" s="24" t="s">
        <v>1161</v>
      </c>
      <c r="K272" s="24" t="s">
        <v>451</v>
      </c>
      <c r="L272" s="24" t="s">
        <v>142</v>
      </c>
      <c r="M272" s="24" t="s">
        <v>172</v>
      </c>
      <c r="N272" s="27" t="s">
        <v>1231</v>
      </c>
      <c r="V272" s="24"/>
      <c r="W272" s="31"/>
    </row>
    <row r="273" spans="1:23" x14ac:dyDescent="0.2">
      <c r="A273" s="24"/>
      <c r="B273" s="24"/>
      <c r="C273" s="24"/>
      <c r="D273" s="24"/>
      <c r="E273" s="24"/>
      <c r="F273" s="24"/>
      <c r="G273" s="24">
        <v>1</v>
      </c>
      <c r="H273" s="24">
        <v>5</v>
      </c>
      <c r="I273" s="24">
        <v>0</v>
      </c>
      <c r="J273" s="24" t="s">
        <v>1162</v>
      </c>
      <c r="K273" s="24" t="s">
        <v>452</v>
      </c>
      <c r="L273" s="24" t="s">
        <v>142</v>
      </c>
      <c r="M273" s="24" t="s">
        <v>172</v>
      </c>
      <c r="N273" s="27" t="s">
        <v>1231</v>
      </c>
      <c r="V273" s="24"/>
      <c r="W273" s="31"/>
    </row>
    <row r="274" spans="1:23" x14ac:dyDescent="0.2">
      <c r="A274" s="24"/>
      <c r="B274" s="24"/>
      <c r="C274" s="24"/>
      <c r="D274" s="24"/>
      <c r="E274" s="24"/>
      <c r="F274" s="24"/>
      <c r="G274" s="24">
        <v>2</v>
      </c>
      <c r="H274" s="24">
        <v>5</v>
      </c>
      <c r="I274" s="24">
        <v>0</v>
      </c>
      <c r="J274" s="24" t="s">
        <v>1168</v>
      </c>
      <c r="K274" s="24" t="s">
        <v>458</v>
      </c>
      <c r="L274" s="24" t="s">
        <v>142</v>
      </c>
      <c r="M274" s="24" t="s">
        <v>172</v>
      </c>
      <c r="N274" s="27" t="s">
        <v>1231</v>
      </c>
      <c r="V274" s="24"/>
      <c r="W274" s="31"/>
    </row>
    <row r="275" spans="1:23" x14ac:dyDescent="0.2">
      <c r="A275" s="24"/>
      <c r="B275" s="24"/>
      <c r="C275" s="24"/>
      <c r="D275" s="24"/>
      <c r="E275" s="24"/>
      <c r="F275" s="24"/>
      <c r="G275" s="24">
        <v>2</v>
      </c>
      <c r="H275" s="24">
        <v>5</v>
      </c>
      <c r="I275" s="24">
        <v>0</v>
      </c>
      <c r="J275" s="24" t="s">
        <v>1169</v>
      </c>
      <c r="K275" s="24" t="s">
        <v>459</v>
      </c>
      <c r="L275" s="24" t="s">
        <v>142</v>
      </c>
      <c r="M275" s="24" t="s">
        <v>172</v>
      </c>
      <c r="N275" s="27" t="s">
        <v>1231</v>
      </c>
      <c r="V275" s="24"/>
      <c r="W275" s="31"/>
    </row>
    <row r="276" spans="1:23" x14ac:dyDescent="0.2">
      <c r="A276" s="24"/>
      <c r="B276" s="24"/>
      <c r="C276" s="24"/>
      <c r="D276" s="24"/>
      <c r="E276" s="24"/>
      <c r="F276" s="24"/>
      <c r="G276" s="24">
        <v>2</v>
      </c>
      <c r="H276" s="24">
        <v>5</v>
      </c>
      <c r="I276" s="24">
        <v>0</v>
      </c>
      <c r="J276" s="24" t="s">
        <v>1170</v>
      </c>
      <c r="K276" s="24" t="s">
        <v>460</v>
      </c>
      <c r="L276" s="24" t="s">
        <v>142</v>
      </c>
      <c r="M276" s="24" t="s">
        <v>172</v>
      </c>
      <c r="N276" s="27" t="s">
        <v>1231</v>
      </c>
      <c r="V276" s="24"/>
      <c r="W276" s="31"/>
    </row>
    <row r="277" spans="1:23" x14ac:dyDescent="0.2">
      <c r="A277" s="24"/>
      <c r="B277" s="24"/>
      <c r="C277" s="24"/>
      <c r="D277" s="24"/>
      <c r="E277" s="24"/>
      <c r="F277" s="24"/>
      <c r="G277" s="24">
        <v>2</v>
      </c>
      <c r="H277" s="24">
        <v>5</v>
      </c>
      <c r="I277" s="24">
        <v>0</v>
      </c>
      <c r="J277" s="24" t="s">
        <v>1171</v>
      </c>
      <c r="K277" s="24" t="s">
        <v>461</v>
      </c>
      <c r="L277" s="24" t="s">
        <v>142</v>
      </c>
      <c r="M277" s="24" t="s">
        <v>172</v>
      </c>
      <c r="N277" s="27" t="s">
        <v>1231</v>
      </c>
      <c r="V277" s="24"/>
      <c r="W277" s="31"/>
    </row>
    <row r="278" spans="1:23" x14ac:dyDescent="0.2">
      <c r="A278" s="24"/>
      <c r="B278" s="24"/>
      <c r="C278" s="24"/>
      <c r="D278" s="24"/>
      <c r="E278" s="24"/>
      <c r="F278" s="24"/>
      <c r="G278" s="24">
        <v>2</v>
      </c>
      <c r="H278" s="24">
        <v>5</v>
      </c>
      <c r="I278" s="24">
        <v>0</v>
      </c>
      <c r="J278" s="24" t="s">
        <v>1172</v>
      </c>
      <c r="K278" s="24" t="s">
        <v>462</v>
      </c>
      <c r="L278" s="24" t="s">
        <v>142</v>
      </c>
      <c r="M278" s="24" t="s">
        <v>172</v>
      </c>
      <c r="N278" s="27" t="s">
        <v>1231</v>
      </c>
      <c r="V278" s="24"/>
      <c r="W278" s="31"/>
    </row>
    <row r="279" spans="1:23" x14ac:dyDescent="0.2">
      <c r="A279" s="24"/>
      <c r="B279" s="24"/>
      <c r="C279" s="24"/>
      <c r="D279" s="24"/>
      <c r="E279" s="24"/>
      <c r="F279" s="24"/>
      <c r="G279" s="24">
        <v>3</v>
      </c>
      <c r="H279" s="24">
        <v>5</v>
      </c>
      <c r="I279" s="24">
        <v>0</v>
      </c>
      <c r="J279" s="24" t="s">
        <v>1174</v>
      </c>
      <c r="K279" s="24" t="s">
        <v>464</v>
      </c>
      <c r="L279" s="24" t="s">
        <v>142</v>
      </c>
      <c r="M279" s="24" t="s">
        <v>172</v>
      </c>
      <c r="N279" s="27" t="s">
        <v>1231</v>
      </c>
      <c r="V279" s="24"/>
      <c r="W279" s="31"/>
    </row>
    <row r="280" spans="1:23" x14ac:dyDescent="0.2">
      <c r="A280" s="24"/>
      <c r="B280" s="24"/>
      <c r="C280" s="24"/>
      <c r="D280" s="24"/>
      <c r="E280" s="24"/>
      <c r="F280" s="24"/>
      <c r="G280" s="24">
        <v>0</v>
      </c>
      <c r="H280" s="24">
        <v>5</v>
      </c>
      <c r="I280" s="24">
        <v>1</v>
      </c>
      <c r="J280" s="24" t="s">
        <v>1153</v>
      </c>
      <c r="K280" s="24" t="s">
        <v>443</v>
      </c>
      <c r="L280" s="24" t="s">
        <v>142</v>
      </c>
      <c r="M280" s="24" t="s">
        <v>158</v>
      </c>
      <c r="N280" s="27" t="s">
        <v>1231</v>
      </c>
      <c r="V280" s="24"/>
      <c r="W280" s="31"/>
    </row>
    <row r="281" spans="1:23" x14ac:dyDescent="0.2">
      <c r="A281" s="24"/>
      <c r="B281" s="24"/>
      <c r="C281" s="24"/>
      <c r="D281" s="24"/>
      <c r="E281" s="24"/>
      <c r="F281" s="24"/>
      <c r="G281" s="24">
        <v>0</v>
      </c>
      <c r="H281" s="24">
        <v>5</v>
      </c>
      <c r="I281" s="24">
        <v>1</v>
      </c>
      <c r="J281" s="24" t="s">
        <v>1154</v>
      </c>
      <c r="K281" s="24" t="s">
        <v>444</v>
      </c>
      <c r="L281" s="24" t="s">
        <v>142</v>
      </c>
      <c r="M281" s="24" t="s">
        <v>158</v>
      </c>
      <c r="N281" s="27" t="s">
        <v>1231</v>
      </c>
      <c r="V281" s="24"/>
      <c r="W281" s="31"/>
    </row>
    <row r="282" spans="1:23" x14ac:dyDescent="0.2">
      <c r="A282" s="24"/>
      <c r="B282" s="24"/>
      <c r="C282" s="24"/>
      <c r="D282" s="24"/>
      <c r="E282" s="24"/>
      <c r="F282" s="24"/>
      <c r="G282" s="24">
        <v>0</v>
      </c>
      <c r="H282" s="24">
        <v>5</v>
      </c>
      <c r="I282" s="24">
        <v>1</v>
      </c>
      <c r="J282" s="24" t="s">
        <v>1155</v>
      </c>
      <c r="K282" s="24" t="s">
        <v>445</v>
      </c>
      <c r="L282" s="24" t="s">
        <v>142</v>
      </c>
      <c r="M282" s="24" t="s">
        <v>158</v>
      </c>
      <c r="N282" s="27" t="s">
        <v>1231</v>
      </c>
      <c r="V282" s="24"/>
      <c r="W282" s="31"/>
    </row>
    <row r="283" spans="1:23" x14ac:dyDescent="0.2">
      <c r="A283" s="24"/>
      <c r="B283" s="24"/>
      <c r="C283" s="24"/>
      <c r="D283" s="24"/>
      <c r="E283" s="24"/>
      <c r="F283" s="24"/>
      <c r="G283" s="24">
        <v>0</v>
      </c>
      <c r="H283" s="24">
        <v>5</v>
      </c>
      <c r="I283" s="24">
        <v>1</v>
      </c>
      <c r="J283" s="24" t="s">
        <v>1156</v>
      </c>
      <c r="K283" s="24" t="s">
        <v>446</v>
      </c>
      <c r="L283" s="24" t="s">
        <v>142</v>
      </c>
      <c r="M283" s="24" t="s">
        <v>158</v>
      </c>
      <c r="N283" s="27" t="s">
        <v>1231</v>
      </c>
      <c r="V283" s="24"/>
      <c r="W283" s="31"/>
    </row>
    <row r="284" spans="1:23" x14ac:dyDescent="0.2">
      <c r="A284" s="24"/>
      <c r="B284" s="24"/>
      <c r="C284" s="24"/>
      <c r="D284" s="24"/>
      <c r="E284" s="24"/>
      <c r="F284" s="24"/>
      <c r="G284" s="24">
        <v>0</v>
      </c>
      <c r="H284" s="24">
        <v>5</v>
      </c>
      <c r="I284" s="24">
        <v>1</v>
      </c>
      <c r="J284" s="24" t="s">
        <v>1157</v>
      </c>
      <c r="K284" s="24" t="s">
        <v>447</v>
      </c>
      <c r="L284" s="24" t="s">
        <v>142</v>
      </c>
      <c r="M284" s="24" t="s">
        <v>158</v>
      </c>
      <c r="N284" s="27" t="s">
        <v>1231</v>
      </c>
      <c r="V284" s="24"/>
      <c r="W284" s="31"/>
    </row>
    <row r="285" spans="1:23" x14ac:dyDescent="0.2">
      <c r="A285" s="24"/>
      <c r="B285" s="24"/>
      <c r="C285" s="24"/>
      <c r="D285" s="24"/>
      <c r="E285" s="24"/>
      <c r="F285" s="24"/>
      <c r="G285" s="24">
        <v>1</v>
      </c>
      <c r="H285" s="24">
        <v>5</v>
      </c>
      <c r="I285" s="24">
        <v>1</v>
      </c>
      <c r="J285" s="24" t="s">
        <v>1163</v>
      </c>
      <c r="K285" s="24" t="s">
        <v>453</v>
      </c>
      <c r="L285" s="24" t="s">
        <v>142</v>
      </c>
      <c r="M285" s="24" t="s">
        <v>158</v>
      </c>
      <c r="N285" s="27" t="s">
        <v>1231</v>
      </c>
      <c r="V285" s="24"/>
      <c r="W285" s="31"/>
    </row>
    <row r="286" spans="1:23" x14ac:dyDescent="0.2">
      <c r="A286" s="24"/>
      <c r="B286" s="24"/>
      <c r="C286" s="24"/>
      <c r="D286" s="24"/>
      <c r="E286" s="24"/>
      <c r="F286" s="24"/>
      <c r="G286" s="24">
        <v>1</v>
      </c>
      <c r="H286" s="24">
        <v>5</v>
      </c>
      <c r="I286" s="24">
        <v>1</v>
      </c>
      <c r="J286" s="24" t="s">
        <v>1164</v>
      </c>
      <c r="K286" s="24" t="s">
        <v>454</v>
      </c>
      <c r="L286" s="24" t="s">
        <v>142</v>
      </c>
      <c r="M286" s="24" t="s">
        <v>158</v>
      </c>
      <c r="N286" s="27" t="s">
        <v>1231</v>
      </c>
      <c r="V286" s="24"/>
      <c r="W286" s="31"/>
    </row>
    <row r="287" spans="1:23" x14ac:dyDescent="0.2">
      <c r="A287" s="24"/>
      <c r="B287" s="24"/>
      <c r="C287" s="24"/>
      <c r="D287" s="24"/>
      <c r="E287" s="24"/>
      <c r="F287" s="24"/>
      <c r="G287" s="24">
        <v>1</v>
      </c>
      <c r="H287" s="24">
        <v>5</v>
      </c>
      <c r="I287" s="24">
        <v>1</v>
      </c>
      <c r="J287" s="24" t="s">
        <v>1165</v>
      </c>
      <c r="K287" s="24" t="s">
        <v>455</v>
      </c>
      <c r="L287" s="24" t="s">
        <v>142</v>
      </c>
      <c r="M287" s="24" t="s">
        <v>158</v>
      </c>
      <c r="N287" s="27" t="s">
        <v>1231</v>
      </c>
      <c r="V287" s="24"/>
      <c r="W287" s="31"/>
    </row>
    <row r="288" spans="1:23" x14ac:dyDescent="0.2">
      <c r="A288" s="24"/>
      <c r="B288" s="24"/>
      <c r="C288" s="24"/>
      <c r="D288" s="24"/>
      <c r="E288" s="24"/>
      <c r="F288" s="24"/>
      <c r="G288" s="24">
        <v>1</v>
      </c>
      <c r="H288" s="24">
        <v>5</v>
      </c>
      <c r="I288" s="24">
        <v>1</v>
      </c>
      <c r="J288" s="24" t="s">
        <v>1166</v>
      </c>
      <c r="K288" s="24" t="s">
        <v>456</v>
      </c>
      <c r="L288" s="24" t="s">
        <v>142</v>
      </c>
      <c r="M288" s="24" t="s">
        <v>158</v>
      </c>
      <c r="N288" s="27" t="s">
        <v>1231</v>
      </c>
      <c r="V288" s="24"/>
      <c r="W288" s="31"/>
    </row>
    <row r="289" spans="1:23" x14ac:dyDescent="0.2">
      <c r="A289" s="24"/>
      <c r="B289" s="24"/>
      <c r="C289" s="24"/>
      <c r="D289" s="24"/>
      <c r="E289" s="24"/>
      <c r="F289" s="24"/>
      <c r="G289" s="24">
        <v>1</v>
      </c>
      <c r="H289" s="24">
        <v>5</v>
      </c>
      <c r="I289" s="24">
        <v>1</v>
      </c>
      <c r="J289" s="24" t="s">
        <v>1167</v>
      </c>
      <c r="K289" s="24" t="s">
        <v>457</v>
      </c>
      <c r="L289" s="24" t="s">
        <v>142</v>
      </c>
      <c r="M289" s="24" t="s">
        <v>158</v>
      </c>
      <c r="N289" s="27" t="s">
        <v>1231</v>
      </c>
      <c r="V289" s="24"/>
      <c r="W289" s="31"/>
    </row>
    <row r="290" spans="1:23" x14ac:dyDescent="0.2">
      <c r="A290" s="24"/>
      <c r="B290" s="24"/>
      <c r="C290" s="24"/>
      <c r="D290" s="24"/>
      <c r="E290" s="24"/>
      <c r="F290" s="24"/>
      <c r="G290" s="24">
        <v>2</v>
      </c>
      <c r="H290" s="24">
        <v>5</v>
      </c>
      <c r="I290" s="24">
        <v>1</v>
      </c>
      <c r="J290" s="24" t="s">
        <v>1173</v>
      </c>
      <c r="K290" s="24" t="s">
        <v>463</v>
      </c>
      <c r="L290" s="24" t="s">
        <v>142</v>
      </c>
      <c r="M290" s="24" t="s">
        <v>158</v>
      </c>
      <c r="N290" s="27" t="s">
        <v>1231</v>
      </c>
      <c r="V290" s="24"/>
      <c r="W290" s="31"/>
    </row>
    <row r="291" spans="1:23" ht="15" x14ac:dyDescent="0.2">
      <c r="A291" s="68">
        <v>0</v>
      </c>
      <c r="B291" s="68">
        <v>6</v>
      </c>
      <c r="C291" s="68">
        <v>0</v>
      </c>
      <c r="D291" s="69">
        <v>825220039</v>
      </c>
      <c r="E291" s="69" t="s">
        <v>143</v>
      </c>
      <c r="F291" s="24" t="s">
        <v>173</v>
      </c>
      <c r="G291" s="24">
        <v>0</v>
      </c>
      <c r="H291" s="24">
        <v>6</v>
      </c>
      <c r="I291" s="24">
        <v>0</v>
      </c>
      <c r="J291" s="24" t="s">
        <v>1175</v>
      </c>
      <c r="K291" s="24" t="s">
        <v>465</v>
      </c>
      <c r="L291" s="24" t="s">
        <v>143</v>
      </c>
      <c r="M291" s="24" t="s">
        <v>173</v>
      </c>
      <c r="N291" s="25">
        <v>1</v>
      </c>
      <c r="V291" s="24"/>
      <c r="W291" s="31"/>
    </row>
    <row r="292" spans="1:23" ht="15" x14ac:dyDescent="0.2">
      <c r="A292" s="68">
        <v>0</v>
      </c>
      <c r="B292" s="68">
        <v>6</v>
      </c>
      <c r="C292" s="68">
        <v>0</v>
      </c>
      <c r="D292" s="69">
        <v>825220050</v>
      </c>
      <c r="E292" s="69" t="s">
        <v>143</v>
      </c>
      <c r="F292" s="24" t="s">
        <v>173</v>
      </c>
      <c r="G292" s="24">
        <v>0</v>
      </c>
      <c r="H292" s="24">
        <v>6</v>
      </c>
      <c r="I292" s="24">
        <v>0</v>
      </c>
      <c r="J292" s="24" t="s">
        <v>1176</v>
      </c>
      <c r="K292" s="24" t="s">
        <v>466</v>
      </c>
      <c r="L292" s="24" t="s">
        <v>143</v>
      </c>
      <c r="M292" s="24" t="s">
        <v>173</v>
      </c>
      <c r="N292" s="25">
        <v>1</v>
      </c>
      <c r="V292" s="24"/>
      <c r="W292" s="31"/>
    </row>
    <row r="293" spans="1:23" ht="15" x14ac:dyDescent="0.2">
      <c r="A293" s="68">
        <v>0</v>
      </c>
      <c r="B293" s="68">
        <v>6</v>
      </c>
      <c r="C293" s="68">
        <v>0</v>
      </c>
      <c r="D293" s="69">
        <v>825220052</v>
      </c>
      <c r="E293" s="69" t="s">
        <v>143</v>
      </c>
      <c r="F293" s="24" t="s">
        <v>173</v>
      </c>
      <c r="G293" s="24">
        <v>0</v>
      </c>
      <c r="H293" s="24">
        <v>6</v>
      </c>
      <c r="I293" s="24">
        <v>0</v>
      </c>
      <c r="J293" s="24" t="s">
        <v>1177</v>
      </c>
      <c r="K293" s="24" t="s">
        <v>467</v>
      </c>
      <c r="L293" s="24" t="s">
        <v>143</v>
      </c>
      <c r="M293" s="24" t="s">
        <v>173</v>
      </c>
      <c r="N293" s="25">
        <v>1</v>
      </c>
      <c r="V293" s="24"/>
      <c r="W293" s="31"/>
    </row>
    <row r="294" spans="1:23" ht="15" x14ac:dyDescent="0.2">
      <c r="A294" s="68">
        <v>0</v>
      </c>
      <c r="B294" s="68">
        <v>6</v>
      </c>
      <c r="C294" s="68">
        <v>0</v>
      </c>
      <c r="D294" s="69">
        <v>825220066</v>
      </c>
      <c r="E294" s="69" t="s">
        <v>143</v>
      </c>
      <c r="F294" s="24" t="s">
        <v>173</v>
      </c>
      <c r="G294" s="24">
        <v>0</v>
      </c>
      <c r="H294" s="24">
        <v>6</v>
      </c>
      <c r="I294" s="24">
        <v>0</v>
      </c>
      <c r="J294" s="24" t="s">
        <v>1178</v>
      </c>
      <c r="K294" s="24" t="s">
        <v>468</v>
      </c>
      <c r="L294" s="24" t="s">
        <v>143</v>
      </c>
      <c r="M294" s="24" t="s">
        <v>173</v>
      </c>
      <c r="N294" s="25">
        <v>1</v>
      </c>
      <c r="V294" s="24"/>
      <c r="W294" s="31"/>
    </row>
    <row r="295" spans="1:23" ht="15" x14ac:dyDescent="0.2">
      <c r="A295" s="68">
        <v>0</v>
      </c>
      <c r="B295" s="68">
        <v>6</v>
      </c>
      <c r="C295" s="68">
        <v>0</v>
      </c>
      <c r="D295" s="69">
        <v>825220170</v>
      </c>
      <c r="E295" s="69" t="s">
        <v>143</v>
      </c>
      <c r="F295" s="24" t="s">
        <v>173</v>
      </c>
      <c r="G295" s="24">
        <v>0</v>
      </c>
      <c r="H295" s="24">
        <v>6</v>
      </c>
      <c r="I295" s="24">
        <v>0</v>
      </c>
      <c r="J295" s="24" t="s">
        <v>1179</v>
      </c>
      <c r="K295" s="24" t="s">
        <v>469</v>
      </c>
      <c r="L295" s="24" t="s">
        <v>143</v>
      </c>
      <c r="M295" s="24" t="s">
        <v>173</v>
      </c>
      <c r="N295" s="25">
        <v>1</v>
      </c>
      <c r="V295" s="24"/>
      <c r="W295" s="31"/>
    </row>
    <row r="296" spans="1:23" ht="15" x14ac:dyDescent="0.2">
      <c r="A296" s="68">
        <v>1</v>
      </c>
      <c r="B296" s="68">
        <v>6</v>
      </c>
      <c r="C296" s="68">
        <v>0</v>
      </c>
      <c r="D296" s="69">
        <v>825200094</v>
      </c>
      <c r="E296" s="69" t="s">
        <v>146</v>
      </c>
      <c r="F296" s="24" t="s">
        <v>173</v>
      </c>
      <c r="G296" s="24">
        <v>1</v>
      </c>
      <c r="H296" s="24">
        <v>6</v>
      </c>
      <c r="I296" s="24">
        <v>0</v>
      </c>
      <c r="J296" s="24" t="s">
        <v>1190</v>
      </c>
      <c r="K296" s="24" t="s">
        <v>480</v>
      </c>
      <c r="L296" s="24" t="s">
        <v>143</v>
      </c>
      <c r="M296" s="24" t="s">
        <v>173</v>
      </c>
      <c r="N296" s="25">
        <v>1</v>
      </c>
      <c r="V296" s="24"/>
      <c r="W296" s="31"/>
    </row>
    <row r="297" spans="1:23" ht="15" x14ac:dyDescent="0.2">
      <c r="A297" s="68">
        <v>1</v>
      </c>
      <c r="B297" s="68">
        <v>6</v>
      </c>
      <c r="C297" s="68">
        <v>0</v>
      </c>
      <c r="D297" s="69">
        <v>825220096</v>
      </c>
      <c r="E297" s="69" t="s">
        <v>146</v>
      </c>
      <c r="F297" s="24" t="s">
        <v>173</v>
      </c>
      <c r="G297" s="24">
        <v>1</v>
      </c>
      <c r="H297" s="24">
        <v>6</v>
      </c>
      <c r="I297" s="24">
        <v>0</v>
      </c>
      <c r="J297" s="24" t="s">
        <v>1191</v>
      </c>
      <c r="K297" s="24" t="s">
        <v>481</v>
      </c>
      <c r="L297" s="24" t="s">
        <v>143</v>
      </c>
      <c r="M297" s="24" t="s">
        <v>173</v>
      </c>
      <c r="N297" s="25">
        <v>1</v>
      </c>
      <c r="V297" s="24"/>
      <c r="W297" s="31"/>
    </row>
    <row r="298" spans="1:23" ht="15" x14ac:dyDescent="0.2">
      <c r="A298" s="68">
        <v>1</v>
      </c>
      <c r="B298" s="68">
        <v>6</v>
      </c>
      <c r="C298" s="68">
        <v>0</v>
      </c>
      <c r="D298" s="69">
        <v>535220185</v>
      </c>
      <c r="E298" s="69" t="s">
        <v>145</v>
      </c>
      <c r="F298" s="24" t="s">
        <v>165</v>
      </c>
      <c r="G298" s="24">
        <v>1</v>
      </c>
      <c r="H298" s="24">
        <v>6</v>
      </c>
      <c r="I298" s="24">
        <v>0</v>
      </c>
      <c r="J298" s="24" t="s">
        <v>1192</v>
      </c>
      <c r="K298" s="24" t="s">
        <v>482</v>
      </c>
      <c r="L298" s="24" t="s">
        <v>143</v>
      </c>
      <c r="M298" s="24" t="s">
        <v>173</v>
      </c>
      <c r="N298" s="25">
        <v>0</v>
      </c>
      <c r="V298" s="24"/>
      <c r="W298" s="31"/>
    </row>
    <row r="299" spans="1:23" ht="15" x14ac:dyDescent="0.2">
      <c r="A299" s="68">
        <v>1</v>
      </c>
      <c r="B299" s="68">
        <v>6</v>
      </c>
      <c r="C299" s="68">
        <v>0</v>
      </c>
      <c r="D299" s="69">
        <v>535220190</v>
      </c>
      <c r="E299" s="69" t="s">
        <v>145</v>
      </c>
      <c r="F299" s="24" t="s">
        <v>165</v>
      </c>
      <c r="G299" s="24">
        <v>1</v>
      </c>
      <c r="H299" s="24">
        <v>6</v>
      </c>
      <c r="I299" s="24">
        <v>0</v>
      </c>
      <c r="J299" s="24" t="s">
        <v>1193</v>
      </c>
      <c r="K299" s="24" t="s">
        <v>483</v>
      </c>
      <c r="L299" s="24" t="s">
        <v>143</v>
      </c>
      <c r="M299" s="24" t="s">
        <v>173</v>
      </c>
      <c r="N299" s="25">
        <v>0</v>
      </c>
      <c r="V299" s="24"/>
      <c r="W299" s="31"/>
    </row>
    <row r="300" spans="1:23" ht="15" x14ac:dyDescent="0.2">
      <c r="A300" s="68">
        <v>1</v>
      </c>
      <c r="B300" s="68">
        <v>6</v>
      </c>
      <c r="C300" s="68">
        <v>0</v>
      </c>
      <c r="D300" s="69">
        <v>535220192</v>
      </c>
      <c r="E300" s="69" t="s">
        <v>145</v>
      </c>
      <c r="F300" s="24" t="s">
        <v>165</v>
      </c>
      <c r="G300" s="24">
        <v>1</v>
      </c>
      <c r="H300" s="24">
        <v>6</v>
      </c>
      <c r="I300" s="24">
        <v>0</v>
      </c>
      <c r="J300" s="24" t="s">
        <v>1194</v>
      </c>
      <c r="K300" s="24" t="s">
        <v>484</v>
      </c>
      <c r="L300" s="24" t="s">
        <v>143</v>
      </c>
      <c r="M300" s="24" t="s">
        <v>173</v>
      </c>
      <c r="N300" s="25">
        <v>0</v>
      </c>
      <c r="V300" s="24"/>
      <c r="W300" s="31"/>
    </row>
    <row r="301" spans="1:23" ht="15" x14ac:dyDescent="0.2">
      <c r="A301" s="68">
        <v>2</v>
      </c>
      <c r="B301" s="68">
        <v>6</v>
      </c>
      <c r="C301" s="68">
        <v>0</v>
      </c>
      <c r="D301" s="69">
        <v>535220227</v>
      </c>
      <c r="E301" s="69" t="s">
        <v>145</v>
      </c>
      <c r="F301" s="24" t="s">
        <v>165</v>
      </c>
      <c r="G301" s="24">
        <v>2</v>
      </c>
      <c r="H301" s="24">
        <v>6</v>
      </c>
      <c r="I301" s="24">
        <v>0</v>
      </c>
      <c r="J301" s="24" t="s">
        <v>1205</v>
      </c>
      <c r="K301" s="24" t="s">
        <v>495</v>
      </c>
      <c r="L301" s="24" t="s">
        <v>143</v>
      </c>
      <c r="M301" s="24" t="s">
        <v>173</v>
      </c>
      <c r="N301" s="25">
        <v>0</v>
      </c>
      <c r="V301" s="24"/>
      <c r="W301" s="31"/>
    </row>
    <row r="302" spans="1:23" ht="15" x14ac:dyDescent="0.2">
      <c r="A302" s="68">
        <v>2</v>
      </c>
      <c r="B302" s="68">
        <v>6</v>
      </c>
      <c r="C302" s="68">
        <v>0</v>
      </c>
      <c r="D302" s="69">
        <v>825220001</v>
      </c>
      <c r="E302" s="69" t="s">
        <v>145</v>
      </c>
      <c r="F302" s="24" t="s">
        <v>165</v>
      </c>
      <c r="G302" s="24">
        <v>2</v>
      </c>
      <c r="H302" s="24">
        <v>6</v>
      </c>
      <c r="I302" s="24">
        <v>0</v>
      </c>
      <c r="J302" s="24" t="s">
        <v>1206</v>
      </c>
      <c r="K302" s="24" t="s">
        <v>496</v>
      </c>
      <c r="L302" s="24" t="s">
        <v>143</v>
      </c>
      <c r="M302" s="24" t="s">
        <v>173</v>
      </c>
      <c r="N302" s="25">
        <v>0</v>
      </c>
      <c r="V302" s="24"/>
      <c r="W302" s="31"/>
    </row>
    <row r="303" spans="1:23" ht="15" x14ac:dyDescent="0.2">
      <c r="A303" s="68">
        <v>2</v>
      </c>
      <c r="B303" s="68">
        <v>6</v>
      </c>
      <c r="C303" s="68">
        <v>0</v>
      </c>
      <c r="D303" s="69">
        <v>825220029</v>
      </c>
      <c r="E303" s="69" t="s">
        <v>145</v>
      </c>
      <c r="F303" s="24" t="s">
        <v>165</v>
      </c>
      <c r="G303" s="24">
        <v>2</v>
      </c>
      <c r="H303" s="24">
        <v>6</v>
      </c>
      <c r="I303" s="24">
        <v>0</v>
      </c>
      <c r="J303" s="24" t="s">
        <v>1207</v>
      </c>
      <c r="K303" s="24" t="s">
        <v>497</v>
      </c>
      <c r="L303" s="24" t="s">
        <v>143</v>
      </c>
      <c r="M303" s="24" t="s">
        <v>173</v>
      </c>
      <c r="N303" s="25">
        <v>0</v>
      </c>
      <c r="V303" s="24"/>
      <c r="W303" s="31"/>
    </row>
    <row r="304" spans="1:23" ht="15" x14ac:dyDescent="0.2">
      <c r="A304" s="68">
        <v>2</v>
      </c>
      <c r="B304" s="68">
        <v>6</v>
      </c>
      <c r="C304" s="68">
        <v>0</v>
      </c>
      <c r="D304" s="69">
        <v>825220030</v>
      </c>
      <c r="E304" s="69" t="s">
        <v>145</v>
      </c>
      <c r="F304" s="24" t="s">
        <v>165</v>
      </c>
      <c r="G304" s="24">
        <v>2</v>
      </c>
      <c r="H304" s="24">
        <v>6</v>
      </c>
      <c r="I304" s="24">
        <v>0</v>
      </c>
      <c r="J304" s="24" t="s">
        <v>1208</v>
      </c>
      <c r="K304" s="24" t="s">
        <v>498</v>
      </c>
      <c r="L304" s="24" t="s">
        <v>143</v>
      </c>
      <c r="M304" s="24" t="s">
        <v>173</v>
      </c>
      <c r="N304" s="25">
        <v>0</v>
      </c>
      <c r="V304" s="24"/>
      <c r="W304" s="31"/>
    </row>
    <row r="305" spans="1:23" ht="15" x14ac:dyDescent="0.2">
      <c r="A305" s="68">
        <v>2</v>
      </c>
      <c r="B305" s="68">
        <v>6</v>
      </c>
      <c r="C305" s="68">
        <v>0</v>
      </c>
      <c r="D305" s="69">
        <v>825220069</v>
      </c>
      <c r="E305" s="69" t="s">
        <v>145</v>
      </c>
      <c r="F305" s="24" t="s">
        <v>165</v>
      </c>
      <c r="G305" s="24">
        <v>2</v>
      </c>
      <c r="H305" s="24">
        <v>6</v>
      </c>
      <c r="I305" s="24">
        <v>0</v>
      </c>
      <c r="J305" s="24" t="s">
        <v>1209</v>
      </c>
      <c r="K305" s="24" t="s">
        <v>499</v>
      </c>
      <c r="L305" s="24" t="s">
        <v>146</v>
      </c>
      <c r="M305" s="24" t="s">
        <v>173</v>
      </c>
      <c r="N305" s="25">
        <v>0</v>
      </c>
      <c r="V305" s="24"/>
      <c r="W305" s="31"/>
    </row>
    <row r="306" spans="1:23" ht="15" x14ac:dyDescent="0.2">
      <c r="A306" s="68">
        <v>3</v>
      </c>
      <c r="B306" s="68">
        <v>6</v>
      </c>
      <c r="C306" s="68">
        <v>0</v>
      </c>
      <c r="D306" s="69">
        <v>825220112</v>
      </c>
      <c r="E306" s="69" t="s">
        <v>145</v>
      </c>
      <c r="F306" s="24" t="s">
        <v>165</v>
      </c>
      <c r="G306" s="24">
        <v>3</v>
      </c>
      <c r="H306" s="24">
        <v>6</v>
      </c>
      <c r="I306" s="24">
        <v>0</v>
      </c>
      <c r="J306" s="24" t="s">
        <v>1220</v>
      </c>
      <c r="K306" s="24" t="s">
        <v>510</v>
      </c>
      <c r="L306" s="24" t="s">
        <v>146</v>
      </c>
      <c r="M306" s="24" t="s">
        <v>173</v>
      </c>
      <c r="N306" s="25">
        <v>0</v>
      </c>
      <c r="V306" s="24"/>
      <c r="W306" s="31"/>
    </row>
    <row r="307" spans="1:23" ht="15" x14ac:dyDescent="0.2">
      <c r="A307" s="68">
        <v>3</v>
      </c>
      <c r="B307" s="68">
        <v>6</v>
      </c>
      <c r="C307" s="68">
        <v>0</v>
      </c>
      <c r="D307" s="69">
        <v>535220145</v>
      </c>
      <c r="E307" s="69" t="s">
        <v>147</v>
      </c>
      <c r="F307" s="24" t="s">
        <v>156</v>
      </c>
      <c r="G307" s="24">
        <v>3</v>
      </c>
      <c r="H307" s="24">
        <v>6</v>
      </c>
      <c r="I307" s="24">
        <v>0</v>
      </c>
      <c r="J307" s="24" t="s">
        <v>1221</v>
      </c>
      <c r="K307" s="24" t="s">
        <v>511</v>
      </c>
      <c r="L307" s="24" t="s">
        <v>142</v>
      </c>
      <c r="M307" s="24" t="s">
        <v>174</v>
      </c>
      <c r="N307" s="25">
        <v>0</v>
      </c>
      <c r="V307" s="24"/>
      <c r="W307" s="31"/>
    </row>
    <row r="308" spans="1:23" ht="15" x14ac:dyDescent="0.2">
      <c r="A308" s="68">
        <v>3</v>
      </c>
      <c r="B308" s="68">
        <v>6</v>
      </c>
      <c r="C308" s="68">
        <v>0</v>
      </c>
      <c r="D308" s="69">
        <v>535220228</v>
      </c>
      <c r="E308" s="69" t="s">
        <v>147</v>
      </c>
      <c r="F308" s="24" t="s">
        <v>156</v>
      </c>
      <c r="G308" s="24">
        <v>0</v>
      </c>
      <c r="H308" s="24">
        <v>6</v>
      </c>
      <c r="I308" s="24">
        <v>1</v>
      </c>
      <c r="J308" s="24" t="s">
        <v>1180</v>
      </c>
      <c r="K308" s="24" t="s">
        <v>470</v>
      </c>
      <c r="L308" s="24" t="s">
        <v>142</v>
      </c>
      <c r="M308" s="24" t="s">
        <v>174</v>
      </c>
      <c r="N308" s="25">
        <v>999</v>
      </c>
      <c r="V308" s="24"/>
      <c r="W308" s="31"/>
    </row>
    <row r="309" spans="1:23" ht="15" x14ac:dyDescent="0.2">
      <c r="A309" s="68">
        <v>3</v>
      </c>
      <c r="B309" s="68">
        <v>6</v>
      </c>
      <c r="C309" s="68">
        <v>0</v>
      </c>
      <c r="D309" s="69">
        <v>535220229</v>
      </c>
      <c r="E309" s="69" t="s">
        <v>147</v>
      </c>
      <c r="F309" s="24" t="s">
        <v>156</v>
      </c>
      <c r="G309" s="24">
        <v>0</v>
      </c>
      <c r="H309" s="24">
        <v>6</v>
      </c>
      <c r="I309" s="24">
        <v>1</v>
      </c>
      <c r="J309" s="24" t="s">
        <v>1181</v>
      </c>
      <c r="K309" s="24" t="s">
        <v>471</v>
      </c>
      <c r="L309" s="24" t="s">
        <v>142</v>
      </c>
      <c r="M309" s="24" t="s">
        <v>174</v>
      </c>
      <c r="N309" s="25">
        <v>999</v>
      </c>
      <c r="V309" s="24"/>
      <c r="W309" s="31"/>
    </row>
    <row r="310" spans="1:23" ht="15" x14ac:dyDescent="0.2">
      <c r="A310" s="68">
        <v>3</v>
      </c>
      <c r="B310" s="68">
        <v>6</v>
      </c>
      <c r="C310" s="68">
        <v>0</v>
      </c>
      <c r="D310" s="69">
        <v>825220022</v>
      </c>
      <c r="E310" s="69" t="s">
        <v>147</v>
      </c>
      <c r="F310" s="24" t="s">
        <v>156</v>
      </c>
      <c r="G310" s="24">
        <v>0</v>
      </c>
      <c r="H310" s="24">
        <v>6</v>
      </c>
      <c r="I310" s="24">
        <v>1</v>
      </c>
      <c r="J310" s="24" t="s">
        <v>1182</v>
      </c>
      <c r="K310" s="24" t="s">
        <v>472</v>
      </c>
      <c r="L310" s="24" t="s">
        <v>142</v>
      </c>
      <c r="M310" s="24" t="s">
        <v>174</v>
      </c>
      <c r="N310" s="25">
        <v>999</v>
      </c>
      <c r="V310" s="24"/>
      <c r="W310" s="31"/>
    </row>
    <row r="311" spans="1:23" x14ac:dyDescent="0.2">
      <c r="A311" s="24"/>
      <c r="B311" s="24"/>
      <c r="C311" s="24"/>
      <c r="D311" s="24"/>
      <c r="E311" s="24"/>
      <c r="F311" s="24"/>
      <c r="G311" s="24">
        <v>0</v>
      </c>
      <c r="H311" s="24">
        <v>6</v>
      </c>
      <c r="I311" s="24">
        <v>1</v>
      </c>
      <c r="J311" s="24" t="s">
        <v>1183</v>
      </c>
      <c r="K311" s="24" t="s">
        <v>473</v>
      </c>
      <c r="L311" s="24" t="s">
        <v>142</v>
      </c>
      <c r="M311" s="24" t="s">
        <v>174</v>
      </c>
      <c r="N311" s="27" t="s">
        <v>1231</v>
      </c>
      <c r="V311" s="24"/>
      <c r="W311" s="31"/>
    </row>
    <row r="312" spans="1:23" x14ac:dyDescent="0.2">
      <c r="A312" s="24"/>
      <c r="B312" s="24"/>
      <c r="C312" s="24"/>
      <c r="D312" s="24"/>
      <c r="E312" s="24"/>
      <c r="F312" s="24"/>
      <c r="G312" s="24">
        <v>0</v>
      </c>
      <c r="H312" s="24">
        <v>6</v>
      </c>
      <c r="I312" s="24">
        <v>1</v>
      </c>
      <c r="J312" s="24" t="s">
        <v>1184</v>
      </c>
      <c r="K312" s="24" t="s">
        <v>474</v>
      </c>
      <c r="L312" s="24" t="s">
        <v>142</v>
      </c>
      <c r="M312" s="24" t="s">
        <v>174</v>
      </c>
      <c r="N312" s="27" t="s">
        <v>1231</v>
      </c>
      <c r="V312" s="24"/>
      <c r="W312" s="31"/>
    </row>
    <row r="313" spans="1:23" ht="15" x14ac:dyDescent="0.2">
      <c r="A313" s="68">
        <v>1</v>
      </c>
      <c r="B313" s="68">
        <v>6</v>
      </c>
      <c r="C313" s="68">
        <v>1</v>
      </c>
      <c r="D313" s="69">
        <v>825220026</v>
      </c>
      <c r="E313" s="69" t="s">
        <v>142</v>
      </c>
      <c r="F313" s="24" t="s">
        <v>174</v>
      </c>
      <c r="G313" s="24">
        <v>1</v>
      </c>
      <c r="H313" s="24">
        <v>6</v>
      </c>
      <c r="I313" s="24">
        <v>1</v>
      </c>
      <c r="J313" s="24" t="s">
        <v>1195</v>
      </c>
      <c r="K313" s="24" t="s">
        <v>485</v>
      </c>
      <c r="L313" s="24" t="s">
        <v>142</v>
      </c>
      <c r="M313" s="24" t="s">
        <v>174</v>
      </c>
      <c r="N313" s="25">
        <v>1</v>
      </c>
      <c r="V313" s="24"/>
      <c r="W313" s="31"/>
    </row>
    <row r="314" spans="1:23" ht="15" x14ac:dyDescent="0.2">
      <c r="A314" s="68">
        <v>1</v>
      </c>
      <c r="B314" s="68">
        <v>6</v>
      </c>
      <c r="C314" s="68">
        <v>1</v>
      </c>
      <c r="D314" s="69">
        <v>825220042</v>
      </c>
      <c r="E314" s="69" t="s">
        <v>142</v>
      </c>
      <c r="F314" s="24" t="s">
        <v>174</v>
      </c>
      <c r="G314" s="24">
        <v>1</v>
      </c>
      <c r="H314" s="24">
        <v>6</v>
      </c>
      <c r="I314" s="24">
        <v>1</v>
      </c>
      <c r="J314" s="24" t="s">
        <v>1196</v>
      </c>
      <c r="K314" s="24" t="s">
        <v>486</v>
      </c>
      <c r="L314" s="24" t="s">
        <v>142</v>
      </c>
      <c r="M314" s="24" t="s">
        <v>174</v>
      </c>
      <c r="N314" s="25">
        <v>1</v>
      </c>
      <c r="V314" s="24"/>
      <c r="W314" s="31"/>
    </row>
    <row r="315" spans="1:23" ht="15" x14ac:dyDescent="0.2">
      <c r="A315" s="68">
        <v>1</v>
      </c>
      <c r="B315" s="68">
        <v>6</v>
      </c>
      <c r="C315" s="68">
        <v>1</v>
      </c>
      <c r="D315" s="69">
        <v>825220043</v>
      </c>
      <c r="E315" s="69" t="s">
        <v>142</v>
      </c>
      <c r="F315" s="24" t="s">
        <v>174</v>
      </c>
      <c r="G315" s="24">
        <v>1</v>
      </c>
      <c r="H315" s="24">
        <v>6</v>
      </c>
      <c r="I315" s="24">
        <v>1</v>
      </c>
      <c r="J315" s="24" t="s">
        <v>1197</v>
      </c>
      <c r="K315" s="24" t="s">
        <v>487</v>
      </c>
      <c r="L315" s="24" t="s">
        <v>142</v>
      </c>
      <c r="M315" s="24" t="s">
        <v>174</v>
      </c>
      <c r="N315" s="25">
        <v>1</v>
      </c>
      <c r="V315" s="24"/>
      <c r="W315" s="31"/>
    </row>
    <row r="316" spans="1:23" ht="15" x14ac:dyDescent="0.2">
      <c r="A316" s="68">
        <v>1</v>
      </c>
      <c r="B316" s="68">
        <v>6</v>
      </c>
      <c r="C316" s="68">
        <v>1</v>
      </c>
      <c r="D316" s="69">
        <v>825220044</v>
      </c>
      <c r="E316" s="69" t="s">
        <v>142</v>
      </c>
      <c r="F316" s="24" t="s">
        <v>174</v>
      </c>
      <c r="G316" s="24">
        <v>1</v>
      </c>
      <c r="H316" s="24">
        <v>6</v>
      </c>
      <c r="I316" s="24">
        <v>1</v>
      </c>
      <c r="J316" s="24" t="s">
        <v>1198</v>
      </c>
      <c r="K316" s="24" t="s">
        <v>488</v>
      </c>
      <c r="L316" s="24" t="s">
        <v>142</v>
      </c>
      <c r="M316" s="24" t="s">
        <v>174</v>
      </c>
      <c r="N316" s="25">
        <v>1</v>
      </c>
      <c r="V316" s="24"/>
      <c r="W316" s="31"/>
    </row>
    <row r="317" spans="1:23" ht="15" x14ac:dyDescent="0.2">
      <c r="A317" s="68">
        <v>1</v>
      </c>
      <c r="B317" s="68">
        <v>6</v>
      </c>
      <c r="C317" s="68">
        <v>1</v>
      </c>
      <c r="D317" s="69">
        <v>825220053</v>
      </c>
      <c r="E317" s="69" t="s">
        <v>142</v>
      </c>
      <c r="F317" s="24" t="s">
        <v>174</v>
      </c>
      <c r="G317" s="24">
        <v>1</v>
      </c>
      <c r="H317" s="24">
        <v>6</v>
      </c>
      <c r="I317" s="24">
        <v>1</v>
      </c>
      <c r="J317" s="24" t="s">
        <v>1199</v>
      </c>
      <c r="K317" s="24" t="s">
        <v>489</v>
      </c>
      <c r="L317" s="24" t="s">
        <v>142</v>
      </c>
      <c r="M317" s="24" t="s">
        <v>174</v>
      </c>
      <c r="N317" s="25">
        <v>1</v>
      </c>
      <c r="V317" s="24"/>
      <c r="W317" s="31"/>
    </row>
    <row r="318" spans="1:23" ht="15" x14ac:dyDescent="0.2">
      <c r="A318" s="68">
        <v>2</v>
      </c>
      <c r="B318" s="68">
        <v>6</v>
      </c>
      <c r="C318" s="68">
        <v>1</v>
      </c>
      <c r="D318" s="69">
        <v>535220052</v>
      </c>
      <c r="E318" s="69" t="s">
        <v>142</v>
      </c>
      <c r="F318" s="24" t="s">
        <v>158</v>
      </c>
      <c r="G318" s="24">
        <v>2</v>
      </c>
      <c r="H318" s="24">
        <v>6</v>
      </c>
      <c r="I318" s="24">
        <v>1</v>
      </c>
      <c r="J318" s="24" t="s">
        <v>1210</v>
      </c>
      <c r="K318" s="24" t="s">
        <v>500</v>
      </c>
      <c r="L318" s="24" t="s">
        <v>142</v>
      </c>
      <c r="M318" s="24" t="s">
        <v>174</v>
      </c>
      <c r="N318" s="25">
        <v>0</v>
      </c>
      <c r="V318" s="24"/>
      <c r="W318" s="31"/>
    </row>
    <row r="319" spans="1:23" ht="15" x14ac:dyDescent="0.2">
      <c r="A319" s="68">
        <v>2</v>
      </c>
      <c r="B319" s="68">
        <v>6</v>
      </c>
      <c r="C319" s="68">
        <v>1</v>
      </c>
      <c r="D319" s="69">
        <v>535220085</v>
      </c>
      <c r="E319" s="69" t="s">
        <v>142</v>
      </c>
      <c r="F319" s="24" t="s">
        <v>158</v>
      </c>
      <c r="G319" s="24">
        <v>2</v>
      </c>
      <c r="H319" s="24">
        <v>6</v>
      </c>
      <c r="I319" s="24">
        <v>1</v>
      </c>
      <c r="J319" s="24" t="s">
        <v>1211</v>
      </c>
      <c r="K319" s="24" t="s">
        <v>501</v>
      </c>
      <c r="L319" s="24" t="s">
        <v>142</v>
      </c>
      <c r="M319" s="24" t="s">
        <v>174</v>
      </c>
      <c r="N319" s="25">
        <v>0</v>
      </c>
      <c r="V319" s="24"/>
      <c r="W319" s="31"/>
    </row>
    <row r="320" spans="1:23" ht="15" x14ac:dyDescent="0.2">
      <c r="A320" s="68">
        <v>2</v>
      </c>
      <c r="B320" s="68">
        <v>6</v>
      </c>
      <c r="C320" s="68">
        <v>1</v>
      </c>
      <c r="D320" s="69">
        <v>535220087</v>
      </c>
      <c r="E320" s="69" t="s">
        <v>142</v>
      </c>
      <c r="F320" s="24" t="s">
        <v>158</v>
      </c>
      <c r="G320" s="24">
        <v>2</v>
      </c>
      <c r="H320" s="24">
        <v>6</v>
      </c>
      <c r="I320" s="24">
        <v>1</v>
      </c>
      <c r="J320" s="24" t="s">
        <v>1212</v>
      </c>
      <c r="K320" s="24" t="s">
        <v>502</v>
      </c>
      <c r="L320" s="24" t="s">
        <v>142</v>
      </c>
      <c r="M320" s="24" t="s">
        <v>174</v>
      </c>
      <c r="N320" s="25">
        <v>0</v>
      </c>
      <c r="V320" s="24"/>
      <c r="W320" s="31"/>
    </row>
    <row r="321" spans="1:23" ht="15" x14ac:dyDescent="0.2">
      <c r="A321" s="68">
        <v>2</v>
      </c>
      <c r="B321" s="68">
        <v>6</v>
      </c>
      <c r="C321" s="68">
        <v>1</v>
      </c>
      <c r="D321" s="69">
        <v>535220089</v>
      </c>
      <c r="E321" s="69" t="s">
        <v>142</v>
      </c>
      <c r="F321" s="24" t="s">
        <v>158</v>
      </c>
      <c r="G321" s="24">
        <v>2</v>
      </c>
      <c r="H321" s="24">
        <v>6</v>
      </c>
      <c r="I321" s="24">
        <v>1</v>
      </c>
      <c r="J321" s="24" t="s">
        <v>1213</v>
      </c>
      <c r="K321" s="24" t="s">
        <v>503</v>
      </c>
      <c r="L321" s="24" t="s">
        <v>142</v>
      </c>
      <c r="M321" s="24" t="s">
        <v>174</v>
      </c>
      <c r="N321" s="25">
        <v>0</v>
      </c>
      <c r="V321" s="24"/>
      <c r="W321" s="31"/>
    </row>
    <row r="322" spans="1:23" ht="15" x14ac:dyDescent="0.2">
      <c r="A322" s="68">
        <v>2</v>
      </c>
      <c r="B322" s="68">
        <v>6</v>
      </c>
      <c r="C322" s="68">
        <v>1</v>
      </c>
      <c r="D322" s="69">
        <v>535220091</v>
      </c>
      <c r="E322" s="69" t="s">
        <v>142</v>
      </c>
      <c r="F322" s="24" t="s">
        <v>158</v>
      </c>
      <c r="G322" s="24">
        <v>2</v>
      </c>
      <c r="H322" s="24">
        <v>6</v>
      </c>
      <c r="I322" s="24">
        <v>1</v>
      </c>
      <c r="J322" s="24" t="s">
        <v>1214</v>
      </c>
      <c r="K322" s="24" t="s">
        <v>504</v>
      </c>
      <c r="L322" s="24" t="s">
        <v>142</v>
      </c>
      <c r="M322" s="24" t="s">
        <v>174</v>
      </c>
      <c r="N322" s="25">
        <v>0</v>
      </c>
      <c r="V322" s="24"/>
      <c r="W322" s="31"/>
    </row>
    <row r="323" spans="1:23" ht="15" x14ac:dyDescent="0.2">
      <c r="A323" s="68">
        <v>0</v>
      </c>
      <c r="B323" s="68">
        <v>6</v>
      </c>
      <c r="C323" s="68">
        <v>2</v>
      </c>
      <c r="D323" s="69">
        <v>535220039</v>
      </c>
      <c r="E323" s="69" t="s">
        <v>142</v>
      </c>
      <c r="F323" s="24" t="s">
        <v>166</v>
      </c>
      <c r="G323" s="24">
        <v>0</v>
      </c>
      <c r="H323" s="24">
        <v>6</v>
      </c>
      <c r="I323" s="24">
        <v>2</v>
      </c>
      <c r="J323" s="24" t="s">
        <v>1185</v>
      </c>
      <c r="K323" s="24" t="s">
        <v>475</v>
      </c>
      <c r="L323" s="24" t="s">
        <v>143</v>
      </c>
      <c r="M323" s="24" t="s">
        <v>175</v>
      </c>
      <c r="N323" s="25">
        <v>0</v>
      </c>
      <c r="V323" s="24"/>
      <c r="W323" s="31"/>
    </row>
    <row r="324" spans="1:23" ht="15" x14ac:dyDescent="0.2">
      <c r="A324" s="68">
        <v>0</v>
      </c>
      <c r="B324" s="68">
        <v>6</v>
      </c>
      <c r="C324" s="68">
        <v>2</v>
      </c>
      <c r="D324" s="69">
        <v>535220041</v>
      </c>
      <c r="E324" s="69" t="s">
        <v>142</v>
      </c>
      <c r="F324" s="24" t="s">
        <v>166</v>
      </c>
      <c r="G324" s="24">
        <v>0</v>
      </c>
      <c r="H324" s="24">
        <v>6</v>
      </c>
      <c r="I324" s="24">
        <v>2</v>
      </c>
      <c r="J324" s="24" t="s">
        <v>1186</v>
      </c>
      <c r="K324" s="24" t="s">
        <v>476</v>
      </c>
      <c r="L324" s="24" t="s">
        <v>143</v>
      </c>
      <c r="M324" s="24" t="s">
        <v>175</v>
      </c>
      <c r="N324" s="25">
        <v>0</v>
      </c>
      <c r="V324" s="24"/>
      <c r="W324" s="31"/>
    </row>
    <row r="325" spans="1:23" ht="15" x14ac:dyDescent="0.2">
      <c r="A325" s="68">
        <v>0</v>
      </c>
      <c r="B325" s="68">
        <v>6</v>
      </c>
      <c r="C325" s="68">
        <v>2</v>
      </c>
      <c r="D325" s="69">
        <v>535220051</v>
      </c>
      <c r="E325" s="69" t="s">
        <v>142</v>
      </c>
      <c r="F325" s="24" t="s">
        <v>166</v>
      </c>
      <c r="G325" s="24">
        <v>0</v>
      </c>
      <c r="H325" s="24">
        <v>6</v>
      </c>
      <c r="I325" s="24">
        <v>2</v>
      </c>
      <c r="J325" s="24" t="s">
        <v>1187</v>
      </c>
      <c r="K325" s="24" t="s">
        <v>477</v>
      </c>
      <c r="L325" s="24" t="s">
        <v>143</v>
      </c>
      <c r="M325" s="24" t="s">
        <v>175</v>
      </c>
      <c r="N325" s="25">
        <v>0</v>
      </c>
      <c r="V325" s="24"/>
      <c r="W325" s="31"/>
    </row>
    <row r="326" spans="1:23" ht="15" x14ac:dyDescent="0.2">
      <c r="A326" s="68">
        <v>0</v>
      </c>
      <c r="B326" s="68">
        <v>6</v>
      </c>
      <c r="C326" s="68">
        <v>2</v>
      </c>
      <c r="D326" s="69">
        <v>535220146</v>
      </c>
      <c r="E326" s="69" t="s">
        <v>142</v>
      </c>
      <c r="F326" s="24" t="s">
        <v>166</v>
      </c>
      <c r="G326" s="24">
        <v>0</v>
      </c>
      <c r="H326" s="24">
        <v>6</v>
      </c>
      <c r="I326" s="24">
        <v>2</v>
      </c>
      <c r="J326" s="24" t="s">
        <v>1188</v>
      </c>
      <c r="K326" s="24" t="s">
        <v>478</v>
      </c>
      <c r="L326" s="24" t="s">
        <v>143</v>
      </c>
      <c r="M326" s="24" t="s">
        <v>175</v>
      </c>
      <c r="N326" s="25">
        <v>0</v>
      </c>
      <c r="V326" s="24"/>
      <c r="W326" s="31"/>
    </row>
    <row r="327" spans="1:23" ht="15" x14ac:dyDescent="0.2">
      <c r="A327" s="68">
        <v>0</v>
      </c>
      <c r="B327" s="68">
        <v>6</v>
      </c>
      <c r="C327" s="68">
        <v>2</v>
      </c>
      <c r="D327" s="69">
        <v>535220151</v>
      </c>
      <c r="E327" s="69" t="s">
        <v>142</v>
      </c>
      <c r="F327" s="24" t="s">
        <v>166</v>
      </c>
      <c r="G327" s="24">
        <v>0</v>
      </c>
      <c r="H327" s="24">
        <v>6</v>
      </c>
      <c r="I327" s="24">
        <v>2</v>
      </c>
      <c r="J327" s="24" t="s">
        <v>1189</v>
      </c>
      <c r="K327" s="24" t="s">
        <v>479</v>
      </c>
      <c r="L327" s="24" t="s">
        <v>143</v>
      </c>
      <c r="M327" s="24" t="s">
        <v>175</v>
      </c>
      <c r="N327" s="25">
        <v>0</v>
      </c>
      <c r="V327" s="24"/>
      <c r="W327" s="31"/>
    </row>
    <row r="328" spans="1:23" ht="15" x14ac:dyDescent="0.2">
      <c r="A328" s="68">
        <v>1</v>
      </c>
      <c r="B328" s="68">
        <v>6</v>
      </c>
      <c r="C328" s="68">
        <v>2</v>
      </c>
      <c r="D328" s="69">
        <v>535220161</v>
      </c>
      <c r="E328" s="69" t="s">
        <v>142</v>
      </c>
      <c r="F328" s="24" t="s">
        <v>166</v>
      </c>
      <c r="G328" s="24">
        <v>1</v>
      </c>
      <c r="H328" s="24">
        <v>6</v>
      </c>
      <c r="I328" s="24">
        <v>2</v>
      </c>
      <c r="J328" s="24" t="s">
        <v>1200</v>
      </c>
      <c r="K328" s="24" t="s">
        <v>490</v>
      </c>
      <c r="L328" s="24" t="s">
        <v>143</v>
      </c>
      <c r="M328" s="24" t="s">
        <v>175</v>
      </c>
      <c r="N328" s="25">
        <v>0</v>
      </c>
      <c r="V328" s="24"/>
      <c r="W328" s="31"/>
    </row>
    <row r="329" spans="1:23" ht="15" x14ac:dyDescent="0.2">
      <c r="A329" s="68">
        <v>1</v>
      </c>
      <c r="B329" s="68">
        <v>6</v>
      </c>
      <c r="C329" s="68">
        <v>2</v>
      </c>
      <c r="D329" s="69">
        <v>535220235</v>
      </c>
      <c r="E329" s="69" t="s">
        <v>142</v>
      </c>
      <c r="F329" s="24" t="s">
        <v>166</v>
      </c>
      <c r="G329" s="24">
        <v>1</v>
      </c>
      <c r="H329" s="24">
        <v>6</v>
      </c>
      <c r="I329" s="24">
        <v>2</v>
      </c>
      <c r="J329" s="24" t="s">
        <v>1201</v>
      </c>
      <c r="K329" s="24" t="s">
        <v>491</v>
      </c>
      <c r="L329" s="24" t="s">
        <v>143</v>
      </c>
      <c r="M329" s="24" t="s">
        <v>175</v>
      </c>
      <c r="N329" s="25">
        <v>0</v>
      </c>
      <c r="V329" s="24"/>
      <c r="W329" s="31"/>
    </row>
    <row r="330" spans="1:23" ht="15" x14ac:dyDescent="0.2">
      <c r="A330" s="68">
        <v>1</v>
      </c>
      <c r="B330" s="68">
        <v>6</v>
      </c>
      <c r="C330" s="68">
        <v>2</v>
      </c>
      <c r="D330" s="69">
        <v>535220056</v>
      </c>
      <c r="E330" s="69" t="s">
        <v>142</v>
      </c>
      <c r="F330" s="24" t="s">
        <v>156</v>
      </c>
      <c r="G330" s="24">
        <v>1</v>
      </c>
      <c r="H330" s="24">
        <v>6</v>
      </c>
      <c r="I330" s="24">
        <v>2</v>
      </c>
      <c r="J330" s="24" t="s">
        <v>1202</v>
      </c>
      <c r="K330" s="24" t="s">
        <v>492</v>
      </c>
      <c r="L330" s="24" t="s">
        <v>143</v>
      </c>
      <c r="M330" s="24" t="s">
        <v>175</v>
      </c>
      <c r="N330" s="25">
        <v>0</v>
      </c>
      <c r="V330" s="24"/>
      <c r="W330" s="31"/>
    </row>
    <row r="331" spans="1:23" ht="15" x14ac:dyDescent="0.2">
      <c r="A331" s="68">
        <v>1</v>
      </c>
      <c r="B331" s="68">
        <v>6</v>
      </c>
      <c r="C331" s="68">
        <v>2</v>
      </c>
      <c r="D331" s="69">
        <v>535220057</v>
      </c>
      <c r="E331" s="69" t="s">
        <v>142</v>
      </c>
      <c r="F331" s="24" t="s">
        <v>156</v>
      </c>
      <c r="G331" s="24">
        <v>1</v>
      </c>
      <c r="H331" s="24">
        <v>6</v>
      </c>
      <c r="I331" s="24">
        <v>2</v>
      </c>
      <c r="J331" s="24" t="s">
        <v>1203</v>
      </c>
      <c r="K331" s="24" t="s">
        <v>493</v>
      </c>
      <c r="L331" s="24" t="s">
        <v>143</v>
      </c>
      <c r="M331" s="24" t="s">
        <v>175</v>
      </c>
      <c r="N331" s="25">
        <v>0</v>
      </c>
      <c r="V331" s="24"/>
      <c r="W331" s="31"/>
    </row>
    <row r="332" spans="1:23" ht="15" x14ac:dyDescent="0.2">
      <c r="A332" s="68">
        <v>1</v>
      </c>
      <c r="B332" s="68">
        <v>6</v>
      </c>
      <c r="C332" s="68">
        <v>2</v>
      </c>
      <c r="D332" s="69">
        <v>535220106</v>
      </c>
      <c r="E332" s="69" t="s">
        <v>142</v>
      </c>
      <c r="F332" s="24" t="s">
        <v>156</v>
      </c>
      <c r="G332" s="24">
        <v>1</v>
      </c>
      <c r="H332" s="24">
        <v>6</v>
      </c>
      <c r="I332" s="24">
        <v>2</v>
      </c>
      <c r="J332" s="24" t="s">
        <v>1204</v>
      </c>
      <c r="K332" s="24" t="s">
        <v>494</v>
      </c>
      <c r="L332" s="24" t="s">
        <v>143</v>
      </c>
      <c r="M332" s="24" t="s">
        <v>175</v>
      </c>
      <c r="N332" s="25">
        <v>0</v>
      </c>
      <c r="V332" s="24"/>
      <c r="W332" s="31"/>
    </row>
    <row r="333" spans="1:23" ht="15" x14ac:dyDescent="0.2">
      <c r="A333" s="68">
        <v>2</v>
      </c>
      <c r="B333" s="68">
        <v>6</v>
      </c>
      <c r="C333" s="68">
        <v>2</v>
      </c>
      <c r="D333" s="69">
        <v>535220108</v>
      </c>
      <c r="E333" s="69" t="s">
        <v>142</v>
      </c>
      <c r="F333" s="24" t="s">
        <v>156</v>
      </c>
      <c r="G333" s="24">
        <v>2</v>
      </c>
      <c r="H333" s="24">
        <v>6</v>
      </c>
      <c r="I333" s="24">
        <v>2</v>
      </c>
      <c r="J333" s="24" t="s">
        <v>1215</v>
      </c>
      <c r="K333" s="24" t="s">
        <v>505</v>
      </c>
      <c r="L333" s="24" t="s">
        <v>143</v>
      </c>
      <c r="M333" s="24" t="s">
        <v>175</v>
      </c>
      <c r="N333" s="25">
        <v>0</v>
      </c>
      <c r="V333" s="24"/>
      <c r="W333" s="31"/>
    </row>
    <row r="334" spans="1:23" ht="15" x14ac:dyDescent="0.2">
      <c r="A334" s="68">
        <v>2</v>
      </c>
      <c r="B334" s="68">
        <v>6</v>
      </c>
      <c r="C334" s="68">
        <v>2</v>
      </c>
      <c r="D334" s="69">
        <v>535220109</v>
      </c>
      <c r="E334" s="69" t="s">
        <v>142</v>
      </c>
      <c r="F334" s="24" t="s">
        <v>156</v>
      </c>
      <c r="G334" s="24">
        <v>2</v>
      </c>
      <c r="H334" s="24">
        <v>6</v>
      </c>
      <c r="I334" s="24">
        <v>2</v>
      </c>
      <c r="J334" s="24" t="s">
        <v>1216</v>
      </c>
      <c r="K334" s="24" t="s">
        <v>506</v>
      </c>
      <c r="L334" s="24" t="s">
        <v>143</v>
      </c>
      <c r="M334" s="24" t="s">
        <v>175</v>
      </c>
      <c r="N334" s="25">
        <v>0</v>
      </c>
      <c r="V334" s="24"/>
      <c r="W334" s="31"/>
    </row>
    <row r="335" spans="1:23" ht="15" x14ac:dyDescent="0.2">
      <c r="A335" s="68">
        <v>2</v>
      </c>
      <c r="B335" s="68">
        <v>6</v>
      </c>
      <c r="C335" s="68">
        <v>2</v>
      </c>
      <c r="D335" s="69">
        <v>535220162</v>
      </c>
      <c r="E335" s="69" t="s">
        <v>142</v>
      </c>
      <c r="F335" s="24" t="s">
        <v>156</v>
      </c>
      <c r="G335" s="24">
        <v>2</v>
      </c>
      <c r="H335" s="24">
        <v>6</v>
      </c>
      <c r="I335" s="24">
        <v>2</v>
      </c>
      <c r="J335" s="24" t="s">
        <v>1217</v>
      </c>
      <c r="K335" s="24" t="s">
        <v>507</v>
      </c>
      <c r="L335" s="24" t="s">
        <v>143</v>
      </c>
      <c r="M335" s="24" t="s">
        <v>175</v>
      </c>
      <c r="N335" s="25">
        <v>0</v>
      </c>
      <c r="V335" s="24"/>
      <c r="W335" s="31"/>
    </row>
    <row r="336" spans="1:23" ht="15" x14ac:dyDescent="0.2">
      <c r="A336" s="68">
        <v>2</v>
      </c>
      <c r="B336" s="68">
        <v>6</v>
      </c>
      <c r="C336" s="68">
        <v>2</v>
      </c>
      <c r="D336" s="69">
        <v>535220166</v>
      </c>
      <c r="E336" s="69" t="s">
        <v>142</v>
      </c>
      <c r="F336" s="24" t="s">
        <v>156</v>
      </c>
      <c r="G336" s="24">
        <v>2</v>
      </c>
      <c r="H336" s="24">
        <v>6</v>
      </c>
      <c r="I336" s="24">
        <v>2</v>
      </c>
      <c r="J336" s="24" t="s">
        <v>1218</v>
      </c>
      <c r="K336" s="24" t="s">
        <v>508</v>
      </c>
      <c r="L336" s="24" t="s">
        <v>143</v>
      </c>
      <c r="M336" s="24" t="s">
        <v>175</v>
      </c>
      <c r="N336" s="25">
        <v>0</v>
      </c>
      <c r="V336" s="24"/>
      <c r="W336" s="31"/>
    </row>
    <row r="337" spans="1:23" ht="15" x14ac:dyDescent="0.2">
      <c r="A337" s="68">
        <v>2</v>
      </c>
      <c r="B337" s="68">
        <v>6</v>
      </c>
      <c r="C337" s="68">
        <v>2</v>
      </c>
      <c r="D337" s="69">
        <v>535220170</v>
      </c>
      <c r="E337" s="69" t="s">
        <v>142</v>
      </c>
      <c r="F337" s="24" t="s">
        <v>156</v>
      </c>
      <c r="G337" s="42">
        <v>2</v>
      </c>
      <c r="H337" s="42">
        <v>6</v>
      </c>
      <c r="I337" s="42">
        <v>2</v>
      </c>
      <c r="J337" s="42" t="s">
        <v>1219</v>
      </c>
      <c r="K337" s="42" t="s">
        <v>509</v>
      </c>
      <c r="L337" s="42" t="s">
        <v>143</v>
      </c>
      <c r="M337" s="42" t="s">
        <v>175</v>
      </c>
      <c r="N337" s="25">
        <v>0</v>
      </c>
      <c r="V337" s="42"/>
      <c r="W337" s="43"/>
    </row>
    <row r="338" spans="1:23" x14ac:dyDescent="0.2">
      <c r="J338" s="71"/>
      <c r="K338" s="71"/>
      <c r="M338" s="71" t="s">
        <v>1228</v>
      </c>
      <c r="N338">
        <v>48</v>
      </c>
    </row>
    <row r="362" spans="1:32" ht="15" x14ac:dyDescent="0.2">
      <c r="A362" s="8">
        <v>0</v>
      </c>
      <c r="B362" s="8">
        <v>7</v>
      </c>
      <c r="AB362" s="8">
        <v>0</v>
      </c>
      <c r="AC362" s="3">
        <v>825220021</v>
      </c>
      <c r="AD362" s="3" t="s">
        <v>143</v>
      </c>
      <c r="AE362" t="s">
        <v>173</v>
      </c>
      <c r="AF362" s="25">
        <v>999</v>
      </c>
    </row>
    <row r="363" spans="1:32" ht="15" x14ac:dyDescent="0.2">
      <c r="A363" s="8">
        <v>0</v>
      </c>
      <c r="B363" s="8">
        <v>7</v>
      </c>
      <c r="AB363" s="8">
        <v>0</v>
      </c>
      <c r="AC363" s="3">
        <v>825220031</v>
      </c>
      <c r="AD363" s="3" t="s">
        <v>143</v>
      </c>
      <c r="AE363" t="s">
        <v>173</v>
      </c>
      <c r="AF363" s="25">
        <v>999</v>
      </c>
    </row>
    <row r="364" spans="1:32" ht="15" x14ac:dyDescent="0.2">
      <c r="A364" s="8">
        <v>0</v>
      </c>
      <c r="B364" s="8">
        <v>7</v>
      </c>
      <c r="AB364" s="8">
        <v>0</v>
      </c>
      <c r="AC364" s="3">
        <v>825220032</v>
      </c>
      <c r="AD364" s="3" t="s">
        <v>143</v>
      </c>
      <c r="AE364" t="s">
        <v>173</v>
      </c>
      <c r="AF364" s="25">
        <v>999</v>
      </c>
    </row>
    <row r="365" spans="1:32" ht="15" x14ac:dyDescent="0.2">
      <c r="A365" s="8">
        <v>0</v>
      </c>
      <c r="B365" s="8">
        <v>7</v>
      </c>
      <c r="AB365" s="8">
        <v>0</v>
      </c>
      <c r="AC365" s="3">
        <v>825220033</v>
      </c>
      <c r="AD365" s="3" t="s">
        <v>143</v>
      </c>
      <c r="AE365" t="s">
        <v>173</v>
      </c>
      <c r="AF365" s="25">
        <v>999</v>
      </c>
    </row>
    <row r="366" spans="1:32" ht="15" x14ac:dyDescent="0.2">
      <c r="A366" s="8">
        <v>0</v>
      </c>
      <c r="B366" s="8">
        <v>7</v>
      </c>
      <c r="AB366" s="8">
        <v>0</v>
      </c>
      <c r="AC366" s="4">
        <v>825220035</v>
      </c>
      <c r="AD366" s="3" t="s">
        <v>143</v>
      </c>
      <c r="AE366" t="s">
        <v>173</v>
      </c>
      <c r="AF366" s="25">
        <v>999</v>
      </c>
    </row>
    <row r="367" spans="1:32" ht="15" x14ac:dyDescent="0.2">
      <c r="A367" s="8">
        <v>1</v>
      </c>
      <c r="B367" s="8">
        <v>7</v>
      </c>
      <c r="AB367" s="8">
        <v>0</v>
      </c>
      <c r="AC367" s="3">
        <v>535220160</v>
      </c>
      <c r="AD367" s="3" t="s">
        <v>143</v>
      </c>
      <c r="AE367" t="s">
        <v>175</v>
      </c>
      <c r="AF367" s="25">
        <v>999</v>
      </c>
    </row>
    <row r="368" spans="1:32" ht="15" x14ac:dyDescent="0.2">
      <c r="A368" s="8">
        <v>1</v>
      </c>
      <c r="B368" s="8">
        <v>7</v>
      </c>
      <c r="AB368" s="8">
        <v>0</v>
      </c>
      <c r="AC368" s="3">
        <v>535220178</v>
      </c>
      <c r="AD368" s="3" t="s">
        <v>143</v>
      </c>
      <c r="AE368" t="s">
        <v>175</v>
      </c>
      <c r="AF368" s="25">
        <v>999</v>
      </c>
    </row>
    <row r="369" spans="1:32" ht="15" x14ac:dyDescent="0.2">
      <c r="A369" s="8">
        <v>1</v>
      </c>
      <c r="B369" s="8">
        <v>7</v>
      </c>
      <c r="AB369" s="8">
        <v>0</v>
      </c>
      <c r="AC369" s="3">
        <v>535220196</v>
      </c>
      <c r="AD369" s="3" t="s">
        <v>143</v>
      </c>
      <c r="AE369" t="s">
        <v>175</v>
      </c>
      <c r="AF369" s="25">
        <v>999</v>
      </c>
    </row>
    <row r="370" spans="1:32" ht="15" x14ac:dyDescent="0.2">
      <c r="A370" s="8">
        <v>1</v>
      </c>
      <c r="B370" s="8">
        <v>7</v>
      </c>
      <c r="AB370" s="8">
        <v>0</v>
      </c>
      <c r="AC370" s="3">
        <v>535220216</v>
      </c>
      <c r="AD370" s="3" t="s">
        <v>143</v>
      </c>
      <c r="AE370" t="s">
        <v>175</v>
      </c>
      <c r="AF370" s="25">
        <v>999</v>
      </c>
    </row>
    <row r="371" spans="1:32" ht="15" x14ac:dyDescent="0.2">
      <c r="A371" s="8">
        <v>1</v>
      </c>
      <c r="B371" s="8">
        <v>7</v>
      </c>
      <c r="AB371" s="8">
        <v>0</v>
      </c>
      <c r="AC371" s="3">
        <v>535220219</v>
      </c>
      <c r="AD371" s="3" t="s">
        <v>143</v>
      </c>
      <c r="AE371" t="s">
        <v>175</v>
      </c>
      <c r="AF371" s="25">
        <v>999</v>
      </c>
    </row>
    <row r="372" spans="1:32" ht="15" x14ac:dyDescent="0.2">
      <c r="A372" s="8">
        <v>2</v>
      </c>
      <c r="B372" s="8">
        <v>7</v>
      </c>
      <c r="AB372" s="8">
        <v>0</v>
      </c>
      <c r="AC372" s="3">
        <v>535220222</v>
      </c>
      <c r="AD372" s="3" t="s">
        <v>143</v>
      </c>
      <c r="AE372" t="s">
        <v>175</v>
      </c>
      <c r="AF372" s="25">
        <v>999</v>
      </c>
    </row>
    <row r="373" spans="1:32" ht="15" x14ac:dyDescent="0.2">
      <c r="A373" s="8">
        <v>2</v>
      </c>
      <c r="B373" s="8">
        <v>7</v>
      </c>
      <c r="AB373" s="8">
        <v>0</v>
      </c>
      <c r="AC373" s="3">
        <v>535220226</v>
      </c>
      <c r="AD373" s="3" t="s">
        <v>143</v>
      </c>
      <c r="AE373" t="s">
        <v>175</v>
      </c>
      <c r="AF373" s="25">
        <v>999</v>
      </c>
    </row>
    <row r="374" spans="1:32" ht="15" x14ac:dyDescent="0.2">
      <c r="A374" s="8">
        <v>2</v>
      </c>
      <c r="B374" s="8">
        <v>7</v>
      </c>
      <c r="AB374" s="8">
        <v>0</v>
      </c>
      <c r="AC374" s="3">
        <v>535220231</v>
      </c>
      <c r="AD374" s="3" t="s">
        <v>143</v>
      </c>
      <c r="AE374" t="s">
        <v>175</v>
      </c>
      <c r="AF374" s="25">
        <v>999</v>
      </c>
    </row>
    <row r="375" spans="1:32" ht="15" x14ac:dyDescent="0.2">
      <c r="A375" s="8">
        <v>2</v>
      </c>
      <c r="B375" s="8">
        <v>7</v>
      </c>
      <c r="AB375" s="8">
        <v>0</v>
      </c>
      <c r="AC375" s="3">
        <v>535220237</v>
      </c>
      <c r="AD375" s="3" t="s">
        <v>143</v>
      </c>
      <c r="AE375" t="s">
        <v>175</v>
      </c>
      <c r="AF375" s="25">
        <v>999</v>
      </c>
    </row>
    <row r="376" spans="1:32" ht="15" x14ac:dyDescent="0.2">
      <c r="A376" s="8">
        <v>2</v>
      </c>
      <c r="B376" s="8">
        <v>7</v>
      </c>
      <c r="AB376" s="8">
        <v>0</v>
      </c>
      <c r="AC376" s="3">
        <v>535220241</v>
      </c>
      <c r="AD376" s="3" t="s">
        <v>143</v>
      </c>
      <c r="AE376" t="s">
        <v>175</v>
      </c>
      <c r="AF376" s="25">
        <v>999</v>
      </c>
    </row>
    <row r="377" spans="1:32" ht="15" x14ac:dyDescent="0.2">
      <c r="A377" s="8">
        <v>3</v>
      </c>
      <c r="B377" s="8">
        <v>7</v>
      </c>
      <c r="AB377" s="8">
        <v>0</v>
      </c>
      <c r="AC377" s="3">
        <v>535220243</v>
      </c>
      <c r="AD377" s="3" t="s">
        <v>143</v>
      </c>
      <c r="AE377" t="s">
        <v>169</v>
      </c>
      <c r="AF377" s="25">
        <v>999</v>
      </c>
    </row>
    <row r="378" spans="1:32" ht="15" x14ac:dyDescent="0.2">
      <c r="A378" s="8">
        <v>3</v>
      </c>
      <c r="B378" s="8">
        <v>7</v>
      </c>
      <c r="AB378" s="8">
        <v>0</v>
      </c>
      <c r="AC378" s="3">
        <v>535220248</v>
      </c>
      <c r="AD378" s="3" t="s">
        <v>143</v>
      </c>
      <c r="AE378" t="s">
        <v>169</v>
      </c>
      <c r="AF378" s="25">
        <v>999</v>
      </c>
    </row>
    <row r="379" spans="1:32" ht="15" x14ac:dyDescent="0.2">
      <c r="A379" s="8">
        <v>3</v>
      </c>
      <c r="B379" s="8">
        <v>7</v>
      </c>
      <c r="AB379" s="8">
        <v>0</v>
      </c>
      <c r="AC379" s="3">
        <v>535220252</v>
      </c>
      <c r="AD379" s="3" t="s">
        <v>143</v>
      </c>
      <c r="AE379" t="s">
        <v>169</v>
      </c>
      <c r="AF379" s="25">
        <v>999</v>
      </c>
    </row>
    <row r="380" spans="1:32" ht="15" x14ac:dyDescent="0.2">
      <c r="A380" s="8">
        <v>3</v>
      </c>
      <c r="B380" s="8">
        <v>7</v>
      </c>
      <c r="AB380" s="8">
        <v>0</v>
      </c>
      <c r="AC380" s="3">
        <v>535220254</v>
      </c>
      <c r="AD380" s="3" t="s">
        <v>143</v>
      </c>
      <c r="AE380" t="s">
        <v>169</v>
      </c>
      <c r="AF380" s="25">
        <v>999</v>
      </c>
    </row>
    <row r="381" spans="1:32" ht="15" x14ac:dyDescent="0.2">
      <c r="A381" s="8">
        <v>3</v>
      </c>
      <c r="B381" s="8">
        <v>7</v>
      </c>
      <c r="AB381" s="8">
        <v>0</v>
      </c>
      <c r="AC381" s="3">
        <v>535220261</v>
      </c>
      <c r="AD381" s="3" t="s">
        <v>143</v>
      </c>
      <c r="AE381" t="s">
        <v>169</v>
      </c>
      <c r="AF381" s="25">
        <v>999</v>
      </c>
    </row>
    <row r="382" spans="1:32" ht="15" x14ac:dyDescent="0.2">
      <c r="A382" s="8">
        <v>4</v>
      </c>
      <c r="B382" s="8">
        <v>7</v>
      </c>
      <c r="AB382" s="8">
        <v>0</v>
      </c>
      <c r="AC382" s="3">
        <v>825220141</v>
      </c>
      <c r="AD382" s="3" t="s">
        <v>142</v>
      </c>
      <c r="AE382" t="s">
        <v>174</v>
      </c>
      <c r="AF382" s="25">
        <v>999</v>
      </c>
    </row>
    <row r="383" spans="1:32" ht="15" x14ac:dyDescent="0.2">
      <c r="A383" s="8">
        <v>4</v>
      </c>
      <c r="B383" s="8">
        <v>7</v>
      </c>
      <c r="AB383" s="8">
        <v>0</v>
      </c>
      <c r="AC383" s="3">
        <v>825220143</v>
      </c>
      <c r="AD383" s="3" t="s">
        <v>142</v>
      </c>
      <c r="AE383" t="s">
        <v>174</v>
      </c>
      <c r="AF383" s="25">
        <v>999</v>
      </c>
    </row>
    <row r="384" spans="1:32" ht="15" x14ac:dyDescent="0.2">
      <c r="A384" s="8">
        <v>4</v>
      </c>
      <c r="B384" s="8">
        <v>7</v>
      </c>
      <c r="AB384" s="8">
        <v>0</v>
      </c>
      <c r="AC384" s="3">
        <v>825220156</v>
      </c>
      <c r="AD384" s="3" t="s">
        <v>142</v>
      </c>
      <c r="AE384" t="s">
        <v>174</v>
      </c>
      <c r="AF384" s="25">
        <v>999</v>
      </c>
    </row>
    <row r="385" spans="1:32" ht="15" x14ac:dyDescent="0.2">
      <c r="A385" s="8">
        <v>4</v>
      </c>
      <c r="B385" s="8">
        <v>7</v>
      </c>
      <c r="AB385" s="8">
        <v>0</v>
      </c>
      <c r="AC385" s="3">
        <v>825220172</v>
      </c>
      <c r="AD385" s="3" t="s">
        <v>142</v>
      </c>
      <c r="AE385" t="s">
        <v>174</v>
      </c>
      <c r="AF385" s="25">
        <v>999</v>
      </c>
    </row>
    <row r="386" spans="1:32" ht="15" x14ac:dyDescent="0.2">
      <c r="A386" s="8">
        <v>4</v>
      </c>
      <c r="B386" s="8">
        <v>7</v>
      </c>
      <c r="AB386" s="8">
        <v>0</v>
      </c>
      <c r="AC386" s="3">
        <v>825220173</v>
      </c>
      <c r="AD386" s="3" t="s">
        <v>142</v>
      </c>
      <c r="AE386" t="s">
        <v>174</v>
      </c>
      <c r="AF386" s="25">
        <v>999</v>
      </c>
    </row>
    <row r="387" spans="1:32" ht="15" x14ac:dyDescent="0.2">
      <c r="A387" s="11">
        <v>5</v>
      </c>
      <c r="B387" s="8">
        <v>7</v>
      </c>
      <c r="AB387" s="8">
        <v>0</v>
      </c>
      <c r="AC387" s="4">
        <v>825220070</v>
      </c>
      <c r="AD387" s="3" t="s">
        <v>142</v>
      </c>
      <c r="AE387" t="s">
        <v>174</v>
      </c>
      <c r="AF387" s="25">
        <v>999</v>
      </c>
    </row>
    <row r="388" spans="1:32" ht="15" x14ac:dyDescent="0.2">
      <c r="A388" s="11">
        <v>5</v>
      </c>
      <c r="B388" s="8">
        <v>7</v>
      </c>
      <c r="AB388" s="8">
        <v>0</v>
      </c>
      <c r="AC388" s="3">
        <v>825220090</v>
      </c>
      <c r="AD388" s="3" t="s">
        <v>142</v>
      </c>
      <c r="AE388" t="s">
        <v>172</v>
      </c>
      <c r="AF388" s="25">
        <v>999</v>
      </c>
    </row>
    <row r="389" spans="1:32" ht="15" x14ac:dyDescent="0.2">
      <c r="A389" s="11">
        <v>5</v>
      </c>
      <c r="B389" s="8">
        <v>7</v>
      </c>
      <c r="AB389" s="8">
        <v>0</v>
      </c>
      <c r="AC389" s="3">
        <v>825220091</v>
      </c>
      <c r="AD389" s="3" t="s">
        <v>142</v>
      </c>
      <c r="AE389" t="s">
        <v>172</v>
      </c>
      <c r="AF389" s="25">
        <v>999</v>
      </c>
    </row>
    <row r="390" spans="1:32" ht="15" x14ac:dyDescent="0.2">
      <c r="A390" s="11">
        <v>5</v>
      </c>
      <c r="B390" s="8">
        <v>7</v>
      </c>
      <c r="AB390" s="8">
        <v>0</v>
      </c>
      <c r="AC390" s="3">
        <v>825220092</v>
      </c>
      <c r="AD390" s="3" t="s">
        <v>142</v>
      </c>
      <c r="AE390" t="s">
        <v>172</v>
      </c>
      <c r="AF390" s="25">
        <v>999</v>
      </c>
    </row>
    <row r="391" spans="1:32" ht="15" x14ac:dyDescent="0.2">
      <c r="A391" s="11">
        <v>5</v>
      </c>
      <c r="B391" s="8">
        <v>7</v>
      </c>
      <c r="AB391" s="8">
        <v>0</v>
      </c>
      <c r="AC391" s="3">
        <v>825220097</v>
      </c>
      <c r="AD391" s="3" t="s">
        <v>142</v>
      </c>
      <c r="AE391" t="s">
        <v>172</v>
      </c>
      <c r="AF391" s="25">
        <v>999</v>
      </c>
    </row>
    <row r="392" spans="1:32" ht="15" x14ac:dyDescent="0.2">
      <c r="A392" s="8">
        <v>6</v>
      </c>
      <c r="B392" s="8">
        <v>7</v>
      </c>
      <c r="AB392" s="8">
        <v>0</v>
      </c>
      <c r="AC392" s="3">
        <v>535220094</v>
      </c>
      <c r="AD392" s="3" t="s">
        <v>142</v>
      </c>
      <c r="AE392" t="s">
        <v>158</v>
      </c>
      <c r="AF392" s="25">
        <v>999</v>
      </c>
    </row>
    <row r="393" spans="1:32" ht="15" x14ac:dyDescent="0.2">
      <c r="A393" s="8">
        <v>6</v>
      </c>
      <c r="B393" s="8">
        <v>7</v>
      </c>
      <c r="AB393" s="8">
        <v>0</v>
      </c>
      <c r="AC393" s="3">
        <v>535220098</v>
      </c>
      <c r="AD393" s="3" t="s">
        <v>142</v>
      </c>
      <c r="AE393" t="s">
        <v>158</v>
      </c>
      <c r="AF393" s="25">
        <v>999</v>
      </c>
    </row>
    <row r="394" spans="1:32" ht="15" x14ac:dyDescent="0.2">
      <c r="A394" s="8">
        <v>6</v>
      </c>
      <c r="B394" s="8">
        <v>7</v>
      </c>
      <c r="AB394" s="8">
        <v>0</v>
      </c>
      <c r="AC394" s="3">
        <v>535220102</v>
      </c>
      <c r="AD394" s="3" t="s">
        <v>142</v>
      </c>
      <c r="AE394" t="s">
        <v>158</v>
      </c>
      <c r="AF394" s="25">
        <v>999</v>
      </c>
    </row>
    <row r="395" spans="1:32" ht="15" x14ac:dyDescent="0.2">
      <c r="A395" s="8">
        <v>6</v>
      </c>
      <c r="B395" s="8">
        <v>7</v>
      </c>
      <c r="AB395" s="8">
        <v>0</v>
      </c>
      <c r="AC395" s="3">
        <v>535220155</v>
      </c>
      <c r="AD395" s="3" t="s">
        <v>142</v>
      </c>
      <c r="AE395" t="s">
        <v>158</v>
      </c>
      <c r="AF395" s="25">
        <v>999</v>
      </c>
    </row>
    <row r="396" spans="1:32" ht="15" x14ac:dyDescent="0.2">
      <c r="A396" s="8">
        <v>6</v>
      </c>
      <c r="B396" s="8">
        <v>7</v>
      </c>
      <c r="AB396" s="8">
        <v>0</v>
      </c>
      <c r="AC396" s="3">
        <v>535220156</v>
      </c>
      <c r="AD396" s="3" t="s">
        <v>142</v>
      </c>
      <c r="AE396" t="s">
        <v>158</v>
      </c>
      <c r="AF396" s="25">
        <v>999</v>
      </c>
    </row>
    <row r="397" spans="1:32" ht="15" x14ac:dyDescent="0.2">
      <c r="A397" s="8">
        <v>0</v>
      </c>
      <c r="B397" s="8">
        <v>7</v>
      </c>
      <c r="AB397" s="8">
        <v>1</v>
      </c>
      <c r="AC397" s="3">
        <v>825220098</v>
      </c>
      <c r="AD397" s="3" t="s">
        <v>142</v>
      </c>
      <c r="AE397" t="s">
        <v>172</v>
      </c>
      <c r="AF397" s="25">
        <v>999</v>
      </c>
    </row>
    <row r="398" spans="1:32" ht="15" x14ac:dyDescent="0.2">
      <c r="A398" s="8">
        <v>0</v>
      </c>
      <c r="B398" s="8">
        <v>7</v>
      </c>
      <c r="AB398" s="8">
        <v>1</v>
      </c>
      <c r="AC398" s="3">
        <v>825220099</v>
      </c>
      <c r="AD398" s="3" t="s">
        <v>142</v>
      </c>
      <c r="AE398" t="s">
        <v>172</v>
      </c>
      <c r="AF398" s="25">
        <v>999</v>
      </c>
    </row>
    <row r="399" spans="1:32" ht="15" x14ac:dyDescent="0.2">
      <c r="A399" s="8">
        <v>0</v>
      </c>
      <c r="B399" s="8">
        <v>7</v>
      </c>
      <c r="AB399" s="8">
        <v>1</v>
      </c>
      <c r="AC399" s="3">
        <v>825220102</v>
      </c>
      <c r="AD399" s="3" t="s">
        <v>142</v>
      </c>
      <c r="AE399" t="s">
        <v>172</v>
      </c>
      <c r="AF399" s="25">
        <v>999</v>
      </c>
    </row>
    <row r="400" spans="1:32" ht="15" x14ac:dyDescent="0.2">
      <c r="A400" s="8">
        <v>0</v>
      </c>
      <c r="B400" s="8">
        <v>7</v>
      </c>
      <c r="AB400" s="8">
        <v>1</v>
      </c>
      <c r="AC400" s="3">
        <v>825220103</v>
      </c>
      <c r="AD400" s="3" t="s">
        <v>142</v>
      </c>
      <c r="AE400" t="s">
        <v>172</v>
      </c>
      <c r="AF400" s="25">
        <v>999</v>
      </c>
    </row>
    <row r="401" spans="1:32" ht="15" x14ac:dyDescent="0.2">
      <c r="A401" s="8">
        <v>0</v>
      </c>
      <c r="B401" s="8">
        <v>7</v>
      </c>
      <c r="AB401" s="8">
        <v>1</v>
      </c>
      <c r="AC401" s="3">
        <v>825220110</v>
      </c>
      <c r="AD401" s="3" t="s">
        <v>142</v>
      </c>
      <c r="AE401" t="s">
        <v>172</v>
      </c>
      <c r="AF401" s="25">
        <v>999</v>
      </c>
    </row>
    <row r="402" spans="1:32" ht="15" x14ac:dyDescent="0.2">
      <c r="A402" s="8">
        <v>1</v>
      </c>
      <c r="B402" s="8">
        <v>7</v>
      </c>
      <c r="AB402" s="8">
        <v>1</v>
      </c>
      <c r="AC402" s="3">
        <v>825220111</v>
      </c>
      <c r="AD402" s="3" t="s">
        <v>142</v>
      </c>
      <c r="AE402" t="s">
        <v>172</v>
      </c>
      <c r="AF402" s="25">
        <v>999</v>
      </c>
    </row>
    <row r="403" spans="1:32" ht="15" x14ac:dyDescent="0.2">
      <c r="A403" s="8">
        <v>1</v>
      </c>
      <c r="B403" s="8">
        <v>7</v>
      </c>
      <c r="AB403" s="8">
        <v>1</v>
      </c>
      <c r="AC403" s="3">
        <v>825220117</v>
      </c>
      <c r="AD403" s="3" t="s">
        <v>142</v>
      </c>
      <c r="AE403" t="s">
        <v>172</v>
      </c>
      <c r="AF403" s="25">
        <v>999</v>
      </c>
    </row>
    <row r="404" spans="1:32" ht="15" x14ac:dyDescent="0.2">
      <c r="A404" s="8">
        <v>1</v>
      </c>
      <c r="B404" s="8">
        <v>7</v>
      </c>
      <c r="AB404" s="8">
        <v>1</v>
      </c>
      <c r="AC404" s="3">
        <v>535220157</v>
      </c>
      <c r="AD404" s="3" t="s">
        <v>142</v>
      </c>
      <c r="AE404" t="s">
        <v>158</v>
      </c>
      <c r="AF404" s="25">
        <v>999</v>
      </c>
    </row>
    <row r="405" spans="1:32" ht="15" x14ac:dyDescent="0.2">
      <c r="A405" s="8">
        <v>1</v>
      </c>
      <c r="B405" s="8">
        <v>7</v>
      </c>
      <c r="AB405" s="8">
        <v>1</v>
      </c>
      <c r="AC405" s="3">
        <v>535220159</v>
      </c>
      <c r="AD405" s="3" t="s">
        <v>142</v>
      </c>
      <c r="AE405" t="s">
        <v>158</v>
      </c>
      <c r="AF405" s="25">
        <v>999</v>
      </c>
    </row>
    <row r="406" spans="1:32" ht="15" x14ac:dyDescent="0.2">
      <c r="A406" s="8">
        <v>1</v>
      </c>
      <c r="B406" s="8">
        <v>7</v>
      </c>
      <c r="AB406" s="8">
        <v>1</v>
      </c>
      <c r="AC406" s="3">
        <v>535220220</v>
      </c>
      <c r="AD406" s="3" t="s">
        <v>142</v>
      </c>
      <c r="AE406" t="s">
        <v>158</v>
      </c>
      <c r="AF406" s="25">
        <v>999</v>
      </c>
    </row>
    <row r="407" spans="1:32" ht="15" x14ac:dyDescent="0.2">
      <c r="A407" s="11">
        <v>2</v>
      </c>
      <c r="B407" s="8">
        <v>7</v>
      </c>
      <c r="AB407" s="8">
        <v>1</v>
      </c>
      <c r="AC407" s="4">
        <v>535220225</v>
      </c>
      <c r="AD407" s="3" t="s">
        <v>142</v>
      </c>
      <c r="AE407" t="s">
        <v>158</v>
      </c>
      <c r="AF407" s="25">
        <v>999</v>
      </c>
    </row>
    <row r="408" spans="1:32" ht="15" x14ac:dyDescent="0.2">
      <c r="A408" s="11">
        <v>2</v>
      </c>
      <c r="B408" s="8">
        <v>7</v>
      </c>
      <c r="AB408" s="8">
        <v>1</v>
      </c>
      <c r="AC408" s="3">
        <v>535220246</v>
      </c>
      <c r="AD408" s="3" t="s">
        <v>142</v>
      </c>
      <c r="AE408" t="s">
        <v>158</v>
      </c>
      <c r="AF408" s="25">
        <v>999</v>
      </c>
    </row>
    <row r="409" spans="1:32" ht="15" x14ac:dyDescent="0.2">
      <c r="A409" s="11">
        <v>2</v>
      </c>
      <c r="B409" s="8">
        <v>7</v>
      </c>
      <c r="AB409" s="8">
        <v>1</v>
      </c>
      <c r="AC409" s="3">
        <v>535220258</v>
      </c>
      <c r="AD409" s="3" t="s">
        <v>142</v>
      </c>
      <c r="AE409" t="s">
        <v>158</v>
      </c>
      <c r="AF409" s="25">
        <v>999</v>
      </c>
    </row>
    <row r="410" spans="1:32" ht="15" x14ac:dyDescent="0.2">
      <c r="A410" s="11">
        <v>2</v>
      </c>
      <c r="B410" s="8">
        <v>7</v>
      </c>
      <c r="AB410" s="8">
        <v>1</v>
      </c>
      <c r="AC410" s="3">
        <v>535220042</v>
      </c>
      <c r="AD410" s="3" t="s">
        <v>142</v>
      </c>
      <c r="AE410" t="s">
        <v>164</v>
      </c>
      <c r="AF410" s="25">
        <v>999</v>
      </c>
    </row>
    <row r="411" spans="1:32" ht="15" x14ac:dyDescent="0.2">
      <c r="A411" s="11">
        <v>2</v>
      </c>
      <c r="B411" s="8">
        <v>7</v>
      </c>
      <c r="AB411" s="8">
        <v>1</v>
      </c>
      <c r="AC411" s="3">
        <v>535220043</v>
      </c>
      <c r="AD411" s="3" t="s">
        <v>142</v>
      </c>
      <c r="AE411" t="s">
        <v>164</v>
      </c>
      <c r="AF411" s="25">
        <v>999</v>
      </c>
    </row>
    <row r="412" spans="1:32" ht="15" x14ac:dyDescent="0.2">
      <c r="A412" s="8">
        <v>3</v>
      </c>
      <c r="B412" s="8">
        <v>7</v>
      </c>
      <c r="AB412" s="8">
        <v>1</v>
      </c>
      <c r="AC412" s="3">
        <v>535220048</v>
      </c>
      <c r="AD412" s="3" t="s">
        <v>142</v>
      </c>
      <c r="AE412" t="s">
        <v>164</v>
      </c>
      <c r="AF412" s="25">
        <v>999</v>
      </c>
    </row>
    <row r="413" spans="1:32" ht="15" x14ac:dyDescent="0.2">
      <c r="A413" s="8">
        <v>3</v>
      </c>
      <c r="B413" s="8">
        <v>7</v>
      </c>
      <c r="AB413" s="8">
        <v>1</v>
      </c>
      <c r="AC413" s="3">
        <v>535220049</v>
      </c>
      <c r="AD413" s="3" t="s">
        <v>142</v>
      </c>
      <c r="AE413" t="s">
        <v>164</v>
      </c>
      <c r="AF413" s="25">
        <v>999</v>
      </c>
    </row>
    <row r="414" spans="1:32" ht="15" x14ac:dyDescent="0.2">
      <c r="A414" s="8">
        <v>3</v>
      </c>
      <c r="B414" s="8">
        <v>7</v>
      </c>
      <c r="AB414" s="8">
        <v>1</v>
      </c>
      <c r="AC414" s="3">
        <v>535220073</v>
      </c>
      <c r="AD414" s="3" t="s">
        <v>142</v>
      </c>
      <c r="AE414" t="s">
        <v>164</v>
      </c>
      <c r="AF414" s="25">
        <v>999</v>
      </c>
    </row>
    <row r="415" spans="1:32" ht="15" x14ac:dyDescent="0.2">
      <c r="A415" s="8">
        <v>3</v>
      </c>
      <c r="B415" s="8">
        <v>7</v>
      </c>
      <c r="AB415" s="8">
        <v>1</v>
      </c>
      <c r="AC415" s="3">
        <v>535220074</v>
      </c>
      <c r="AD415" s="3" t="s">
        <v>142</v>
      </c>
      <c r="AE415" t="s">
        <v>164</v>
      </c>
      <c r="AF415" s="25">
        <v>999</v>
      </c>
    </row>
    <row r="416" spans="1:32" ht="15" x14ac:dyDescent="0.2">
      <c r="A416" s="8">
        <v>3</v>
      </c>
      <c r="B416" s="8">
        <v>7</v>
      </c>
      <c r="AB416" s="8">
        <v>1</v>
      </c>
      <c r="AC416" s="3">
        <v>535220081</v>
      </c>
      <c r="AD416" s="3" t="s">
        <v>142</v>
      </c>
      <c r="AE416" t="s">
        <v>164</v>
      </c>
      <c r="AF416" s="25">
        <v>999</v>
      </c>
    </row>
    <row r="417" spans="1:32" ht="15" x14ac:dyDescent="0.2">
      <c r="A417" s="8">
        <v>0</v>
      </c>
      <c r="B417" s="8">
        <v>8</v>
      </c>
      <c r="AB417" s="8">
        <v>0</v>
      </c>
      <c r="AC417" s="3">
        <v>825220094</v>
      </c>
      <c r="AD417" s="3" t="s">
        <v>143</v>
      </c>
      <c r="AE417" t="s">
        <v>162</v>
      </c>
      <c r="AF417" s="25">
        <v>999</v>
      </c>
    </row>
    <row r="418" spans="1:32" ht="15" x14ac:dyDescent="0.2">
      <c r="A418" s="8">
        <v>0</v>
      </c>
      <c r="B418" s="8">
        <v>8</v>
      </c>
      <c r="AB418" s="8">
        <v>0</v>
      </c>
      <c r="AC418" s="3">
        <v>825220095</v>
      </c>
      <c r="AD418" s="3" t="s">
        <v>143</v>
      </c>
      <c r="AE418" t="s">
        <v>162</v>
      </c>
      <c r="AF418" s="25">
        <v>999</v>
      </c>
    </row>
    <row r="419" spans="1:32" ht="15" x14ac:dyDescent="0.2">
      <c r="A419" s="8">
        <v>0</v>
      </c>
      <c r="B419" s="8">
        <v>8</v>
      </c>
      <c r="AB419" s="8">
        <v>0</v>
      </c>
      <c r="AC419" s="3">
        <v>825220105</v>
      </c>
      <c r="AD419" s="3" t="s">
        <v>143</v>
      </c>
      <c r="AE419" t="s">
        <v>162</v>
      </c>
      <c r="AF419" s="25">
        <v>999</v>
      </c>
    </row>
    <row r="420" spans="1:32" ht="15" x14ac:dyDescent="0.2">
      <c r="A420" s="8">
        <v>0</v>
      </c>
      <c r="B420" s="8">
        <v>8</v>
      </c>
      <c r="AB420" s="8">
        <v>0</v>
      </c>
      <c r="AC420" s="3">
        <v>825220113</v>
      </c>
      <c r="AD420" s="3" t="s">
        <v>143</v>
      </c>
      <c r="AE420" t="s">
        <v>162</v>
      </c>
      <c r="AF420" s="25">
        <v>999</v>
      </c>
    </row>
    <row r="421" spans="1:32" ht="15" x14ac:dyDescent="0.2">
      <c r="A421" s="8">
        <v>0</v>
      </c>
      <c r="B421" s="8">
        <v>8</v>
      </c>
      <c r="AB421" s="8">
        <v>0</v>
      </c>
      <c r="AC421" s="3">
        <v>825220114</v>
      </c>
      <c r="AD421" s="3" t="s">
        <v>143</v>
      </c>
      <c r="AE421" t="s">
        <v>162</v>
      </c>
      <c r="AF421" s="25">
        <v>999</v>
      </c>
    </row>
    <row r="422" spans="1:32" ht="15" x14ac:dyDescent="0.2">
      <c r="A422" s="8">
        <v>1</v>
      </c>
      <c r="B422" s="8">
        <v>8</v>
      </c>
      <c r="AB422" s="8">
        <v>0</v>
      </c>
      <c r="AC422" s="3">
        <v>825220115</v>
      </c>
      <c r="AD422" s="3" t="s">
        <v>143</v>
      </c>
      <c r="AE422" t="s">
        <v>162</v>
      </c>
      <c r="AF422" s="25">
        <v>999</v>
      </c>
    </row>
    <row r="423" spans="1:32" ht="15" x14ac:dyDescent="0.2">
      <c r="A423" s="8">
        <v>1</v>
      </c>
      <c r="B423" s="8">
        <v>8</v>
      </c>
      <c r="AB423" s="8">
        <v>0</v>
      </c>
      <c r="AC423" s="3">
        <v>825220121</v>
      </c>
      <c r="AD423" s="3" t="s">
        <v>143</v>
      </c>
      <c r="AE423" t="s">
        <v>162</v>
      </c>
      <c r="AF423" s="25">
        <v>999</v>
      </c>
    </row>
    <row r="424" spans="1:32" ht="15" x14ac:dyDescent="0.2">
      <c r="A424" s="8">
        <v>1</v>
      </c>
      <c r="B424" s="8">
        <v>8</v>
      </c>
      <c r="AB424" s="8">
        <v>0</v>
      </c>
      <c r="AC424" s="3">
        <v>825220124</v>
      </c>
      <c r="AD424" s="3" t="s">
        <v>143</v>
      </c>
      <c r="AE424" t="s">
        <v>162</v>
      </c>
      <c r="AF424" s="25">
        <v>999</v>
      </c>
    </row>
    <row r="425" spans="1:32" ht="15" x14ac:dyDescent="0.2">
      <c r="A425" s="8">
        <v>1</v>
      </c>
      <c r="B425" s="8">
        <v>8</v>
      </c>
      <c r="AB425" s="8">
        <v>0</v>
      </c>
      <c r="AC425" s="3">
        <v>825220131</v>
      </c>
      <c r="AD425" s="3" t="s">
        <v>143</v>
      </c>
      <c r="AE425" t="s">
        <v>162</v>
      </c>
      <c r="AF425" s="25">
        <v>999</v>
      </c>
    </row>
    <row r="426" spans="1:32" ht="15" x14ac:dyDescent="0.2">
      <c r="A426" s="8">
        <v>1</v>
      </c>
      <c r="B426" s="8">
        <v>8</v>
      </c>
      <c r="AB426" s="8">
        <v>0</v>
      </c>
      <c r="AC426" s="3">
        <v>825220133</v>
      </c>
      <c r="AD426" s="3" t="s">
        <v>143</v>
      </c>
      <c r="AE426" t="s">
        <v>162</v>
      </c>
      <c r="AF426" s="25">
        <v>999</v>
      </c>
    </row>
    <row r="427" spans="1:32" ht="15" x14ac:dyDescent="0.2">
      <c r="A427" s="11">
        <v>2</v>
      </c>
      <c r="B427" s="8">
        <v>8</v>
      </c>
      <c r="AB427" s="8">
        <v>0</v>
      </c>
      <c r="AC427" s="4">
        <v>825220137</v>
      </c>
      <c r="AD427" s="3" t="s">
        <v>143</v>
      </c>
      <c r="AE427" t="s">
        <v>162</v>
      </c>
      <c r="AF427" s="25">
        <v>999</v>
      </c>
    </row>
    <row r="428" spans="1:32" ht="15" x14ac:dyDescent="0.2">
      <c r="A428" s="11">
        <v>2</v>
      </c>
      <c r="B428" s="8">
        <v>8</v>
      </c>
      <c r="AB428" s="8">
        <v>0</v>
      </c>
      <c r="AC428" s="3">
        <v>825220005</v>
      </c>
      <c r="AD428" s="3" t="s">
        <v>143</v>
      </c>
      <c r="AE428" t="s">
        <v>173</v>
      </c>
      <c r="AF428" s="25">
        <v>999</v>
      </c>
    </row>
    <row r="429" spans="1:32" ht="15" x14ac:dyDescent="0.2">
      <c r="A429" s="11">
        <v>2</v>
      </c>
      <c r="B429" s="8">
        <v>8</v>
      </c>
      <c r="AB429" s="8">
        <v>0</v>
      </c>
      <c r="AC429" s="3">
        <v>825220007</v>
      </c>
      <c r="AD429" s="3" t="s">
        <v>143</v>
      </c>
      <c r="AE429" t="s">
        <v>173</v>
      </c>
      <c r="AF429" s="25">
        <v>999</v>
      </c>
    </row>
    <row r="430" spans="1:32" ht="15" x14ac:dyDescent="0.2">
      <c r="A430" s="11">
        <v>2</v>
      </c>
      <c r="B430" s="8">
        <v>8</v>
      </c>
      <c r="AB430" s="8">
        <v>0</v>
      </c>
      <c r="AC430" s="3">
        <v>825220015</v>
      </c>
      <c r="AD430" s="3" t="s">
        <v>143</v>
      </c>
      <c r="AE430" t="s">
        <v>173</v>
      </c>
      <c r="AF430" s="25">
        <v>999</v>
      </c>
    </row>
    <row r="431" spans="1:32" ht="15" x14ac:dyDescent="0.2">
      <c r="A431" s="11">
        <v>2</v>
      </c>
      <c r="B431" s="8">
        <v>8</v>
      </c>
      <c r="AB431" s="8">
        <v>0</v>
      </c>
      <c r="AC431" s="3">
        <v>825220017</v>
      </c>
      <c r="AD431" s="3" t="s">
        <v>143</v>
      </c>
      <c r="AE431" t="s">
        <v>173</v>
      </c>
      <c r="AF431" s="25">
        <v>999</v>
      </c>
    </row>
    <row r="432" spans="1:32" ht="15" x14ac:dyDescent="0.2">
      <c r="A432" s="8">
        <v>3</v>
      </c>
      <c r="B432" s="8">
        <v>8</v>
      </c>
      <c r="AB432" s="8">
        <v>0</v>
      </c>
      <c r="AC432" s="3">
        <v>825220087</v>
      </c>
      <c r="AD432" s="3" t="s">
        <v>143</v>
      </c>
      <c r="AE432" t="s">
        <v>162</v>
      </c>
      <c r="AF432" s="25">
        <v>999</v>
      </c>
    </row>
    <row r="433" spans="1:32" ht="15" x14ac:dyDescent="0.2">
      <c r="A433" s="8">
        <v>3</v>
      </c>
      <c r="B433" s="8">
        <v>8</v>
      </c>
      <c r="AB433" s="8">
        <v>0</v>
      </c>
      <c r="AC433" s="3">
        <v>825220088</v>
      </c>
      <c r="AD433" s="3" t="s">
        <v>143</v>
      </c>
      <c r="AE433" t="s">
        <v>162</v>
      </c>
      <c r="AF433" s="25">
        <v>999</v>
      </c>
    </row>
    <row r="434" spans="1:32" ht="15" x14ac:dyDescent="0.2">
      <c r="A434" s="8">
        <v>3</v>
      </c>
      <c r="B434" s="8">
        <v>8</v>
      </c>
      <c r="AB434" s="8">
        <v>0</v>
      </c>
      <c r="AC434" s="3">
        <v>825220093</v>
      </c>
      <c r="AD434" s="3" t="s">
        <v>143</v>
      </c>
      <c r="AE434" t="s">
        <v>162</v>
      </c>
      <c r="AF434" s="25">
        <v>999</v>
      </c>
    </row>
    <row r="435" spans="1:32" ht="15" x14ac:dyDescent="0.2">
      <c r="A435" s="8">
        <v>3</v>
      </c>
      <c r="B435" s="8">
        <v>8</v>
      </c>
      <c r="AB435" s="8">
        <v>0</v>
      </c>
      <c r="AC435" s="3">
        <v>825220075</v>
      </c>
      <c r="AD435" s="3" t="s">
        <v>142</v>
      </c>
      <c r="AE435" t="s">
        <v>162</v>
      </c>
      <c r="AF435" s="25">
        <v>999</v>
      </c>
    </row>
    <row r="436" spans="1:32" ht="15" x14ac:dyDescent="0.2">
      <c r="A436" s="8">
        <v>3</v>
      </c>
      <c r="B436" s="8">
        <v>8</v>
      </c>
      <c r="AB436" s="8">
        <v>0</v>
      </c>
      <c r="AC436" s="3">
        <v>825220084</v>
      </c>
      <c r="AD436" s="3" t="s">
        <v>142</v>
      </c>
      <c r="AE436" t="s">
        <v>162</v>
      </c>
      <c r="AF436" s="25">
        <v>999</v>
      </c>
    </row>
    <row r="437" spans="1:32" ht="15" x14ac:dyDescent="0.2">
      <c r="A437" s="8">
        <v>4</v>
      </c>
      <c r="B437" s="8">
        <v>8</v>
      </c>
      <c r="AB437" s="8">
        <v>0</v>
      </c>
      <c r="AC437" s="3">
        <v>535220092</v>
      </c>
      <c r="AD437" s="3" t="s">
        <v>143</v>
      </c>
      <c r="AE437" t="s">
        <v>175</v>
      </c>
      <c r="AF437" s="25">
        <v>999</v>
      </c>
    </row>
    <row r="438" spans="1:32" ht="15" x14ac:dyDescent="0.2">
      <c r="A438" s="8">
        <v>4</v>
      </c>
      <c r="B438" s="8">
        <v>8</v>
      </c>
      <c r="AB438" s="8">
        <v>0</v>
      </c>
      <c r="AC438" s="3">
        <v>535220136</v>
      </c>
      <c r="AD438" s="3" t="s">
        <v>143</v>
      </c>
      <c r="AE438" t="s">
        <v>175</v>
      </c>
      <c r="AF438" s="25">
        <v>999</v>
      </c>
    </row>
    <row r="439" spans="1:32" ht="15" x14ac:dyDescent="0.2">
      <c r="A439" s="8">
        <v>4</v>
      </c>
      <c r="B439" s="8">
        <v>8</v>
      </c>
      <c r="AB439" s="8">
        <v>0</v>
      </c>
      <c r="AC439" s="3">
        <v>535220139</v>
      </c>
      <c r="AD439" s="3" t="s">
        <v>143</v>
      </c>
      <c r="AE439" t="s">
        <v>175</v>
      </c>
      <c r="AF439" s="25">
        <v>999</v>
      </c>
    </row>
    <row r="440" spans="1:32" ht="15" x14ac:dyDescent="0.2">
      <c r="A440" s="8">
        <v>4</v>
      </c>
      <c r="B440" s="8">
        <v>8</v>
      </c>
      <c r="AB440" s="8">
        <v>0</v>
      </c>
      <c r="AC440" s="3">
        <v>535220142</v>
      </c>
      <c r="AD440" s="3" t="s">
        <v>143</v>
      </c>
      <c r="AE440" t="s">
        <v>175</v>
      </c>
      <c r="AF440" s="25">
        <v>999</v>
      </c>
    </row>
    <row r="441" spans="1:32" ht="15" x14ac:dyDescent="0.2">
      <c r="A441" s="8">
        <v>4</v>
      </c>
      <c r="B441" s="8">
        <v>8</v>
      </c>
      <c r="AB441" s="8">
        <v>0</v>
      </c>
      <c r="AC441" s="3">
        <v>535220143</v>
      </c>
      <c r="AD441" s="3" t="s">
        <v>143</v>
      </c>
      <c r="AE441" t="s">
        <v>175</v>
      </c>
      <c r="AF441" s="25">
        <v>999</v>
      </c>
    </row>
    <row r="442" spans="1:32" ht="15" x14ac:dyDescent="0.2">
      <c r="A442" s="8">
        <v>5</v>
      </c>
      <c r="B442" s="8">
        <v>8</v>
      </c>
      <c r="AB442" s="8">
        <v>0</v>
      </c>
      <c r="AC442" s="3">
        <v>825220054</v>
      </c>
      <c r="AD442" s="3" t="s">
        <v>142</v>
      </c>
      <c r="AE442" t="s">
        <v>168</v>
      </c>
      <c r="AF442" s="25">
        <v>999</v>
      </c>
    </row>
    <row r="443" spans="1:32" ht="15" x14ac:dyDescent="0.2">
      <c r="A443" s="8">
        <v>5</v>
      </c>
      <c r="B443" s="8">
        <v>8</v>
      </c>
      <c r="AB443" s="8">
        <v>0</v>
      </c>
      <c r="AC443" s="3">
        <v>825220129</v>
      </c>
      <c r="AD443" s="3" t="s">
        <v>142</v>
      </c>
      <c r="AE443" t="s">
        <v>168</v>
      </c>
      <c r="AF443" s="25">
        <v>999</v>
      </c>
    </row>
    <row r="444" spans="1:32" ht="15" x14ac:dyDescent="0.2">
      <c r="A444" s="8">
        <v>5</v>
      </c>
      <c r="B444" s="8">
        <v>8</v>
      </c>
      <c r="AB444" s="8">
        <v>0</v>
      </c>
      <c r="AC444" s="3">
        <v>825220147</v>
      </c>
      <c r="AD444" s="3" t="s">
        <v>142</v>
      </c>
      <c r="AE444" t="s">
        <v>168</v>
      </c>
      <c r="AF444" s="25">
        <v>999</v>
      </c>
    </row>
    <row r="445" spans="1:32" ht="15" x14ac:dyDescent="0.2">
      <c r="A445" s="8">
        <v>5</v>
      </c>
      <c r="B445" s="8">
        <v>8</v>
      </c>
      <c r="AB445" s="8">
        <v>0</v>
      </c>
      <c r="AC445" s="3">
        <v>825220153</v>
      </c>
      <c r="AD445" s="3" t="s">
        <v>142</v>
      </c>
      <c r="AE445" t="s">
        <v>168</v>
      </c>
      <c r="AF445" s="25">
        <v>999</v>
      </c>
    </row>
    <row r="446" spans="1:32" ht="15" x14ac:dyDescent="0.2">
      <c r="A446" s="8">
        <v>5</v>
      </c>
      <c r="B446" s="8">
        <v>8</v>
      </c>
      <c r="AB446" s="8">
        <v>0</v>
      </c>
      <c r="AC446" s="3">
        <v>825220168</v>
      </c>
      <c r="AD446" s="3" t="s">
        <v>142</v>
      </c>
      <c r="AE446" s="28" t="s">
        <v>168</v>
      </c>
      <c r="AF446" s="25">
        <v>999</v>
      </c>
    </row>
    <row r="448" spans="1:32" ht="15" x14ac:dyDescent="0.2">
      <c r="A448" s="38">
        <v>4</v>
      </c>
      <c r="B448" s="38">
        <v>2</v>
      </c>
      <c r="C448" s="38">
        <v>0</v>
      </c>
      <c r="D448" s="39">
        <v>535220001</v>
      </c>
      <c r="E448" s="39" t="s">
        <v>142</v>
      </c>
      <c r="F448" s="35" t="s">
        <v>166</v>
      </c>
      <c r="N448" s="40">
        <v>999</v>
      </c>
    </row>
    <row r="449" spans="1:14" ht="15" x14ac:dyDescent="0.2">
      <c r="A449" s="38">
        <v>4</v>
      </c>
      <c r="B449" s="38">
        <v>2</v>
      </c>
      <c r="C449" s="38">
        <v>0</v>
      </c>
      <c r="D449" s="39">
        <v>535220010</v>
      </c>
      <c r="E449" s="39" t="s">
        <v>142</v>
      </c>
      <c r="F449" s="35" t="s">
        <v>166</v>
      </c>
      <c r="N449" s="40">
        <v>999</v>
      </c>
    </row>
    <row r="450" spans="1:14" ht="15" x14ac:dyDescent="0.2">
      <c r="A450" s="38">
        <v>4</v>
      </c>
      <c r="B450" s="38">
        <v>2</v>
      </c>
      <c r="C450" s="38">
        <v>0</v>
      </c>
      <c r="D450" s="39">
        <v>535220017</v>
      </c>
      <c r="E450" s="39" t="s">
        <v>142</v>
      </c>
      <c r="F450" s="35" t="s">
        <v>166</v>
      </c>
      <c r="N450" s="40">
        <v>999</v>
      </c>
    </row>
    <row r="451" spans="1:14" ht="15" x14ac:dyDescent="0.2">
      <c r="A451" s="38">
        <v>4</v>
      </c>
      <c r="B451" s="38">
        <v>2</v>
      </c>
      <c r="C451" s="38">
        <v>0</v>
      </c>
      <c r="D451" s="39">
        <v>535220019</v>
      </c>
      <c r="E451" s="39" t="s">
        <v>142</v>
      </c>
      <c r="F451" s="35" t="s">
        <v>166</v>
      </c>
      <c r="N451" s="40">
        <v>999</v>
      </c>
    </row>
    <row r="452" spans="1:14" ht="15" x14ac:dyDescent="0.2">
      <c r="A452" s="38">
        <v>4</v>
      </c>
      <c r="B452" s="38">
        <v>2</v>
      </c>
      <c r="C452" s="38">
        <v>0</v>
      </c>
      <c r="D452" s="39">
        <v>535220262</v>
      </c>
      <c r="E452" s="39" t="s">
        <v>142</v>
      </c>
      <c r="F452" s="35" t="s">
        <v>166</v>
      </c>
      <c r="N452" s="40">
        <v>999</v>
      </c>
    </row>
    <row r="453" spans="1:14" ht="15" x14ac:dyDescent="0.2">
      <c r="A453" s="38">
        <v>5</v>
      </c>
      <c r="B453" s="38">
        <v>2</v>
      </c>
      <c r="C453" s="38">
        <v>0</v>
      </c>
      <c r="D453" s="39">
        <v>825220138</v>
      </c>
      <c r="E453" s="39" t="s">
        <v>142</v>
      </c>
      <c r="F453" s="35" t="s">
        <v>155</v>
      </c>
      <c r="N453" s="40">
        <v>999</v>
      </c>
    </row>
    <row r="454" spans="1:14" ht="15" x14ac:dyDescent="0.2">
      <c r="A454" s="38">
        <v>5</v>
      </c>
      <c r="B454" s="38">
        <v>2</v>
      </c>
      <c r="C454" s="38">
        <v>0</v>
      </c>
      <c r="D454" s="39">
        <v>825220139</v>
      </c>
      <c r="E454" s="39" t="s">
        <v>142</v>
      </c>
      <c r="F454" s="35" t="s">
        <v>155</v>
      </c>
      <c r="N454" s="40">
        <v>999</v>
      </c>
    </row>
    <row r="455" spans="1:14" ht="15" x14ac:dyDescent="0.2">
      <c r="A455" s="38">
        <v>5</v>
      </c>
      <c r="B455" s="38">
        <v>2</v>
      </c>
      <c r="C455" s="38">
        <v>0</v>
      </c>
      <c r="D455" s="39">
        <v>825220165</v>
      </c>
      <c r="E455" s="39" t="s">
        <v>142</v>
      </c>
      <c r="F455" s="35" t="s">
        <v>155</v>
      </c>
      <c r="N455" s="40">
        <v>999</v>
      </c>
    </row>
    <row r="456" spans="1:14" ht="15" x14ac:dyDescent="0.2">
      <c r="A456" s="38">
        <v>5</v>
      </c>
      <c r="B456" s="38">
        <v>2</v>
      </c>
      <c r="C456" s="38">
        <v>0</v>
      </c>
      <c r="D456" s="39">
        <v>535220140</v>
      </c>
      <c r="E456" s="39" t="s">
        <v>142</v>
      </c>
      <c r="F456" s="35" t="s">
        <v>167</v>
      </c>
      <c r="N456" s="40">
        <v>999</v>
      </c>
    </row>
    <row r="457" spans="1:14" ht="15" x14ac:dyDescent="0.2">
      <c r="A457" s="38">
        <v>5</v>
      </c>
      <c r="B457" s="38">
        <v>2</v>
      </c>
      <c r="C457" s="38">
        <v>0</v>
      </c>
      <c r="D457" s="41">
        <v>535220148</v>
      </c>
      <c r="E457" s="39" t="s">
        <v>142</v>
      </c>
      <c r="F457" s="35" t="s">
        <v>167</v>
      </c>
      <c r="N457" s="40">
        <v>999</v>
      </c>
    </row>
    <row r="458" spans="1:14" ht="15" x14ac:dyDescent="0.2">
      <c r="A458" s="38">
        <v>6</v>
      </c>
      <c r="B458" s="38">
        <v>2</v>
      </c>
      <c r="C458" s="38">
        <v>0</v>
      </c>
      <c r="D458" s="39">
        <v>535220176</v>
      </c>
      <c r="E458" s="39" t="s">
        <v>142</v>
      </c>
      <c r="F458" s="35" t="s">
        <v>167</v>
      </c>
      <c r="N458" s="40">
        <v>999</v>
      </c>
    </row>
    <row r="459" spans="1:14" ht="15" x14ac:dyDescent="0.2">
      <c r="A459" s="38">
        <v>6</v>
      </c>
      <c r="B459" s="38">
        <v>2</v>
      </c>
      <c r="C459" s="38">
        <v>0</v>
      </c>
      <c r="D459" s="39">
        <v>535220182</v>
      </c>
      <c r="E459" s="39" t="s">
        <v>142</v>
      </c>
      <c r="F459" s="35" t="s">
        <v>167</v>
      </c>
      <c r="N459" s="40">
        <v>999</v>
      </c>
    </row>
    <row r="460" spans="1:14" ht="15" x14ac:dyDescent="0.2">
      <c r="A460" s="38">
        <v>6</v>
      </c>
      <c r="B460" s="38">
        <v>2</v>
      </c>
      <c r="C460" s="38">
        <v>0</v>
      </c>
      <c r="D460" s="39">
        <v>535220183</v>
      </c>
      <c r="E460" s="39" t="s">
        <v>142</v>
      </c>
      <c r="F460" s="35" t="s">
        <v>167</v>
      </c>
      <c r="N460" s="40">
        <v>999</v>
      </c>
    </row>
    <row r="461" spans="1:14" ht="15" x14ac:dyDescent="0.2">
      <c r="A461" s="38">
        <v>6</v>
      </c>
      <c r="B461" s="38">
        <v>2</v>
      </c>
      <c r="C461" s="38">
        <v>0</v>
      </c>
      <c r="D461" s="39">
        <v>535220189</v>
      </c>
      <c r="E461" s="39" t="s">
        <v>142</v>
      </c>
      <c r="F461" s="35" t="s">
        <v>167</v>
      </c>
      <c r="N461" s="40">
        <v>999</v>
      </c>
    </row>
    <row r="462" spans="1:14" ht="15" x14ac:dyDescent="0.2">
      <c r="A462" s="38">
        <v>6</v>
      </c>
      <c r="B462" s="38">
        <v>2</v>
      </c>
      <c r="C462" s="38">
        <v>0</v>
      </c>
      <c r="D462" s="39">
        <v>535220259</v>
      </c>
      <c r="E462" s="39" t="s">
        <v>142</v>
      </c>
      <c r="F462" s="35" t="s">
        <v>167</v>
      </c>
      <c r="N462" s="40">
        <v>999</v>
      </c>
    </row>
    <row r="463" spans="1:14" ht="15" x14ac:dyDescent="0.2">
      <c r="A463" s="8">
        <v>3</v>
      </c>
      <c r="B463" s="8">
        <v>2</v>
      </c>
      <c r="C463" s="8">
        <v>1</v>
      </c>
      <c r="D463" s="3">
        <v>535220013</v>
      </c>
      <c r="E463" s="3" t="s">
        <v>142</v>
      </c>
      <c r="F463" t="s">
        <v>157</v>
      </c>
      <c r="N463" s="25">
        <v>999</v>
      </c>
    </row>
    <row r="464" spans="1:14" ht="15" x14ac:dyDescent="0.2">
      <c r="A464" s="8">
        <v>3</v>
      </c>
      <c r="B464" s="8">
        <v>2</v>
      </c>
      <c r="C464" s="8">
        <v>1</v>
      </c>
      <c r="D464" s="3">
        <v>535220033</v>
      </c>
      <c r="E464" s="3" t="s">
        <v>142</v>
      </c>
      <c r="F464" t="s">
        <v>157</v>
      </c>
      <c r="N464" s="25">
        <v>999</v>
      </c>
    </row>
    <row r="465" spans="1:14" ht="15" x14ac:dyDescent="0.2">
      <c r="A465" s="8">
        <v>3</v>
      </c>
      <c r="B465" s="8">
        <v>2</v>
      </c>
      <c r="C465" s="8">
        <v>1</v>
      </c>
      <c r="D465" s="3">
        <v>535220044</v>
      </c>
      <c r="E465" s="3" t="s">
        <v>142</v>
      </c>
      <c r="F465" t="s">
        <v>157</v>
      </c>
      <c r="N465" s="25">
        <v>999</v>
      </c>
    </row>
    <row r="466" spans="1:14" ht="15" x14ac:dyDescent="0.2">
      <c r="A466" s="8">
        <v>3</v>
      </c>
      <c r="B466" s="8">
        <v>2</v>
      </c>
      <c r="C466" s="8">
        <v>1</v>
      </c>
      <c r="D466" s="3">
        <v>535220075</v>
      </c>
      <c r="E466" s="3" t="s">
        <v>142</v>
      </c>
      <c r="F466" t="s">
        <v>157</v>
      </c>
      <c r="N466" s="25">
        <v>999</v>
      </c>
    </row>
    <row r="467" spans="1:14" ht="15" x14ac:dyDescent="0.2">
      <c r="A467" s="8">
        <v>3</v>
      </c>
      <c r="B467" s="8">
        <v>2</v>
      </c>
      <c r="C467" s="8">
        <v>1</v>
      </c>
      <c r="D467" s="3">
        <v>535220090</v>
      </c>
      <c r="E467" s="3" t="s">
        <v>142</v>
      </c>
      <c r="F467" t="s">
        <v>157</v>
      </c>
      <c r="N467" s="25">
        <v>999</v>
      </c>
    </row>
    <row r="468" spans="1:14" ht="15" x14ac:dyDescent="0.2">
      <c r="A468" s="8">
        <v>2</v>
      </c>
      <c r="B468" s="8">
        <v>2</v>
      </c>
      <c r="C468" s="8">
        <v>2</v>
      </c>
      <c r="D468" s="3">
        <v>825220155</v>
      </c>
      <c r="E468" s="3" t="s">
        <v>142</v>
      </c>
      <c r="F468" t="s">
        <v>161</v>
      </c>
      <c r="N468" s="25">
        <v>999</v>
      </c>
    </row>
    <row r="469" spans="1:14" ht="15" x14ac:dyDescent="0.2">
      <c r="A469" s="8">
        <v>2</v>
      </c>
      <c r="B469" s="8">
        <v>2</v>
      </c>
      <c r="C469" s="8">
        <v>2</v>
      </c>
      <c r="D469" s="3">
        <v>825220182</v>
      </c>
      <c r="E469" s="3" t="s">
        <v>142</v>
      </c>
      <c r="F469" t="s">
        <v>161</v>
      </c>
      <c r="N469" s="25">
        <v>999</v>
      </c>
    </row>
    <row r="470" spans="1:14" ht="15" x14ac:dyDescent="0.2">
      <c r="A470" s="8">
        <v>2</v>
      </c>
      <c r="B470" s="8">
        <v>2</v>
      </c>
      <c r="C470" s="8">
        <v>2</v>
      </c>
      <c r="D470" s="3">
        <v>825249102</v>
      </c>
      <c r="E470" s="3" t="s">
        <v>142</v>
      </c>
      <c r="F470" t="s">
        <v>161</v>
      </c>
      <c r="N470" s="25">
        <v>999</v>
      </c>
    </row>
    <row r="471" spans="1:14" ht="15" x14ac:dyDescent="0.2">
      <c r="A471" s="8">
        <v>2</v>
      </c>
      <c r="B471" s="8">
        <v>2</v>
      </c>
      <c r="C471" s="8">
        <v>2</v>
      </c>
      <c r="D471" s="3">
        <v>535220104</v>
      </c>
      <c r="E471" s="3" t="s">
        <v>142</v>
      </c>
      <c r="F471" t="s">
        <v>168</v>
      </c>
      <c r="N471" s="25">
        <v>999</v>
      </c>
    </row>
    <row r="472" spans="1:14" ht="15" x14ac:dyDescent="0.2">
      <c r="A472" s="17">
        <v>2</v>
      </c>
      <c r="B472" s="8">
        <v>2</v>
      </c>
      <c r="C472" s="8">
        <v>2</v>
      </c>
      <c r="D472" s="6">
        <v>535220164</v>
      </c>
      <c r="E472" s="3" t="s">
        <v>142</v>
      </c>
      <c r="F472" t="s">
        <v>168</v>
      </c>
      <c r="N472" s="25">
        <v>999</v>
      </c>
    </row>
    <row r="473" spans="1:14" ht="15" x14ac:dyDescent="0.2">
      <c r="A473" s="38">
        <v>3</v>
      </c>
      <c r="B473" s="38">
        <v>2</v>
      </c>
      <c r="C473" s="38">
        <v>2</v>
      </c>
      <c r="D473" s="39">
        <v>535220165</v>
      </c>
      <c r="E473" s="39" t="s">
        <v>142</v>
      </c>
      <c r="F473" s="35" t="s">
        <v>168</v>
      </c>
      <c r="N473" s="40">
        <v>999</v>
      </c>
    </row>
    <row r="474" spans="1:14" ht="15" x14ac:dyDescent="0.2">
      <c r="A474" s="38">
        <v>3</v>
      </c>
      <c r="B474" s="38">
        <v>2</v>
      </c>
      <c r="C474" s="38">
        <v>2</v>
      </c>
      <c r="D474" s="39">
        <v>535220197</v>
      </c>
      <c r="E474" s="39" t="s">
        <v>142</v>
      </c>
      <c r="F474" s="35" t="s">
        <v>168</v>
      </c>
      <c r="N474" s="40">
        <v>999</v>
      </c>
    </row>
    <row r="475" spans="1:14" ht="15" x14ac:dyDescent="0.2">
      <c r="A475" s="38">
        <v>3</v>
      </c>
      <c r="B475" s="38">
        <v>2</v>
      </c>
      <c r="C475" s="38">
        <v>2</v>
      </c>
      <c r="D475" s="39">
        <v>535220201</v>
      </c>
      <c r="E475" s="39" t="s">
        <v>142</v>
      </c>
      <c r="F475" s="35" t="s">
        <v>168</v>
      </c>
      <c r="N475" s="40">
        <v>999</v>
      </c>
    </row>
    <row r="476" spans="1:14" ht="15" x14ac:dyDescent="0.2">
      <c r="A476" s="38">
        <v>3</v>
      </c>
      <c r="B476" s="38">
        <v>2</v>
      </c>
      <c r="C476" s="38">
        <v>2</v>
      </c>
      <c r="D476" s="39">
        <v>535229202</v>
      </c>
      <c r="E476" s="39" t="s">
        <v>142</v>
      </c>
      <c r="F476" s="35" t="s">
        <v>168</v>
      </c>
      <c r="N476" s="40">
        <v>999</v>
      </c>
    </row>
    <row r="477" spans="1:14" ht="15" x14ac:dyDescent="0.2">
      <c r="A477" s="38">
        <v>3</v>
      </c>
      <c r="B477" s="38">
        <v>2</v>
      </c>
      <c r="C477" s="38">
        <v>2</v>
      </c>
      <c r="D477" s="39">
        <v>825220051</v>
      </c>
      <c r="E477" s="39" t="s">
        <v>142</v>
      </c>
      <c r="F477" s="35" t="s">
        <v>168</v>
      </c>
      <c r="N477" s="40">
        <v>999</v>
      </c>
    </row>
    <row r="478" spans="1:14" ht="15" x14ac:dyDescent="0.2">
      <c r="A478" s="38">
        <v>0</v>
      </c>
      <c r="B478" s="38">
        <v>3</v>
      </c>
      <c r="C478" s="38">
        <v>0</v>
      </c>
      <c r="D478" s="39">
        <v>535220221</v>
      </c>
      <c r="E478" s="39" t="s">
        <v>142</v>
      </c>
      <c r="F478" s="35" t="s">
        <v>163</v>
      </c>
      <c r="N478" s="40">
        <v>999</v>
      </c>
    </row>
    <row r="479" spans="1:14" ht="15" x14ac:dyDescent="0.2">
      <c r="A479" s="38">
        <v>0</v>
      </c>
      <c r="B479" s="38">
        <v>3</v>
      </c>
      <c r="C479" s="38">
        <v>0</v>
      </c>
      <c r="D479" s="39">
        <v>535220224</v>
      </c>
      <c r="E479" s="39" t="s">
        <v>142</v>
      </c>
      <c r="F479" s="35" t="s">
        <v>163</v>
      </c>
      <c r="N479" s="40">
        <v>999</v>
      </c>
    </row>
    <row r="480" spans="1:14" ht="15" x14ac:dyDescent="0.2">
      <c r="A480" s="38">
        <v>0</v>
      </c>
      <c r="B480" s="38">
        <v>3</v>
      </c>
      <c r="C480" s="38">
        <v>0</v>
      </c>
      <c r="D480" s="39">
        <v>535220234</v>
      </c>
      <c r="E480" s="39" t="s">
        <v>142</v>
      </c>
      <c r="F480" s="35" t="s">
        <v>163</v>
      </c>
      <c r="N480" s="40">
        <v>999</v>
      </c>
    </row>
    <row r="481" spans="1:14" ht="15" x14ac:dyDescent="0.2">
      <c r="A481" s="38">
        <v>0</v>
      </c>
      <c r="B481" s="38">
        <v>3</v>
      </c>
      <c r="C481" s="38">
        <v>0</v>
      </c>
      <c r="D481" s="39">
        <v>535220242</v>
      </c>
      <c r="E481" s="39" t="s">
        <v>142</v>
      </c>
      <c r="F481" s="35" t="s">
        <v>163</v>
      </c>
      <c r="N481" s="40">
        <v>999</v>
      </c>
    </row>
    <row r="482" spans="1:14" ht="15" x14ac:dyDescent="0.2">
      <c r="A482" s="38">
        <v>0</v>
      </c>
      <c r="B482" s="38">
        <v>3</v>
      </c>
      <c r="C482" s="38">
        <v>0</v>
      </c>
      <c r="D482" s="39">
        <v>535220266</v>
      </c>
      <c r="E482" s="39" t="s">
        <v>142</v>
      </c>
      <c r="F482" s="35" t="s">
        <v>163</v>
      </c>
      <c r="N482" s="40">
        <v>999</v>
      </c>
    </row>
    <row r="483" spans="1:14" ht="15" x14ac:dyDescent="0.2">
      <c r="A483" s="38">
        <v>1</v>
      </c>
      <c r="B483" s="38">
        <v>3</v>
      </c>
      <c r="C483" s="38">
        <v>0</v>
      </c>
      <c r="D483" s="39">
        <v>825220041</v>
      </c>
      <c r="E483" s="39" t="s">
        <v>142</v>
      </c>
      <c r="F483" s="35" t="s">
        <v>155</v>
      </c>
      <c r="N483" s="40">
        <v>999</v>
      </c>
    </row>
    <row r="484" spans="1:14" ht="15" x14ac:dyDescent="0.2">
      <c r="A484" s="38">
        <v>1</v>
      </c>
      <c r="B484" s="38">
        <v>3</v>
      </c>
      <c r="C484" s="38">
        <v>0</v>
      </c>
      <c r="D484" s="39">
        <v>825220065</v>
      </c>
      <c r="E484" s="39" t="s">
        <v>142</v>
      </c>
      <c r="F484" s="35" t="s">
        <v>155</v>
      </c>
      <c r="N484" s="40">
        <v>999</v>
      </c>
    </row>
    <row r="485" spans="1:14" ht="15" x14ac:dyDescent="0.2">
      <c r="A485" s="38">
        <v>1</v>
      </c>
      <c r="B485" s="38">
        <v>3</v>
      </c>
      <c r="C485" s="38">
        <v>0</v>
      </c>
      <c r="D485" s="39">
        <v>825220067</v>
      </c>
      <c r="E485" s="39" t="s">
        <v>142</v>
      </c>
      <c r="F485" s="35" t="s">
        <v>155</v>
      </c>
      <c r="N485" s="40">
        <v>999</v>
      </c>
    </row>
    <row r="486" spans="1:14" ht="15" x14ac:dyDescent="0.2">
      <c r="A486" s="38">
        <v>1</v>
      </c>
      <c r="B486" s="38">
        <v>3</v>
      </c>
      <c r="C486" s="38">
        <v>0</v>
      </c>
      <c r="D486" s="39">
        <v>825220083</v>
      </c>
      <c r="E486" s="39" t="s">
        <v>142</v>
      </c>
      <c r="F486" s="35" t="s">
        <v>155</v>
      </c>
      <c r="N486" s="40">
        <v>999</v>
      </c>
    </row>
    <row r="487" spans="1:14" ht="15" x14ac:dyDescent="0.2">
      <c r="A487" s="38">
        <v>1</v>
      </c>
      <c r="B487" s="38">
        <v>3</v>
      </c>
      <c r="C487" s="38">
        <v>0</v>
      </c>
      <c r="D487" s="39">
        <v>825220108</v>
      </c>
      <c r="E487" s="39" t="s">
        <v>142</v>
      </c>
      <c r="F487" s="35" t="s">
        <v>155</v>
      </c>
      <c r="N487" s="40">
        <v>999</v>
      </c>
    </row>
    <row r="488" spans="1:14" ht="15" x14ac:dyDescent="0.2">
      <c r="A488" s="38">
        <v>2</v>
      </c>
      <c r="B488" s="38">
        <v>3</v>
      </c>
      <c r="C488" s="38">
        <v>0</v>
      </c>
      <c r="D488" s="39">
        <v>825220074</v>
      </c>
      <c r="E488" s="39" t="s">
        <v>142</v>
      </c>
      <c r="F488" s="35" t="s">
        <v>153</v>
      </c>
      <c r="N488" s="40">
        <v>999</v>
      </c>
    </row>
    <row r="489" spans="1:14" ht="15" x14ac:dyDescent="0.2">
      <c r="A489" s="38">
        <v>2</v>
      </c>
      <c r="B489" s="38">
        <v>3</v>
      </c>
      <c r="C489" s="38">
        <v>0</v>
      </c>
      <c r="D489" s="39">
        <v>825220159</v>
      </c>
      <c r="E489" s="39" t="s">
        <v>142</v>
      </c>
      <c r="F489" s="35" t="s">
        <v>153</v>
      </c>
      <c r="N489" s="40">
        <v>999</v>
      </c>
    </row>
    <row r="490" spans="1:14" ht="15" x14ac:dyDescent="0.2">
      <c r="A490" s="38">
        <v>2</v>
      </c>
      <c r="B490" s="38">
        <v>3</v>
      </c>
      <c r="C490" s="38">
        <v>0</v>
      </c>
      <c r="D490" s="39">
        <v>825220160</v>
      </c>
      <c r="E490" s="39" t="s">
        <v>142</v>
      </c>
      <c r="F490" s="35" t="s">
        <v>153</v>
      </c>
      <c r="N490" s="40">
        <v>999</v>
      </c>
    </row>
    <row r="491" spans="1:14" ht="15" x14ac:dyDescent="0.2">
      <c r="A491" s="38">
        <v>2</v>
      </c>
      <c r="B491" s="38">
        <v>3</v>
      </c>
      <c r="C491" s="38">
        <v>0</v>
      </c>
      <c r="D491" s="39">
        <v>825220161</v>
      </c>
      <c r="E491" s="39" t="s">
        <v>142</v>
      </c>
      <c r="F491" s="35" t="s">
        <v>153</v>
      </c>
      <c r="N491" s="40">
        <v>999</v>
      </c>
    </row>
    <row r="492" spans="1:14" ht="15" x14ac:dyDescent="0.2">
      <c r="A492" s="38">
        <v>2</v>
      </c>
      <c r="B492" s="38">
        <v>3</v>
      </c>
      <c r="C492" s="38">
        <v>0</v>
      </c>
      <c r="D492" s="41">
        <v>825220163</v>
      </c>
      <c r="E492" s="39" t="s">
        <v>142</v>
      </c>
      <c r="F492" s="35" t="s">
        <v>153</v>
      </c>
      <c r="N492" s="40">
        <v>999</v>
      </c>
    </row>
    <row r="493" spans="1:14" ht="15" x14ac:dyDescent="0.2">
      <c r="A493" s="38">
        <v>3</v>
      </c>
      <c r="B493" s="38">
        <v>3</v>
      </c>
      <c r="C493" s="38">
        <v>0</v>
      </c>
      <c r="D493" s="39">
        <v>825220164</v>
      </c>
      <c r="E493" s="39" t="s">
        <v>142</v>
      </c>
      <c r="F493" s="35" t="s">
        <v>153</v>
      </c>
      <c r="N493" s="40">
        <v>999</v>
      </c>
    </row>
    <row r="494" spans="1:14" ht="15" x14ac:dyDescent="0.2">
      <c r="A494" s="38">
        <v>3</v>
      </c>
      <c r="B494" s="38">
        <v>3</v>
      </c>
      <c r="C494" s="38">
        <v>0</v>
      </c>
      <c r="D494" s="39">
        <v>825220068</v>
      </c>
      <c r="E494" s="39" t="s">
        <v>142</v>
      </c>
      <c r="F494" s="35" t="s">
        <v>153</v>
      </c>
      <c r="N494" s="40">
        <v>999</v>
      </c>
    </row>
    <row r="495" spans="1:14" ht="15" x14ac:dyDescent="0.2">
      <c r="A495" s="38">
        <v>3</v>
      </c>
      <c r="B495" s="38">
        <v>3</v>
      </c>
      <c r="C495" s="38">
        <v>0</v>
      </c>
      <c r="D495" s="39">
        <v>825220071</v>
      </c>
      <c r="E495" s="39" t="s">
        <v>142</v>
      </c>
      <c r="F495" s="35" t="s">
        <v>153</v>
      </c>
      <c r="N495" s="40">
        <v>999</v>
      </c>
    </row>
    <row r="496" spans="1:14" ht="15" x14ac:dyDescent="0.2">
      <c r="A496" s="38">
        <v>3</v>
      </c>
      <c r="B496" s="38">
        <v>3</v>
      </c>
      <c r="C496" s="38">
        <v>0</v>
      </c>
      <c r="D496" s="39">
        <v>825220072</v>
      </c>
      <c r="E496" s="39" t="s">
        <v>142</v>
      </c>
      <c r="F496" s="35" t="s">
        <v>153</v>
      </c>
      <c r="N496" s="40">
        <v>999</v>
      </c>
    </row>
    <row r="497" spans="1:14" ht="15" x14ac:dyDescent="0.2">
      <c r="A497" s="38">
        <v>3</v>
      </c>
      <c r="B497" s="38">
        <v>3</v>
      </c>
      <c r="C497" s="38">
        <v>0</v>
      </c>
      <c r="D497" s="39">
        <v>825220073</v>
      </c>
      <c r="E497" s="39" t="s">
        <v>142</v>
      </c>
      <c r="F497" s="35" t="s">
        <v>153</v>
      </c>
      <c r="N497" s="40">
        <v>999</v>
      </c>
    </row>
    <row r="498" spans="1:14" ht="15" x14ac:dyDescent="0.2">
      <c r="A498" s="8">
        <v>0</v>
      </c>
      <c r="B498" s="8">
        <v>6</v>
      </c>
      <c r="C498" s="8">
        <v>1</v>
      </c>
      <c r="D498" s="3">
        <v>825210038</v>
      </c>
      <c r="E498" s="3" t="s">
        <v>142</v>
      </c>
      <c r="F498" t="s">
        <v>172</v>
      </c>
      <c r="N498" s="25">
        <v>0</v>
      </c>
    </row>
    <row r="499" spans="1:14" ht="15" x14ac:dyDescent="0.2">
      <c r="A499" s="8">
        <v>0</v>
      </c>
      <c r="B499" s="8">
        <v>6</v>
      </c>
      <c r="C499" s="8">
        <v>1</v>
      </c>
      <c r="D499" s="3">
        <v>825220080</v>
      </c>
      <c r="E499" s="3" t="s">
        <v>142</v>
      </c>
      <c r="F499" t="s">
        <v>172</v>
      </c>
      <c r="N499" s="25">
        <v>0</v>
      </c>
    </row>
    <row r="500" spans="1:14" ht="15" x14ac:dyDescent="0.2">
      <c r="A500" s="8">
        <v>0</v>
      </c>
      <c r="B500" s="8">
        <v>6</v>
      </c>
      <c r="C500" s="8">
        <v>1</v>
      </c>
      <c r="D500" s="3">
        <v>825220082</v>
      </c>
      <c r="E500" s="3" t="s">
        <v>142</v>
      </c>
      <c r="F500" t="s">
        <v>172</v>
      </c>
      <c r="N500" s="25">
        <v>0</v>
      </c>
    </row>
    <row r="501" spans="1:14" ht="15" x14ac:dyDescent="0.2">
      <c r="A501" s="8">
        <v>0</v>
      </c>
      <c r="B501" s="8">
        <v>6</v>
      </c>
      <c r="C501" s="8">
        <v>1</v>
      </c>
      <c r="D501" s="3">
        <v>825220085</v>
      </c>
      <c r="E501" s="3" t="s">
        <v>142</v>
      </c>
      <c r="F501" t="s">
        <v>172</v>
      </c>
      <c r="N501" s="25">
        <v>0</v>
      </c>
    </row>
    <row r="502" spans="1:14" ht="15" x14ac:dyDescent="0.2">
      <c r="A502" s="8">
        <v>0</v>
      </c>
      <c r="B502" s="8">
        <v>6</v>
      </c>
      <c r="C502" s="8">
        <v>1</v>
      </c>
      <c r="D502" s="3">
        <v>825220086</v>
      </c>
      <c r="E502" s="3" t="s">
        <v>142</v>
      </c>
      <c r="F502" t="s">
        <v>172</v>
      </c>
      <c r="N502" s="25">
        <v>0</v>
      </c>
    </row>
    <row r="503" spans="1:14" ht="15" x14ac:dyDescent="0.2">
      <c r="A503" s="8">
        <v>3</v>
      </c>
      <c r="B503" s="8">
        <v>6</v>
      </c>
      <c r="C503" s="8">
        <v>1</v>
      </c>
      <c r="D503" s="3">
        <v>825220076</v>
      </c>
      <c r="E503" s="3" t="s">
        <v>142</v>
      </c>
      <c r="F503" t="s">
        <v>174</v>
      </c>
      <c r="N503" s="25">
        <v>999</v>
      </c>
    </row>
    <row r="504" spans="1:14" ht="15" x14ac:dyDescent="0.2">
      <c r="A504" s="8">
        <v>3</v>
      </c>
      <c r="B504" s="8">
        <v>6</v>
      </c>
      <c r="C504" s="8">
        <v>1</v>
      </c>
      <c r="D504" s="3">
        <v>825220077</v>
      </c>
      <c r="E504" s="3" t="s">
        <v>142</v>
      </c>
      <c r="F504" t="s">
        <v>174</v>
      </c>
      <c r="N504" s="25">
        <v>999</v>
      </c>
    </row>
    <row r="505" spans="1:14" ht="15" x14ac:dyDescent="0.2">
      <c r="A505" s="8">
        <v>3</v>
      </c>
      <c r="B505" s="8">
        <v>6</v>
      </c>
      <c r="C505" s="8">
        <v>1</v>
      </c>
      <c r="D505" s="3">
        <v>825220078</v>
      </c>
      <c r="E505" s="3" t="s">
        <v>142</v>
      </c>
      <c r="F505" t="s">
        <v>174</v>
      </c>
      <c r="N505" s="25">
        <v>999</v>
      </c>
    </row>
    <row r="506" spans="1:14" ht="15" x14ac:dyDescent="0.2">
      <c r="A506" s="8">
        <v>3</v>
      </c>
      <c r="B506" s="8">
        <v>6</v>
      </c>
      <c r="C506" s="8">
        <v>1</v>
      </c>
      <c r="D506" s="3">
        <v>825220079</v>
      </c>
      <c r="E506" s="3" t="s">
        <v>142</v>
      </c>
      <c r="F506" t="s">
        <v>174</v>
      </c>
      <c r="N506" s="25">
        <v>999</v>
      </c>
    </row>
    <row r="507" spans="1:14" ht="15" x14ac:dyDescent="0.2">
      <c r="A507" s="8">
        <v>3</v>
      </c>
      <c r="B507" s="8">
        <v>6</v>
      </c>
      <c r="C507" s="8">
        <v>1</v>
      </c>
      <c r="D507" s="3">
        <v>825220127</v>
      </c>
      <c r="E507" s="3" t="s">
        <v>142</v>
      </c>
      <c r="F507" t="s">
        <v>174</v>
      </c>
      <c r="N507" s="25">
        <v>999</v>
      </c>
    </row>
  </sheetData>
  <mergeCells count="3">
    <mergeCell ref="A1:F1"/>
    <mergeCell ref="G1:M1"/>
    <mergeCell ref="N1:N2"/>
  </mergeCells>
  <conditionalFormatting sqref="A313:A337 A362:A446 A291:A310 A2:A37 A108:A172 A213:A217 A448:A1048576 A231:A270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:C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13:B337 B362:B446 B291:B310 B2:B37 B108:B172 B213:B217 B448:B1048576 B231:B270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37 C108:C172 C213:C217 C231:C270 C291:C310 C313:C337 C448:C1048576 AB362:AB446">
    <cfRule type="cellIs" dxfId="25" priority="77" operator="equal">
      <formula>2</formula>
    </cfRule>
    <cfRule type="cellIs" dxfId="24" priority="78" operator="equal">
      <formula>1</formula>
    </cfRule>
    <cfRule type="cellIs" dxfId="23" priority="79" operator="equal">
      <formula>0</formula>
    </cfRule>
  </conditionalFormatting>
  <conditionalFormatting sqref="G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04857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I337 G339:I1048576 G338:H338 M33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104857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337 I339:I104857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" priority="17" operator="equal">
      <formula>2</formula>
    </cfRule>
    <cfRule type="cellIs" dxfId="21" priority="18" operator="equal">
      <formula>1</formula>
    </cfRule>
    <cfRule type="cellIs" dxfId="20" priority="19" operator="equal">
      <formula>0</formula>
    </cfRule>
  </conditionalFormatting>
  <conditionalFormatting sqref="N1:N1048576">
    <cfRule type="containsText" dxfId="19" priority="1" operator="containsText" text=".">
      <formula>NOT(ISERROR(SEARCH(".",N1)))</formula>
    </cfRule>
    <cfRule type="cellIs" dxfId="18" priority="2" operator="equal">
      <formula>0</formula>
    </cfRule>
  </conditionalFormatting>
  <conditionalFormatting sqref="AB362:AB446 C313:C337 C291:C310 C2:C37 C108:C172 C213:C217 C448:C1048576 C231:C270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85057-EB36-44F3-A3A6-08E8DAF22F6A}">
  <dimension ref="A1:F339"/>
  <sheetViews>
    <sheetView workbookViewId="0">
      <selection activeCell="F2" sqref="F2"/>
    </sheetView>
  </sheetViews>
  <sheetFormatPr defaultRowHeight="12.75" x14ac:dyDescent="0.2"/>
  <cols>
    <col min="4" max="4" width="10.1640625" style="5" bestFit="1" customWidth="1"/>
  </cols>
  <sheetData>
    <row r="1" spans="1:6" s="5" customFormat="1" x14ac:dyDescent="0.2">
      <c r="A1" s="5" t="s">
        <v>148</v>
      </c>
      <c r="B1" s="5" t="s">
        <v>149</v>
      </c>
      <c r="C1" s="5" t="s">
        <v>150</v>
      </c>
      <c r="D1" s="5" t="s">
        <v>176</v>
      </c>
      <c r="E1" s="5" t="s">
        <v>151</v>
      </c>
      <c r="F1" s="5" t="s">
        <v>152</v>
      </c>
    </row>
    <row r="2" spans="1:6" s="5" customFormat="1" x14ac:dyDescent="0.2">
      <c r="A2" s="5">
        <v>0</v>
      </c>
      <c r="B2" s="5">
        <v>0</v>
      </c>
      <c r="C2" s="5">
        <v>0</v>
      </c>
      <c r="D2" s="5" t="s">
        <v>177</v>
      </c>
      <c r="E2" s="5" t="s">
        <v>142</v>
      </c>
      <c r="F2" s="5" t="s">
        <v>153</v>
      </c>
    </row>
    <row r="3" spans="1:6" s="5" customFormat="1" x14ac:dyDescent="0.2">
      <c r="A3" s="5">
        <v>0</v>
      </c>
      <c r="B3" s="5">
        <v>0</v>
      </c>
      <c r="C3" s="5">
        <v>0</v>
      </c>
      <c r="D3" s="5" t="s">
        <v>178</v>
      </c>
      <c r="E3" s="5" t="s">
        <v>142</v>
      </c>
      <c r="F3" s="5" t="s">
        <v>153</v>
      </c>
    </row>
    <row r="4" spans="1:6" s="5" customFormat="1" x14ac:dyDescent="0.2">
      <c r="A4" s="5">
        <v>0</v>
      </c>
      <c r="B4" s="5">
        <v>0</v>
      </c>
      <c r="C4" s="5">
        <v>0</v>
      </c>
      <c r="D4" s="5" t="s">
        <v>179</v>
      </c>
      <c r="E4" s="5" t="s">
        <v>142</v>
      </c>
      <c r="F4" s="5" t="s">
        <v>153</v>
      </c>
    </row>
    <row r="5" spans="1:6" s="5" customFormat="1" x14ac:dyDescent="0.2">
      <c r="A5" s="5">
        <v>0</v>
      </c>
      <c r="B5" s="5">
        <v>0</v>
      </c>
      <c r="C5" s="5">
        <v>0</v>
      </c>
      <c r="D5" s="5" t="s">
        <v>180</v>
      </c>
      <c r="E5" s="5" t="s">
        <v>142</v>
      </c>
      <c r="F5" s="5" t="s">
        <v>153</v>
      </c>
    </row>
    <row r="6" spans="1:6" s="5" customFormat="1" x14ac:dyDescent="0.2">
      <c r="A6" s="5">
        <v>0</v>
      </c>
      <c r="B6" s="5">
        <v>0</v>
      </c>
      <c r="C6" s="5">
        <v>0</v>
      </c>
      <c r="D6" s="5" t="s">
        <v>181</v>
      </c>
      <c r="E6" s="5" t="s">
        <v>142</v>
      </c>
      <c r="F6" s="5" t="s">
        <v>153</v>
      </c>
    </row>
    <row r="7" spans="1:6" s="5" customFormat="1" x14ac:dyDescent="0.2">
      <c r="A7" s="5">
        <v>0</v>
      </c>
      <c r="B7" s="5">
        <v>0</v>
      </c>
      <c r="C7" s="5">
        <v>1</v>
      </c>
      <c r="D7" s="5" t="s">
        <v>182</v>
      </c>
      <c r="E7" s="5" t="s">
        <v>142</v>
      </c>
      <c r="F7" s="5" t="s">
        <v>154</v>
      </c>
    </row>
    <row r="8" spans="1:6" s="5" customFormat="1" x14ac:dyDescent="0.2">
      <c r="A8" s="5">
        <v>0</v>
      </c>
      <c r="B8" s="5">
        <v>0</v>
      </c>
      <c r="C8" s="5">
        <v>1</v>
      </c>
      <c r="D8" s="5" t="s">
        <v>183</v>
      </c>
      <c r="E8" s="5" t="s">
        <v>142</v>
      </c>
      <c r="F8" s="5" t="s">
        <v>154</v>
      </c>
    </row>
    <row r="9" spans="1:6" s="5" customFormat="1" x14ac:dyDescent="0.2">
      <c r="A9" s="5">
        <v>0</v>
      </c>
      <c r="B9" s="5">
        <v>0</v>
      </c>
      <c r="C9" s="5">
        <v>1</v>
      </c>
      <c r="D9" s="5" t="s">
        <v>184</v>
      </c>
      <c r="E9" s="5" t="s">
        <v>142</v>
      </c>
      <c r="F9" s="5" t="s">
        <v>154</v>
      </c>
    </row>
    <row r="10" spans="1:6" s="5" customFormat="1" x14ac:dyDescent="0.2">
      <c r="A10" s="5">
        <v>0</v>
      </c>
      <c r="B10" s="5">
        <v>0</v>
      </c>
      <c r="C10" s="5">
        <v>1</v>
      </c>
      <c r="D10" s="5" t="s">
        <v>185</v>
      </c>
      <c r="E10" s="5" t="s">
        <v>142</v>
      </c>
      <c r="F10" s="5" t="s">
        <v>154</v>
      </c>
    </row>
    <row r="11" spans="1:6" s="5" customFormat="1" x14ac:dyDescent="0.2">
      <c r="A11" s="5">
        <v>0</v>
      </c>
      <c r="B11" s="5">
        <v>0</v>
      </c>
      <c r="C11" s="5">
        <v>1</v>
      </c>
      <c r="D11" s="5" t="s">
        <v>186</v>
      </c>
      <c r="E11" s="5" t="s">
        <v>142</v>
      </c>
      <c r="F11" s="5" t="s">
        <v>154</v>
      </c>
    </row>
    <row r="12" spans="1:6" s="5" customFormat="1" x14ac:dyDescent="0.2">
      <c r="A12" s="5">
        <v>0</v>
      </c>
      <c r="B12" s="5">
        <v>0</v>
      </c>
      <c r="C12" s="5">
        <v>2</v>
      </c>
      <c r="D12" s="5" t="s">
        <v>187</v>
      </c>
      <c r="E12" s="5" t="s">
        <v>142</v>
      </c>
      <c r="F12" s="5" t="s">
        <v>155</v>
      </c>
    </row>
    <row r="13" spans="1:6" s="5" customFormat="1" x14ac:dyDescent="0.2">
      <c r="A13" s="5">
        <v>0</v>
      </c>
      <c r="B13" s="5">
        <v>0</v>
      </c>
      <c r="C13" s="5">
        <v>2</v>
      </c>
      <c r="D13" s="5" t="s">
        <v>188</v>
      </c>
      <c r="E13" s="5" t="s">
        <v>142</v>
      </c>
      <c r="F13" s="5" t="s">
        <v>155</v>
      </c>
    </row>
    <row r="14" spans="1:6" s="5" customFormat="1" x14ac:dyDescent="0.2">
      <c r="A14" s="5">
        <v>0</v>
      </c>
      <c r="B14" s="5">
        <v>0</v>
      </c>
      <c r="C14" s="5">
        <v>2</v>
      </c>
      <c r="D14" s="5" t="s">
        <v>189</v>
      </c>
      <c r="E14" s="5" t="s">
        <v>142</v>
      </c>
      <c r="F14" s="5" t="s">
        <v>155</v>
      </c>
    </row>
    <row r="15" spans="1:6" s="5" customFormat="1" x14ac:dyDescent="0.2">
      <c r="A15" s="5">
        <v>0</v>
      </c>
      <c r="B15" s="5">
        <v>0</v>
      </c>
      <c r="C15" s="5">
        <v>2</v>
      </c>
      <c r="D15" s="5" t="s">
        <v>190</v>
      </c>
      <c r="E15" s="5" t="s">
        <v>142</v>
      </c>
      <c r="F15" s="5" t="s">
        <v>155</v>
      </c>
    </row>
    <row r="16" spans="1:6" s="5" customFormat="1" x14ac:dyDescent="0.2">
      <c r="A16" s="5">
        <v>0</v>
      </c>
      <c r="B16" s="5">
        <v>0</v>
      </c>
      <c r="C16" s="5">
        <v>2</v>
      </c>
      <c r="D16" s="5" t="s">
        <v>191</v>
      </c>
      <c r="E16" s="5" t="s">
        <v>142</v>
      </c>
      <c r="F16" s="5" t="s">
        <v>155</v>
      </c>
    </row>
    <row r="17" spans="1:6" s="5" customFormat="1" x14ac:dyDescent="0.2">
      <c r="A17" s="5">
        <v>0</v>
      </c>
      <c r="B17" s="5">
        <v>1</v>
      </c>
      <c r="C17" s="5">
        <v>0</v>
      </c>
      <c r="D17" s="5" t="s">
        <v>192</v>
      </c>
      <c r="E17" s="5" t="s">
        <v>142</v>
      </c>
      <c r="F17" s="5" t="s">
        <v>153</v>
      </c>
    </row>
    <row r="18" spans="1:6" s="5" customFormat="1" x14ac:dyDescent="0.2">
      <c r="A18" s="5">
        <v>0</v>
      </c>
      <c r="B18" s="5">
        <v>1</v>
      </c>
      <c r="C18" s="5">
        <v>0</v>
      </c>
      <c r="D18" s="5" t="s">
        <v>193</v>
      </c>
      <c r="E18" s="5" t="s">
        <v>142</v>
      </c>
      <c r="F18" s="5" t="s">
        <v>153</v>
      </c>
    </row>
    <row r="19" spans="1:6" s="5" customFormat="1" x14ac:dyDescent="0.2">
      <c r="A19" s="5">
        <v>0</v>
      </c>
      <c r="B19" s="5">
        <v>1</v>
      </c>
      <c r="C19" s="5">
        <v>0</v>
      </c>
      <c r="D19" s="5" t="s">
        <v>194</v>
      </c>
      <c r="E19" s="5" t="s">
        <v>142</v>
      </c>
      <c r="F19" s="5" t="s">
        <v>153</v>
      </c>
    </row>
    <row r="20" spans="1:6" s="5" customFormat="1" x14ac:dyDescent="0.2">
      <c r="A20" s="5">
        <v>0</v>
      </c>
      <c r="B20" s="5">
        <v>1</v>
      </c>
      <c r="C20" s="5">
        <v>0</v>
      </c>
      <c r="D20" s="5" t="s">
        <v>195</v>
      </c>
      <c r="E20" s="5" t="s">
        <v>142</v>
      </c>
      <c r="F20" s="5" t="s">
        <v>153</v>
      </c>
    </row>
    <row r="21" spans="1:6" s="5" customFormat="1" x14ac:dyDescent="0.2">
      <c r="A21" s="5">
        <v>0</v>
      </c>
      <c r="B21" s="5">
        <v>1</v>
      </c>
      <c r="C21" s="5">
        <v>0</v>
      </c>
      <c r="D21" s="5" t="s">
        <v>196</v>
      </c>
      <c r="E21" s="5" t="s">
        <v>142</v>
      </c>
      <c r="F21" s="5" t="s">
        <v>153</v>
      </c>
    </row>
    <row r="22" spans="1:6" s="5" customFormat="1" x14ac:dyDescent="0.2">
      <c r="A22" s="5">
        <v>0</v>
      </c>
      <c r="B22" s="5">
        <v>1</v>
      </c>
      <c r="C22" s="5">
        <v>1</v>
      </c>
      <c r="D22" s="5" t="s">
        <v>197</v>
      </c>
      <c r="E22" s="5" t="s">
        <v>142</v>
      </c>
      <c r="F22" s="5" t="s">
        <v>154</v>
      </c>
    </row>
    <row r="23" spans="1:6" s="5" customFormat="1" x14ac:dyDescent="0.2">
      <c r="A23" s="5">
        <v>0</v>
      </c>
      <c r="B23" s="5">
        <v>1</v>
      </c>
      <c r="C23" s="5">
        <v>1</v>
      </c>
      <c r="D23" s="5" t="s">
        <v>198</v>
      </c>
      <c r="E23" s="5" t="s">
        <v>142</v>
      </c>
      <c r="F23" s="5" t="s">
        <v>154</v>
      </c>
    </row>
    <row r="24" spans="1:6" s="5" customFormat="1" x14ac:dyDescent="0.2">
      <c r="A24" s="5">
        <v>0</v>
      </c>
      <c r="B24" s="5">
        <v>1</v>
      </c>
      <c r="C24" s="5">
        <v>1</v>
      </c>
      <c r="D24" s="5" t="s">
        <v>199</v>
      </c>
      <c r="E24" s="5" t="s">
        <v>142</v>
      </c>
      <c r="F24" s="5" t="s">
        <v>154</v>
      </c>
    </row>
    <row r="25" spans="1:6" s="5" customFormat="1" x14ac:dyDescent="0.2">
      <c r="A25" s="5">
        <v>0</v>
      </c>
      <c r="B25" s="5">
        <v>1</v>
      </c>
      <c r="C25" s="5">
        <v>1</v>
      </c>
      <c r="D25" s="5" t="s">
        <v>200</v>
      </c>
      <c r="E25" s="5" t="s">
        <v>142</v>
      </c>
      <c r="F25" s="5" t="s">
        <v>154</v>
      </c>
    </row>
    <row r="26" spans="1:6" s="5" customFormat="1" x14ac:dyDescent="0.2">
      <c r="A26" s="5">
        <v>0</v>
      </c>
      <c r="B26" s="5">
        <v>1</v>
      </c>
      <c r="C26" s="5">
        <v>1</v>
      </c>
      <c r="D26" s="5" t="s">
        <v>201</v>
      </c>
      <c r="E26" s="5" t="s">
        <v>142</v>
      </c>
      <c r="F26" s="5" t="s">
        <v>154</v>
      </c>
    </row>
    <row r="27" spans="1:6" s="5" customFormat="1" x14ac:dyDescent="0.2">
      <c r="A27" s="5">
        <v>0</v>
      </c>
      <c r="B27" s="5">
        <v>1</v>
      </c>
      <c r="C27" s="5">
        <v>2</v>
      </c>
      <c r="D27" s="5" t="s">
        <v>202</v>
      </c>
      <c r="E27" s="5" t="s">
        <v>142</v>
      </c>
      <c r="F27" s="5" t="s">
        <v>155</v>
      </c>
    </row>
    <row r="28" spans="1:6" s="5" customFormat="1" x14ac:dyDescent="0.2">
      <c r="A28" s="5">
        <v>0</v>
      </c>
      <c r="B28" s="5">
        <v>1</v>
      </c>
      <c r="C28" s="5">
        <v>2</v>
      </c>
      <c r="D28" s="5" t="s">
        <v>203</v>
      </c>
      <c r="E28" s="5" t="s">
        <v>142</v>
      </c>
      <c r="F28" s="5" t="s">
        <v>155</v>
      </c>
    </row>
    <row r="29" spans="1:6" s="5" customFormat="1" x14ac:dyDescent="0.2">
      <c r="A29" s="5">
        <v>0</v>
      </c>
      <c r="B29" s="5">
        <v>1</v>
      </c>
      <c r="C29" s="5">
        <v>2</v>
      </c>
      <c r="D29" s="5" t="s">
        <v>204</v>
      </c>
      <c r="E29" s="5" t="s">
        <v>142</v>
      </c>
      <c r="F29" s="5" t="s">
        <v>155</v>
      </c>
    </row>
    <row r="30" spans="1:6" s="5" customFormat="1" x14ac:dyDescent="0.2">
      <c r="A30" s="5">
        <v>0</v>
      </c>
      <c r="B30" s="5">
        <v>1</v>
      </c>
      <c r="C30" s="5">
        <v>2</v>
      </c>
      <c r="D30" s="5" t="s">
        <v>205</v>
      </c>
      <c r="E30" s="5" t="s">
        <v>142</v>
      </c>
      <c r="F30" s="5" t="s">
        <v>155</v>
      </c>
    </row>
    <row r="31" spans="1:6" s="5" customFormat="1" x14ac:dyDescent="0.2">
      <c r="A31" s="5">
        <v>0</v>
      </c>
      <c r="B31" s="5">
        <v>1</v>
      </c>
      <c r="C31" s="5">
        <v>2</v>
      </c>
      <c r="D31" s="5" t="s">
        <v>206</v>
      </c>
      <c r="E31" s="5" t="s">
        <v>142</v>
      </c>
      <c r="F31" s="5" t="s">
        <v>155</v>
      </c>
    </row>
    <row r="32" spans="1:6" s="5" customFormat="1" x14ac:dyDescent="0.2">
      <c r="A32" s="5">
        <v>0</v>
      </c>
      <c r="B32" s="5">
        <v>2</v>
      </c>
      <c r="C32" s="5">
        <v>0</v>
      </c>
      <c r="D32" s="5" t="s">
        <v>207</v>
      </c>
      <c r="E32" s="5" t="s">
        <v>142</v>
      </c>
      <c r="F32" s="5" t="s">
        <v>153</v>
      </c>
    </row>
    <row r="33" spans="1:6" s="5" customFormat="1" x14ac:dyDescent="0.2">
      <c r="A33" s="5">
        <v>0</v>
      </c>
      <c r="B33" s="5">
        <v>2</v>
      </c>
      <c r="C33" s="5">
        <v>0</v>
      </c>
      <c r="D33" s="5" t="s">
        <v>208</v>
      </c>
      <c r="E33" s="5" t="s">
        <v>142</v>
      </c>
      <c r="F33" s="5" t="s">
        <v>153</v>
      </c>
    </row>
    <row r="34" spans="1:6" s="5" customFormat="1" x14ac:dyDescent="0.2">
      <c r="A34" s="5">
        <v>0</v>
      </c>
      <c r="B34" s="5">
        <v>2</v>
      </c>
      <c r="C34" s="5">
        <v>0</v>
      </c>
      <c r="D34" s="5" t="s">
        <v>209</v>
      </c>
      <c r="E34" s="5" t="s">
        <v>142</v>
      </c>
      <c r="F34" s="5" t="s">
        <v>153</v>
      </c>
    </row>
    <row r="35" spans="1:6" s="5" customFormat="1" x14ac:dyDescent="0.2">
      <c r="A35" s="5">
        <v>0</v>
      </c>
      <c r="B35" s="5">
        <v>2</v>
      </c>
      <c r="C35" s="5">
        <v>0</v>
      </c>
      <c r="D35" s="5" t="s">
        <v>210</v>
      </c>
      <c r="E35" s="5" t="s">
        <v>142</v>
      </c>
      <c r="F35" s="5" t="s">
        <v>153</v>
      </c>
    </row>
    <row r="36" spans="1:6" s="5" customFormat="1" x14ac:dyDescent="0.2">
      <c r="A36" s="5">
        <v>0</v>
      </c>
      <c r="B36" s="5">
        <v>2</v>
      </c>
      <c r="C36" s="5">
        <v>0</v>
      </c>
      <c r="D36" s="5" t="s">
        <v>211</v>
      </c>
      <c r="E36" s="5" t="s">
        <v>142</v>
      </c>
      <c r="F36" s="5" t="s">
        <v>153</v>
      </c>
    </row>
    <row r="37" spans="1:6" s="5" customFormat="1" x14ac:dyDescent="0.2">
      <c r="A37" s="5">
        <v>0</v>
      </c>
      <c r="B37" s="5">
        <v>2</v>
      </c>
      <c r="C37" s="5">
        <v>1</v>
      </c>
      <c r="D37" s="5" t="s">
        <v>212</v>
      </c>
      <c r="E37" s="5" t="s">
        <v>142</v>
      </c>
      <c r="F37" s="5" t="s">
        <v>154</v>
      </c>
    </row>
    <row r="38" spans="1:6" s="5" customFormat="1" x14ac:dyDescent="0.2">
      <c r="A38" s="5">
        <v>0</v>
      </c>
      <c r="B38" s="5">
        <v>2</v>
      </c>
      <c r="C38" s="5">
        <v>1</v>
      </c>
      <c r="D38" s="5" t="s">
        <v>213</v>
      </c>
      <c r="E38" s="5" t="s">
        <v>142</v>
      </c>
      <c r="F38" s="5" t="s">
        <v>154</v>
      </c>
    </row>
    <row r="39" spans="1:6" s="5" customFormat="1" x14ac:dyDescent="0.2">
      <c r="A39" s="5">
        <v>0</v>
      </c>
      <c r="B39" s="5">
        <v>2</v>
      </c>
      <c r="C39" s="5">
        <v>1</v>
      </c>
      <c r="D39" s="5" t="s">
        <v>214</v>
      </c>
      <c r="E39" s="5" t="s">
        <v>142</v>
      </c>
      <c r="F39" s="5" t="s">
        <v>154</v>
      </c>
    </row>
    <row r="40" spans="1:6" s="5" customFormat="1" x14ac:dyDescent="0.2">
      <c r="A40" s="5">
        <v>0</v>
      </c>
      <c r="B40" s="5">
        <v>2</v>
      </c>
      <c r="C40" s="5">
        <v>1</v>
      </c>
      <c r="D40" s="5" t="s">
        <v>215</v>
      </c>
      <c r="E40" s="5" t="s">
        <v>142</v>
      </c>
      <c r="F40" s="5" t="s">
        <v>154</v>
      </c>
    </row>
    <row r="41" spans="1:6" s="5" customFormat="1" x14ac:dyDescent="0.2">
      <c r="A41" s="5">
        <v>0</v>
      </c>
      <c r="B41" s="5">
        <v>2</v>
      </c>
      <c r="C41" s="5">
        <v>1</v>
      </c>
      <c r="D41" s="5" t="s">
        <v>216</v>
      </c>
      <c r="E41" s="5" t="s">
        <v>142</v>
      </c>
      <c r="F41" s="5" t="s">
        <v>154</v>
      </c>
    </row>
    <row r="42" spans="1:6" s="5" customFormat="1" x14ac:dyDescent="0.2">
      <c r="A42" s="5">
        <v>0</v>
      </c>
      <c r="B42" s="5">
        <v>2</v>
      </c>
      <c r="C42" s="5">
        <v>2</v>
      </c>
      <c r="D42" s="5" t="s">
        <v>217</v>
      </c>
      <c r="E42" s="5" t="s">
        <v>142</v>
      </c>
      <c r="F42" s="5" t="s">
        <v>155</v>
      </c>
    </row>
    <row r="43" spans="1:6" s="5" customFormat="1" x14ac:dyDescent="0.2">
      <c r="A43" s="5">
        <v>0</v>
      </c>
      <c r="B43" s="5">
        <v>2</v>
      </c>
      <c r="C43" s="5">
        <v>2</v>
      </c>
      <c r="D43" s="5" t="s">
        <v>218</v>
      </c>
      <c r="E43" s="5" t="s">
        <v>142</v>
      </c>
      <c r="F43" s="5" t="s">
        <v>155</v>
      </c>
    </row>
    <row r="44" spans="1:6" s="5" customFormat="1" x14ac:dyDescent="0.2">
      <c r="A44" s="5">
        <v>0</v>
      </c>
      <c r="B44" s="5">
        <v>2</v>
      </c>
      <c r="C44" s="5">
        <v>2</v>
      </c>
      <c r="D44" s="5" t="s">
        <v>219</v>
      </c>
      <c r="E44" s="5" t="s">
        <v>142</v>
      </c>
      <c r="F44" s="5" t="s">
        <v>155</v>
      </c>
    </row>
    <row r="45" spans="1:6" s="5" customFormat="1" x14ac:dyDescent="0.2">
      <c r="A45" s="5">
        <v>0</v>
      </c>
      <c r="B45" s="5">
        <v>2</v>
      </c>
      <c r="C45" s="5">
        <v>2</v>
      </c>
      <c r="D45" s="5" t="s">
        <v>220</v>
      </c>
      <c r="E45" s="5" t="s">
        <v>142</v>
      </c>
      <c r="F45" s="5" t="s">
        <v>155</v>
      </c>
    </row>
    <row r="46" spans="1:6" s="5" customFormat="1" x14ac:dyDescent="0.2">
      <c r="A46" s="5">
        <v>0</v>
      </c>
      <c r="B46" s="5">
        <v>2</v>
      </c>
      <c r="C46" s="5">
        <v>2</v>
      </c>
      <c r="D46" s="5" t="s">
        <v>221</v>
      </c>
      <c r="E46" s="5" t="s">
        <v>142</v>
      </c>
      <c r="F46" s="5" t="s">
        <v>155</v>
      </c>
    </row>
    <row r="47" spans="1:6" s="5" customFormat="1" x14ac:dyDescent="0.2">
      <c r="A47" s="5">
        <v>0</v>
      </c>
      <c r="B47" s="5">
        <v>3</v>
      </c>
      <c r="C47" s="5">
        <v>0</v>
      </c>
      <c r="D47" s="5" t="s">
        <v>222</v>
      </c>
      <c r="E47" s="5" t="s">
        <v>142</v>
      </c>
      <c r="F47" s="5" t="s">
        <v>153</v>
      </c>
    </row>
    <row r="48" spans="1:6" s="5" customFormat="1" x14ac:dyDescent="0.2">
      <c r="A48" s="5">
        <v>0</v>
      </c>
      <c r="B48" s="5">
        <v>3</v>
      </c>
      <c r="C48" s="5">
        <v>0</v>
      </c>
      <c r="D48" s="5" t="s">
        <v>223</v>
      </c>
      <c r="E48" s="5" t="s">
        <v>142</v>
      </c>
      <c r="F48" s="5" t="s">
        <v>156</v>
      </c>
    </row>
    <row r="49" spans="1:6" s="5" customFormat="1" x14ac:dyDescent="0.2">
      <c r="A49" s="5">
        <v>0</v>
      </c>
      <c r="B49" s="5">
        <v>3</v>
      </c>
      <c r="C49" s="5">
        <v>0</v>
      </c>
      <c r="D49" s="5" t="s">
        <v>224</v>
      </c>
      <c r="E49" s="5" t="s">
        <v>142</v>
      </c>
      <c r="F49" s="5" t="s">
        <v>156</v>
      </c>
    </row>
    <row r="50" spans="1:6" s="5" customFormat="1" x14ac:dyDescent="0.2">
      <c r="A50" s="5">
        <v>0</v>
      </c>
      <c r="B50" s="5">
        <v>3</v>
      </c>
      <c r="C50" s="5">
        <v>0</v>
      </c>
      <c r="D50" s="5" t="s">
        <v>225</v>
      </c>
      <c r="E50" s="5" t="s">
        <v>142</v>
      </c>
      <c r="F50" s="5" t="s">
        <v>156</v>
      </c>
    </row>
    <row r="51" spans="1:6" s="5" customFormat="1" x14ac:dyDescent="0.2">
      <c r="A51" s="5">
        <v>0</v>
      </c>
      <c r="B51" s="5">
        <v>3</v>
      </c>
      <c r="C51" s="5">
        <v>0</v>
      </c>
      <c r="D51" s="5" t="s">
        <v>226</v>
      </c>
      <c r="E51" s="5" t="s">
        <v>142</v>
      </c>
      <c r="F51" s="5" t="s">
        <v>156</v>
      </c>
    </row>
    <row r="52" spans="1:6" s="5" customFormat="1" x14ac:dyDescent="0.2">
      <c r="A52" s="5">
        <v>0</v>
      </c>
      <c r="B52" s="5">
        <v>3</v>
      </c>
      <c r="C52" s="5">
        <v>1</v>
      </c>
      <c r="D52" s="5" t="s">
        <v>227</v>
      </c>
      <c r="E52" s="5" t="s">
        <v>142</v>
      </c>
      <c r="F52" s="5" t="s">
        <v>154</v>
      </c>
    </row>
    <row r="53" spans="1:6" s="5" customFormat="1" x14ac:dyDescent="0.2">
      <c r="A53" s="5">
        <v>0</v>
      </c>
      <c r="B53" s="5">
        <v>3</v>
      </c>
      <c r="C53" s="5">
        <v>1</v>
      </c>
      <c r="D53" s="5" t="s">
        <v>228</v>
      </c>
      <c r="E53" s="5" t="s">
        <v>143</v>
      </c>
      <c r="F53" s="5" t="s">
        <v>154</v>
      </c>
    </row>
    <row r="54" spans="1:6" s="5" customFormat="1" x14ac:dyDescent="0.2">
      <c r="A54" s="5">
        <v>0</v>
      </c>
      <c r="B54" s="5">
        <v>3</v>
      </c>
      <c r="C54" s="5">
        <v>1</v>
      </c>
      <c r="D54" s="5" t="s">
        <v>229</v>
      </c>
      <c r="E54" s="5" t="s">
        <v>142</v>
      </c>
      <c r="F54" s="5" t="s">
        <v>155</v>
      </c>
    </row>
    <row r="55" spans="1:6" s="5" customFormat="1" x14ac:dyDescent="0.2">
      <c r="A55" s="5">
        <v>0</v>
      </c>
      <c r="B55" s="5">
        <v>3</v>
      </c>
      <c r="C55" s="5">
        <v>1</v>
      </c>
      <c r="D55" s="5" t="s">
        <v>230</v>
      </c>
      <c r="E55" s="5" t="s">
        <v>142</v>
      </c>
      <c r="F55" s="5" t="s">
        <v>157</v>
      </c>
    </row>
    <row r="56" spans="1:6" s="5" customFormat="1" x14ac:dyDescent="0.2">
      <c r="A56" s="5">
        <v>0</v>
      </c>
      <c r="B56" s="5">
        <v>3</v>
      </c>
      <c r="C56" s="5">
        <v>1</v>
      </c>
      <c r="D56" s="5" t="s">
        <v>231</v>
      </c>
      <c r="E56" s="5" t="s">
        <v>142</v>
      </c>
      <c r="F56" s="5" t="s">
        <v>157</v>
      </c>
    </row>
    <row r="57" spans="1:6" s="5" customFormat="1" x14ac:dyDescent="0.2">
      <c r="A57" s="5">
        <v>0</v>
      </c>
      <c r="B57" s="5">
        <v>3</v>
      </c>
      <c r="C57" s="5">
        <v>2</v>
      </c>
      <c r="D57" s="5" t="s">
        <v>232</v>
      </c>
      <c r="E57" s="5" t="s">
        <v>142</v>
      </c>
      <c r="F57" s="5" t="s">
        <v>158</v>
      </c>
    </row>
    <row r="58" spans="1:6" s="5" customFormat="1" x14ac:dyDescent="0.2">
      <c r="A58" s="5">
        <v>0</v>
      </c>
      <c r="B58" s="5">
        <v>3</v>
      </c>
      <c r="C58" s="5">
        <v>2</v>
      </c>
      <c r="D58" s="5" t="s">
        <v>233</v>
      </c>
      <c r="E58" s="5" t="s">
        <v>142</v>
      </c>
      <c r="F58" s="5" t="s">
        <v>158</v>
      </c>
    </row>
    <row r="59" spans="1:6" s="5" customFormat="1" x14ac:dyDescent="0.2">
      <c r="A59" s="5">
        <v>0</v>
      </c>
      <c r="B59" s="5">
        <v>3</v>
      </c>
      <c r="C59" s="5">
        <v>2</v>
      </c>
      <c r="D59" s="5" t="s">
        <v>234</v>
      </c>
      <c r="E59" s="5" t="s">
        <v>142</v>
      </c>
      <c r="F59" s="5" t="s">
        <v>158</v>
      </c>
    </row>
    <row r="60" spans="1:6" s="5" customFormat="1" x14ac:dyDescent="0.2">
      <c r="A60" s="5">
        <v>0</v>
      </c>
      <c r="B60" s="5">
        <v>3</v>
      </c>
      <c r="C60" s="5">
        <v>2</v>
      </c>
      <c r="D60" s="5" t="s">
        <v>235</v>
      </c>
      <c r="E60" s="5" t="s">
        <v>142</v>
      </c>
      <c r="F60" s="5" t="s">
        <v>158</v>
      </c>
    </row>
    <row r="61" spans="1:6" s="5" customFormat="1" x14ac:dyDescent="0.2">
      <c r="A61" s="5">
        <v>0</v>
      </c>
      <c r="B61" s="5">
        <v>3</v>
      </c>
      <c r="C61" s="5">
        <v>2</v>
      </c>
      <c r="D61" s="5" t="s">
        <v>236</v>
      </c>
      <c r="E61" s="5" t="s">
        <v>142</v>
      </c>
      <c r="F61" s="5" t="s">
        <v>158</v>
      </c>
    </row>
    <row r="62" spans="1:6" s="5" customFormat="1" x14ac:dyDescent="0.2">
      <c r="A62" s="5">
        <v>0</v>
      </c>
      <c r="B62" s="5">
        <v>5</v>
      </c>
      <c r="C62" s="5">
        <v>0</v>
      </c>
      <c r="D62" s="5" t="s">
        <v>237</v>
      </c>
      <c r="E62" s="5" t="s">
        <v>143</v>
      </c>
      <c r="F62" s="5" t="s">
        <v>159</v>
      </c>
    </row>
    <row r="63" spans="1:6" s="5" customFormat="1" x14ac:dyDescent="0.2">
      <c r="A63" s="5">
        <v>0</v>
      </c>
      <c r="B63" s="5">
        <v>5</v>
      </c>
      <c r="C63" s="5">
        <v>0</v>
      </c>
      <c r="D63" s="5" t="s">
        <v>238</v>
      </c>
      <c r="E63" s="5" t="s">
        <v>143</v>
      </c>
      <c r="F63" s="5" t="s">
        <v>159</v>
      </c>
    </row>
    <row r="64" spans="1:6" s="5" customFormat="1" x14ac:dyDescent="0.2">
      <c r="A64" s="5">
        <v>0</v>
      </c>
      <c r="B64" s="5">
        <v>5</v>
      </c>
      <c r="C64" s="5">
        <v>0</v>
      </c>
      <c r="D64" s="5" t="s">
        <v>239</v>
      </c>
      <c r="E64" s="5" t="s">
        <v>143</v>
      </c>
      <c r="F64" s="5" t="s">
        <v>159</v>
      </c>
    </row>
    <row r="65" spans="1:6" s="5" customFormat="1" x14ac:dyDescent="0.2">
      <c r="A65" s="5">
        <v>0</v>
      </c>
      <c r="B65" s="5">
        <v>5</v>
      </c>
      <c r="C65" s="5">
        <v>0</v>
      </c>
      <c r="D65" s="5" t="s">
        <v>240</v>
      </c>
      <c r="E65" s="5" t="s">
        <v>143</v>
      </c>
      <c r="F65" s="5" t="s">
        <v>159</v>
      </c>
    </row>
    <row r="66" spans="1:6" s="5" customFormat="1" x14ac:dyDescent="0.2">
      <c r="A66" s="5">
        <v>0</v>
      </c>
      <c r="B66" s="5">
        <v>5</v>
      </c>
      <c r="C66" s="5">
        <v>0</v>
      </c>
      <c r="D66" s="5" t="s">
        <v>241</v>
      </c>
      <c r="E66" s="5" t="s">
        <v>143</v>
      </c>
      <c r="F66" s="5" t="s">
        <v>159</v>
      </c>
    </row>
    <row r="67" spans="1:6" s="5" customFormat="1" x14ac:dyDescent="0.2">
      <c r="A67" s="5">
        <v>0</v>
      </c>
      <c r="B67" s="5">
        <v>5</v>
      </c>
      <c r="C67" s="5">
        <v>1</v>
      </c>
      <c r="D67" s="5" t="s">
        <v>242</v>
      </c>
      <c r="E67" s="5" t="s">
        <v>142</v>
      </c>
      <c r="F67" s="5" t="s">
        <v>160</v>
      </c>
    </row>
    <row r="68" spans="1:6" s="5" customFormat="1" x14ac:dyDescent="0.2">
      <c r="A68" s="5">
        <v>0</v>
      </c>
      <c r="B68" s="5">
        <v>5</v>
      </c>
      <c r="C68" s="5">
        <v>1</v>
      </c>
      <c r="D68" s="5" t="s">
        <v>243</v>
      </c>
      <c r="E68" s="5" t="s">
        <v>142</v>
      </c>
      <c r="F68" s="5" t="s">
        <v>160</v>
      </c>
    </row>
    <row r="69" spans="1:6" s="5" customFormat="1" x14ac:dyDescent="0.2">
      <c r="A69" s="5">
        <v>0</v>
      </c>
      <c r="B69" s="5">
        <v>5</v>
      </c>
      <c r="C69" s="5">
        <v>1</v>
      </c>
      <c r="D69" s="5" t="s">
        <v>244</v>
      </c>
      <c r="E69" s="5" t="s">
        <v>142</v>
      </c>
      <c r="F69" s="5" t="s">
        <v>160</v>
      </c>
    </row>
    <row r="70" spans="1:6" s="5" customFormat="1" x14ac:dyDescent="0.2">
      <c r="A70" s="5">
        <v>0</v>
      </c>
      <c r="B70" s="5">
        <v>5</v>
      </c>
      <c r="C70" s="5">
        <v>1</v>
      </c>
      <c r="D70" s="5" t="s">
        <v>245</v>
      </c>
      <c r="E70" s="5" t="s">
        <v>142</v>
      </c>
      <c r="F70" s="5" t="s">
        <v>160</v>
      </c>
    </row>
    <row r="71" spans="1:6" s="5" customFormat="1" x14ac:dyDescent="0.2">
      <c r="A71" s="5">
        <v>0</v>
      </c>
      <c r="B71" s="5">
        <v>5</v>
      </c>
      <c r="C71" s="5">
        <v>1</v>
      </c>
      <c r="D71" s="5" t="s">
        <v>246</v>
      </c>
      <c r="E71" s="5" t="s">
        <v>142</v>
      </c>
      <c r="F71" s="5" t="s">
        <v>160</v>
      </c>
    </row>
    <row r="72" spans="1:6" s="5" customFormat="1" x14ac:dyDescent="0.2">
      <c r="A72" s="5">
        <v>0</v>
      </c>
      <c r="B72" s="5">
        <v>5</v>
      </c>
      <c r="C72" s="5">
        <v>2</v>
      </c>
      <c r="D72" s="5" t="s">
        <v>247</v>
      </c>
      <c r="E72" s="5" t="s">
        <v>142</v>
      </c>
      <c r="F72" s="5" t="s">
        <v>161</v>
      </c>
    </row>
    <row r="73" spans="1:6" s="5" customFormat="1" x14ac:dyDescent="0.2">
      <c r="A73" s="5">
        <v>0</v>
      </c>
      <c r="B73" s="5">
        <v>5</v>
      </c>
      <c r="C73" s="5">
        <v>2</v>
      </c>
      <c r="D73" s="5" t="s">
        <v>248</v>
      </c>
      <c r="E73" s="5" t="s">
        <v>142</v>
      </c>
      <c r="F73" s="5" t="s">
        <v>161</v>
      </c>
    </row>
    <row r="74" spans="1:6" s="5" customFormat="1" x14ac:dyDescent="0.2">
      <c r="A74" s="5">
        <v>0</v>
      </c>
      <c r="B74" s="5">
        <v>5</v>
      </c>
      <c r="C74" s="5">
        <v>2</v>
      </c>
      <c r="D74" s="5" t="s">
        <v>249</v>
      </c>
      <c r="E74" s="5" t="s">
        <v>142</v>
      </c>
      <c r="F74" s="5" t="s">
        <v>161</v>
      </c>
    </row>
    <row r="75" spans="1:6" s="5" customFormat="1" x14ac:dyDescent="0.2">
      <c r="A75" s="5">
        <v>0</v>
      </c>
      <c r="B75" s="5">
        <v>5</v>
      </c>
      <c r="C75" s="5">
        <v>2</v>
      </c>
      <c r="D75" s="5" t="s">
        <v>250</v>
      </c>
      <c r="E75" s="5" t="s">
        <v>142</v>
      </c>
      <c r="F75" s="5" t="s">
        <v>161</v>
      </c>
    </row>
    <row r="76" spans="1:6" s="5" customFormat="1" x14ac:dyDescent="0.2">
      <c r="A76" s="5">
        <v>0</v>
      </c>
      <c r="B76" s="5">
        <v>5</v>
      </c>
      <c r="C76" s="5">
        <v>2</v>
      </c>
      <c r="D76" s="5" t="s">
        <v>251</v>
      </c>
      <c r="E76" s="5" t="s">
        <v>142</v>
      </c>
      <c r="F76" s="5" t="s">
        <v>161</v>
      </c>
    </row>
    <row r="77" spans="1:6" s="5" customFormat="1" x14ac:dyDescent="0.2">
      <c r="A77" s="5">
        <v>0</v>
      </c>
      <c r="B77" s="5">
        <v>6</v>
      </c>
      <c r="C77" s="5">
        <v>0</v>
      </c>
      <c r="D77" s="5" t="s">
        <v>252</v>
      </c>
      <c r="E77" s="5" t="s">
        <v>143</v>
      </c>
      <c r="F77" s="5" t="s">
        <v>159</v>
      </c>
    </row>
    <row r="78" spans="1:6" s="5" customFormat="1" x14ac:dyDescent="0.2">
      <c r="A78" s="5">
        <v>0</v>
      </c>
      <c r="B78" s="5">
        <v>6</v>
      </c>
      <c r="C78" s="5">
        <v>0</v>
      </c>
      <c r="D78" s="5" t="s">
        <v>253</v>
      </c>
      <c r="E78" s="5" t="s">
        <v>143</v>
      </c>
      <c r="F78" s="5" t="s">
        <v>159</v>
      </c>
    </row>
    <row r="79" spans="1:6" s="5" customFormat="1" x14ac:dyDescent="0.2">
      <c r="A79" s="5">
        <v>0</v>
      </c>
      <c r="B79" s="5">
        <v>6</v>
      </c>
      <c r="C79" s="5">
        <v>0</v>
      </c>
      <c r="D79" s="5" t="s">
        <v>254</v>
      </c>
      <c r="E79" s="5" t="s">
        <v>143</v>
      </c>
      <c r="F79" s="5" t="s">
        <v>159</v>
      </c>
    </row>
    <row r="80" spans="1:6" s="5" customFormat="1" x14ac:dyDescent="0.2">
      <c r="A80" s="5">
        <v>0</v>
      </c>
      <c r="B80" s="5">
        <v>6</v>
      </c>
      <c r="C80" s="5">
        <v>0</v>
      </c>
      <c r="D80" s="5" t="s">
        <v>255</v>
      </c>
      <c r="E80" s="5" t="s">
        <v>143</v>
      </c>
      <c r="F80" s="5" t="s">
        <v>159</v>
      </c>
    </row>
    <row r="81" spans="1:6" s="5" customFormat="1" x14ac:dyDescent="0.2">
      <c r="A81" s="5">
        <v>0</v>
      </c>
      <c r="B81" s="5">
        <v>6</v>
      </c>
      <c r="C81" s="5">
        <v>0</v>
      </c>
      <c r="D81" s="5" t="s">
        <v>256</v>
      </c>
      <c r="E81" s="5" t="s">
        <v>143</v>
      </c>
      <c r="F81" s="5" t="s">
        <v>159</v>
      </c>
    </row>
    <row r="82" spans="1:6" s="5" customFormat="1" x14ac:dyDescent="0.2">
      <c r="A82" s="5">
        <v>0</v>
      </c>
      <c r="B82" s="5">
        <v>6</v>
      </c>
      <c r="C82" s="5">
        <v>1</v>
      </c>
      <c r="D82" s="5" t="s">
        <v>257</v>
      </c>
      <c r="E82" s="5" t="s">
        <v>142</v>
      </c>
      <c r="F82" s="5" t="s">
        <v>160</v>
      </c>
    </row>
    <row r="83" spans="1:6" s="5" customFormat="1" x14ac:dyDescent="0.2">
      <c r="A83" s="5">
        <v>0</v>
      </c>
      <c r="B83" s="5">
        <v>6</v>
      </c>
      <c r="C83" s="5">
        <v>1</v>
      </c>
      <c r="D83" s="5" t="s">
        <v>258</v>
      </c>
      <c r="E83" s="5" t="s">
        <v>142</v>
      </c>
      <c r="F83" s="5" t="s">
        <v>160</v>
      </c>
    </row>
    <row r="84" spans="1:6" s="5" customFormat="1" x14ac:dyDescent="0.2">
      <c r="A84" s="5">
        <v>0</v>
      </c>
      <c r="B84" s="5">
        <v>6</v>
      </c>
      <c r="C84" s="5">
        <v>1</v>
      </c>
      <c r="D84" s="5" t="s">
        <v>259</v>
      </c>
      <c r="E84" s="5" t="s">
        <v>142</v>
      </c>
      <c r="F84" s="5" t="s">
        <v>160</v>
      </c>
    </row>
    <row r="85" spans="1:6" s="5" customFormat="1" x14ac:dyDescent="0.2">
      <c r="A85" s="5">
        <v>0</v>
      </c>
      <c r="B85" s="5">
        <v>6</v>
      </c>
      <c r="C85" s="5">
        <v>1</v>
      </c>
      <c r="D85" s="5" t="s">
        <v>260</v>
      </c>
      <c r="E85" s="5" t="s">
        <v>142</v>
      </c>
      <c r="F85" s="5" t="s">
        <v>160</v>
      </c>
    </row>
    <row r="86" spans="1:6" s="5" customFormat="1" x14ac:dyDescent="0.2">
      <c r="A86" s="5">
        <v>0</v>
      </c>
      <c r="B86" s="5">
        <v>6</v>
      </c>
      <c r="C86" s="5">
        <v>1</v>
      </c>
      <c r="D86" s="5" t="s">
        <v>261</v>
      </c>
      <c r="E86" s="5" t="s">
        <v>142</v>
      </c>
      <c r="F86" s="5" t="s">
        <v>160</v>
      </c>
    </row>
    <row r="87" spans="1:6" s="5" customFormat="1" x14ac:dyDescent="0.2">
      <c r="A87" s="5">
        <v>0</v>
      </c>
      <c r="B87" s="5">
        <v>6</v>
      </c>
      <c r="C87" s="5">
        <v>2</v>
      </c>
      <c r="D87" s="5" t="s">
        <v>262</v>
      </c>
      <c r="E87" s="5" t="s">
        <v>142</v>
      </c>
      <c r="F87" s="5" t="s">
        <v>161</v>
      </c>
    </row>
    <row r="88" spans="1:6" s="5" customFormat="1" x14ac:dyDescent="0.2">
      <c r="A88" s="5">
        <v>0</v>
      </c>
      <c r="B88" s="5">
        <v>6</v>
      </c>
      <c r="C88" s="5">
        <v>2</v>
      </c>
      <c r="D88" s="5" t="s">
        <v>263</v>
      </c>
      <c r="E88" s="5" t="s">
        <v>142</v>
      </c>
      <c r="F88" s="5" t="s">
        <v>161</v>
      </c>
    </row>
    <row r="89" spans="1:6" s="5" customFormat="1" x14ac:dyDescent="0.2">
      <c r="A89" s="5">
        <v>0</v>
      </c>
      <c r="B89" s="5">
        <v>6</v>
      </c>
      <c r="C89" s="5">
        <v>2</v>
      </c>
      <c r="D89" s="5" t="s">
        <v>264</v>
      </c>
      <c r="E89" s="5" t="s">
        <v>142</v>
      </c>
      <c r="F89" s="5" t="s">
        <v>161</v>
      </c>
    </row>
    <row r="90" spans="1:6" s="5" customFormat="1" x14ac:dyDescent="0.2">
      <c r="A90" s="5">
        <v>0</v>
      </c>
      <c r="B90" s="5">
        <v>6</v>
      </c>
      <c r="C90" s="5">
        <v>2</v>
      </c>
      <c r="D90" s="5" t="s">
        <v>265</v>
      </c>
      <c r="E90" s="5" t="s">
        <v>142</v>
      </c>
      <c r="F90" s="5" t="s">
        <v>161</v>
      </c>
    </row>
    <row r="91" spans="1:6" s="5" customFormat="1" x14ac:dyDescent="0.2">
      <c r="A91" s="5">
        <v>0</v>
      </c>
      <c r="B91" s="5">
        <v>6</v>
      </c>
      <c r="C91" s="5">
        <v>2</v>
      </c>
      <c r="D91" s="5" t="s">
        <v>266</v>
      </c>
      <c r="E91" s="5" t="s">
        <v>142</v>
      </c>
      <c r="F91" s="5" t="s">
        <v>161</v>
      </c>
    </row>
    <row r="92" spans="1:6" s="5" customFormat="1" x14ac:dyDescent="0.2">
      <c r="A92" s="5">
        <v>0</v>
      </c>
      <c r="B92" s="5">
        <v>7</v>
      </c>
      <c r="C92" s="5">
        <v>0</v>
      </c>
      <c r="D92" s="5" t="s">
        <v>267</v>
      </c>
      <c r="E92" s="5" t="s">
        <v>143</v>
      </c>
      <c r="F92" s="5" t="s">
        <v>159</v>
      </c>
    </row>
    <row r="93" spans="1:6" s="5" customFormat="1" x14ac:dyDescent="0.2">
      <c r="A93" s="5">
        <v>0</v>
      </c>
      <c r="B93" s="5">
        <v>7</v>
      </c>
      <c r="C93" s="5">
        <v>0</v>
      </c>
      <c r="D93" s="5" t="s">
        <v>268</v>
      </c>
      <c r="E93" s="5" t="s">
        <v>143</v>
      </c>
      <c r="F93" s="5" t="s">
        <v>159</v>
      </c>
    </row>
    <row r="94" spans="1:6" s="5" customFormat="1" x14ac:dyDescent="0.2">
      <c r="A94" s="5">
        <v>0</v>
      </c>
      <c r="B94" s="5">
        <v>7</v>
      </c>
      <c r="C94" s="5">
        <v>0</v>
      </c>
      <c r="D94" s="5" t="s">
        <v>269</v>
      </c>
      <c r="E94" s="5" t="s">
        <v>143</v>
      </c>
      <c r="F94" s="5" t="s">
        <v>159</v>
      </c>
    </row>
    <row r="95" spans="1:6" s="5" customFormat="1" x14ac:dyDescent="0.2">
      <c r="A95" s="5">
        <v>0</v>
      </c>
      <c r="B95" s="5">
        <v>7</v>
      </c>
      <c r="C95" s="5">
        <v>0</v>
      </c>
      <c r="D95" s="5" t="s">
        <v>270</v>
      </c>
      <c r="E95" s="5" t="s">
        <v>143</v>
      </c>
      <c r="F95" s="5" t="s">
        <v>159</v>
      </c>
    </row>
    <row r="96" spans="1:6" s="5" customFormat="1" x14ac:dyDescent="0.2">
      <c r="A96" s="5">
        <v>0</v>
      </c>
      <c r="B96" s="5">
        <v>7</v>
      </c>
      <c r="C96" s="5">
        <v>0</v>
      </c>
      <c r="D96" s="5" t="s">
        <v>271</v>
      </c>
      <c r="E96" s="5" t="s">
        <v>143</v>
      </c>
      <c r="F96" s="5" t="s">
        <v>159</v>
      </c>
    </row>
    <row r="97" spans="1:6" s="5" customFormat="1" x14ac:dyDescent="0.2">
      <c r="A97" s="5">
        <v>0</v>
      </c>
      <c r="B97" s="5">
        <v>7</v>
      </c>
      <c r="C97" s="5">
        <v>1</v>
      </c>
      <c r="D97" s="5" t="s">
        <v>272</v>
      </c>
      <c r="E97" s="5" t="s">
        <v>142</v>
      </c>
      <c r="F97" s="5" t="s">
        <v>160</v>
      </c>
    </row>
    <row r="98" spans="1:6" s="5" customFormat="1" x14ac:dyDescent="0.2">
      <c r="A98" s="5">
        <v>0</v>
      </c>
      <c r="B98" s="5">
        <v>7</v>
      </c>
      <c r="C98" s="5">
        <v>1</v>
      </c>
      <c r="D98" s="5" t="s">
        <v>273</v>
      </c>
      <c r="E98" s="5" t="s">
        <v>143</v>
      </c>
      <c r="F98" s="5" t="s">
        <v>160</v>
      </c>
    </row>
    <row r="99" spans="1:6" s="5" customFormat="1" x14ac:dyDescent="0.2">
      <c r="A99" s="5">
        <v>0</v>
      </c>
      <c r="B99" s="5">
        <v>7</v>
      </c>
      <c r="C99" s="5">
        <v>1</v>
      </c>
      <c r="D99" s="5" t="s">
        <v>274</v>
      </c>
      <c r="E99" s="5" t="s">
        <v>143</v>
      </c>
      <c r="F99" s="5" t="s">
        <v>160</v>
      </c>
    </row>
    <row r="100" spans="1:6" s="5" customFormat="1" x14ac:dyDescent="0.2">
      <c r="A100" s="5">
        <v>0</v>
      </c>
      <c r="B100" s="5">
        <v>7</v>
      </c>
      <c r="C100" s="5">
        <v>1</v>
      </c>
      <c r="D100" s="5" t="s">
        <v>275</v>
      </c>
      <c r="E100" s="5" t="s">
        <v>144</v>
      </c>
      <c r="F100" s="5" t="s">
        <v>160</v>
      </c>
    </row>
    <row r="101" spans="1:6" s="5" customFormat="1" x14ac:dyDescent="0.2">
      <c r="A101" s="5">
        <v>0</v>
      </c>
      <c r="B101" s="5">
        <v>7</v>
      </c>
      <c r="C101" s="5">
        <v>1</v>
      </c>
      <c r="D101" s="5" t="s">
        <v>276</v>
      </c>
      <c r="E101" s="5" t="s">
        <v>144</v>
      </c>
      <c r="F101" s="5" t="s">
        <v>160</v>
      </c>
    </row>
    <row r="102" spans="1:6" s="5" customFormat="1" x14ac:dyDescent="0.2">
      <c r="A102" s="5">
        <v>0</v>
      </c>
      <c r="B102" s="5">
        <v>7</v>
      </c>
      <c r="C102" s="5">
        <v>2</v>
      </c>
      <c r="D102" s="5" t="s">
        <v>277</v>
      </c>
      <c r="E102" s="5" t="s">
        <v>143</v>
      </c>
      <c r="F102" s="5" t="s">
        <v>161</v>
      </c>
    </row>
    <row r="103" spans="1:6" s="5" customFormat="1" x14ac:dyDescent="0.2">
      <c r="A103" s="5">
        <v>0</v>
      </c>
      <c r="B103" s="5">
        <v>7</v>
      </c>
      <c r="C103" s="5">
        <v>2</v>
      </c>
      <c r="D103" s="5" t="s">
        <v>278</v>
      </c>
      <c r="E103" s="5" t="s">
        <v>143</v>
      </c>
      <c r="F103" s="5" t="s">
        <v>161</v>
      </c>
    </row>
    <row r="104" spans="1:6" s="5" customFormat="1" x14ac:dyDescent="0.2">
      <c r="A104" s="5">
        <v>0</v>
      </c>
      <c r="B104" s="5">
        <v>7</v>
      </c>
      <c r="C104" s="5">
        <v>2</v>
      </c>
      <c r="D104" s="5" t="s">
        <v>279</v>
      </c>
      <c r="E104" s="5" t="s">
        <v>143</v>
      </c>
      <c r="F104" s="5" t="s">
        <v>161</v>
      </c>
    </row>
    <row r="105" spans="1:6" s="5" customFormat="1" x14ac:dyDescent="0.2">
      <c r="A105" s="5">
        <v>0</v>
      </c>
      <c r="B105" s="5">
        <v>7</v>
      </c>
      <c r="C105" s="5">
        <v>2</v>
      </c>
      <c r="D105" s="5" t="s">
        <v>280</v>
      </c>
      <c r="E105" s="5" t="s">
        <v>143</v>
      </c>
      <c r="F105" s="5" t="s">
        <v>161</v>
      </c>
    </row>
    <row r="106" spans="1:6" s="5" customFormat="1" x14ac:dyDescent="0.2">
      <c r="A106" s="5">
        <v>0</v>
      </c>
      <c r="B106" s="5">
        <v>7</v>
      </c>
      <c r="C106" s="5">
        <v>2</v>
      </c>
      <c r="D106" s="5" t="s">
        <v>281</v>
      </c>
      <c r="E106" s="5" t="s">
        <v>143</v>
      </c>
      <c r="F106" s="5" t="s">
        <v>161</v>
      </c>
    </row>
    <row r="107" spans="1:6" s="5" customFormat="1" x14ac:dyDescent="0.2">
      <c r="A107" s="5">
        <v>1</v>
      </c>
      <c r="B107" s="5">
        <v>0</v>
      </c>
      <c r="C107" s="5">
        <v>0</v>
      </c>
      <c r="D107" s="5" t="s">
        <v>282</v>
      </c>
      <c r="E107" s="5" t="s">
        <v>142</v>
      </c>
      <c r="F107" s="5" t="s">
        <v>162</v>
      </c>
    </row>
    <row r="108" spans="1:6" s="5" customFormat="1" x14ac:dyDescent="0.2">
      <c r="A108" s="5">
        <v>1</v>
      </c>
      <c r="B108" s="5">
        <v>0</v>
      </c>
      <c r="C108" s="5">
        <v>0</v>
      </c>
      <c r="D108" s="5" t="s">
        <v>283</v>
      </c>
      <c r="E108" s="5" t="s">
        <v>142</v>
      </c>
      <c r="F108" s="5" t="s">
        <v>162</v>
      </c>
    </row>
    <row r="109" spans="1:6" s="5" customFormat="1" x14ac:dyDescent="0.2">
      <c r="A109" s="5">
        <v>1</v>
      </c>
      <c r="B109" s="5">
        <v>0</v>
      </c>
      <c r="C109" s="5">
        <v>0</v>
      </c>
      <c r="D109" s="5" t="s">
        <v>284</v>
      </c>
      <c r="E109" s="5" t="s">
        <v>143</v>
      </c>
      <c r="F109" s="5" t="s">
        <v>162</v>
      </c>
    </row>
    <row r="110" spans="1:6" s="5" customFormat="1" x14ac:dyDescent="0.2">
      <c r="A110" s="5">
        <v>1</v>
      </c>
      <c r="B110" s="5">
        <v>0</v>
      </c>
      <c r="C110" s="5">
        <v>0</v>
      </c>
      <c r="D110" s="5" t="s">
        <v>285</v>
      </c>
      <c r="E110" s="5" t="s">
        <v>143</v>
      </c>
      <c r="F110" s="5" t="s">
        <v>162</v>
      </c>
    </row>
    <row r="111" spans="1:6" s="5" customFormat="1" x14ac:dyDescent="0.2">
      <c r="A111" s="5">
        <v>1</v>
      </c>
      <c r="B111" s="5">
        <v>0</v>
      </c>
      <c r="C111" s="5">
        <v>0</v>
      </c>
      <c r="D111" s="5" t="s">
        <v>286</v>
      </c>
      <c r="E111" s="5" t="s">
        <v>143</v>
      </c>
      <c r="F111" s="5" t="s">
        <v>162</v>
      </c>
    </row>
    <row r="112" spans="1:6" s="5" customFormat="1" x14ac:dyDescent="0.2">
      <c r="A112" s="5">
        <v>1</v>
      </c>
      <c r="B112" s="5">
        <v>0</v>
      </c>
      <c r="C112" s="5">
        <v>1</v>
      </c>
      <c r="D112" s="5" t="s">
        <v>287</v>
      </c>
      <c r="E112" s="5" t="s">
        <v>142</v>
      </c>
      <c r="F112" s="5" t="s">
        <v>163</v>
      </c>
    </row>
    <row r="113" spans="1:6" s="5" customFormat="1" x14ac:dyDescent="0.2">
      <c r="A113" s="5">
        <v>1</v>
      </c>
      <c r="B113" s="5">
        <v>0</v>
      </c>
      <c r="C113" s="5">
        <v>1</v>
      </c>
      <c r="D113" s="5" t="s">
        <v>288</v>
      </c>
      <c r="E113" s="5" t="s">
        <v>142</v>
      </c>
      <c r="F113" s="5" t="s">
        <v>163</v>
      </c>
    </row>
    <row r="114" spans="1:6" s="5" customFormat="1" x14ac:dyDescent="0.2">
      <c r="A114" s="5">
        <v>1</v>
      </c>
      <c r="B114" s="5">
        <v>0</v>
      </c>
      <c r="C114" s="5">
        <v>1</v>
      </c>
      <c r="D114" s="5" t="s">
        <v>289</v>
      </c>
      <c r="E114" s="5" t="s">
        <v>142</v>
      </c>
      <c r="F114" s="5" t="s">
        <v>163</v>
      </c>
    </row>
    <row r="115" spans="1:6" s="5" customFormat="1" x14ac:dyDescent="0.2">
      <c r="A115" s="5">
        <v>1</v>
      </c>
      <c r="B115" s="5">
        <v>0</v>
      </c>
      <c r="C115" s="5">
        <v>1</v>
      </c>
      <c r="D115" s="5" t="s">
        <v>290</v>
      </c>
      <c r="E115" s="5" t="s">
        <v>142</v>
      </c>
      <c r="F115" s="5" t="s">
        <v>163</v>
      </c>
    </row>
    <row r="116" spans="1:6" s="5" customFormat="1" x14ac:dyDescent="0.2">
      <c r="A116" s="5">
        <v>1</v>
      </c>
      <c r="B116" s="5">
        <v>0</v>
      </c>
      <c r="C116" s="5">
        <v>1</v>
      </c>
      <c r="D116" s="5" t="s">
        <v>291</v>
      </c>
      <c r="E116" s="5" t="s">
        <v>142</v>
      </c>
      <c r="F116" s="5" t="s">
        <v>163</v>
      </c>
    </row>
    <row r="117" spans="1:6" s="5" customFormat="1" x14ac:dyDescent="0.2">
      <c r="A117" s="5">
        <v>1</v>
      </c>
      <c r="B117" s="5">
        <v>0</v>
      </c>
      <c r="C117" s="5">
        <v>2</v>
      </c>
      <c r="D117" s="5" t="s">
        <v>292</v>
      </c>
      <c r="E117" s="5" t="s">
        <v>142</v>
      </c>
      <c r="F117" s="5" t="s">
        <v>156</v>
      </c>
    </row>
    <row r="118" spans="1:6" s="5" customFormat="1" x14ac:dyDescent="0.2">
      <c r="A118" s="5">
        <v>1</v>
      </c>
      <c r="B118" s="5">
        <v>0</v>
      </c>
      <c r="C118" s="5">
        <v>2</v>
      </c>
      <c r="D118" s="5" t="s">
        <v>293</v>
      </c>
      <c r="E118" s="5" t="s">
        <v>142</v>
      </c>
      <c r="F118" s="5" t="s">
        <v>156</v>
      </c>
    </row>
    <row r="119" spans="1:6" s="5" customFormat="1" x14ac:dyDescent="0.2">
      <c r="A119" s="5">
        <v>1</v>
      </c>
      <c r="B119" s="5">
        <v>0</v>
      </c>
      <c r="C119" s="5">
        <v>2</v>
      </c>
      <c r="D119" s="5" t="s">
        <v>294</v>
      </c>
      <c r="E119" s="5" t="s">
        <v>142</v>
      </c>
      <c r="F119" s="5" t="s">
        <v>156</v>
      </c>
    </row>
    <row r="120" spans="1:6" s="5" customFormat="1" x14ac:dyDescent="0.2">
      <c r="A120" s="5">
        <v>1</v>
      </c>
      <c r="B120" s="5">
        <v>0</v>
      </c>
      <c r="C120" s="5">
        <v>2</v>
      </c>
      <c r="D120" s="5" t="s">
        <v>295</v>
      </c>
      <c r="E120" s="5" t="s">
        <v>142</v>
      </c>
      <c r="F120" s="5" t="s">
        <v>156</v>
      </c>
    </row>
    <row r="121" spans="1:6" s="5" customFormat="1" x14ac:dyDescent="0.2">
      <c r="A121" s="5">
        <v>1</v>
      </c>
      <c r="B121" s="5">
        <v>0</v>
      </c>
      <c r="C121" s="5">
        <v>2</v>
      </c>
      <c r="D121" s="5" t="s">
        <v>296</v>
      </c>
      <c r="E121" s="5" t="s">
        <v>142</v>
      </c>
      <c r="F121" s="5" t="s">
        <v>156</v>
      </c>
    </row>
    <row r="122" spans="1:6" s="5" customFormat="1" x14ac:dyDescent="0.2">
      <c r="A122" s="5">
        <v>1</v>
      </c>
      <c r="B122" s="5">
        <v>1</v>
      </c>
      <c r="C122" s="5">
        <v>0</v>
      </c>
      <c r="D122" s="5" t="s">
        <v>297</v>
      </c>
      <c r="E122" s="5" t="s">
        <v>143</v>
      </c>
      <c r="F122" s="5" t="s">
        <v>162</v>
      </c>
    </row>
    <row r="123" spans="1:6" s="5" customFormat="1" x14ac:dyDescent="0.2">
      <c r="A123" s="5">
        <v>1</v>
      </c>
      <c r="B123" s="5">
        <v>1</v>
      </c>
      <c r="C123" s="5">
        <v>0</v>
      </c>
      <c r="D123" s="5" t="s">
        <v>298</v>
      </c>
      <c r="E123" s="5" t="s">
        <v>143</v>
      </c>
      <c r="F123" s="5" t="s">
        <v>162</v>
      </c>
    </row>
    <row r="124" spans="1:6" s="5" customFormat="1" x14ac:dyDescent="0.2">
      <c r="A124" s="5">
        <v>1</v>
      </c>
      <c r="B124" s="5">
        <v>1</v>
      </c>
      <c r="C124" s="5">
        <v>0</v>
      </c>
      <c r="D124" s="5" t="s">
        <v>299</v>
      </c>
      <c r="E124" s="5" t="s">
        <v>143</v>
      </c>
      <c r="F124" s="5" t="s">
        <v>162</v>
      </c>
    </row>
    <row r="125" spans="1:6" s="5" customFormat="1" x14ac:dyDescent="0.2">
      <c r="A125" s="5">
        <v>1</v>
      </c>
      <c r="B125" s="5">
        <v>1</v>
      </c>
      <c r="C125" s="5">
        <v>0</v>
      </c>
      <c r="D125" s="5" t="s">
        <v>300</v>
      </c>
      <c r="E125" s="5" t="s">
        <v>143</v>
      </c>
      <c r="F125" s="5" t="s">
        <v>162</v>
      </c>
    </row>
    <row r="126" spans="1:6" s="5" customFormat="1" x14ac:dyDescent="0.2">
      <c r="A126" s="5">
        <v>1</v>
      </c>
      <c r="B126" s="5">
        <v>1</v>
      </c>
      <c r="C126" s="5">
        <v>0</v>
      </c>
      <c r="D126" s="5" t="s">
        <v>301</v>
      </c>
      <c r="E126" s="5" t="s">
        <v>143</v>
      </c>
      <c r="F126" s="5" t="s">
        <v>162</v>
      </c>
    </row>
    <row r="127" spans="1:6" s="5" customFormat="1" x14ac:dyDescent="0.2">
      <c r="A127" s="5">
        <v>1</v>
      </c>
      <c r="B127" s="5">
        <v>1</v>
      </c>
      <c r="C127" s="5">
        <v>1</v>
      </c>
      <c r="D127" s="5" t="s">
        <v>302</v>
      </c>
      <c r="E127" s="5" t="s">
        <v>142</v>
      </c>
      <c r="F127" s="5" t="s">
        <v>163</v>
      </c>
    </row>
    <row r="128" spans="1:6" s="5" customFormat="1" x14ac:dyDescent="0.2">
      <c r="A128" s="5">
        <v>1</v>
      </c>
      <c r="B128" s="5">
        <v>1</v>
      </c>
      <c r="C128" s="5">
        <v>1</v>
      </c>
      <c r="D128" s="5" t="s">
        <v>303</v>
      </c>
      <c r="E128" s="5" t="s">
        <v>142</v>
      </c>
      <c r="F128" s="5" t="s">
        <v>163</v>
      </c>
    </row>
    <row r="129" spans="1:6" s="5" customFormat="1" x14ac:dyDescent="0.2">
      <c r="A129" s="5">
        <v>1</v>
      </c>
      <c r="B129" s="5">
        <v>1</v>
      </c>
      <c r="C129" s="5">
        <v>1</v>
      </c>
      <c r="D129" s="5" t="s">
        <v>304</v>
      </c>
      <c r="E129" s="5" t="s">
        <v>142</v>
      </c>
      <c r="F129" s="5" t="s">
        <v>163</v>
      </c>
    </row>
    <row r="130" spans="1:6" s="5" customFormat="1" x14ac:dyDescent="0.2">
      <c r="A130" s="5">
        <v>1</v>
      </c>
      <c r="B130" s="5">
        <v>1</v>
      </c>
      <c r="C130" s="5">
        <v>1</v>
      </c>
      <c r="D130" s="5" t="s">
        <v>305</v>
      </c>
      <c r="E130" s="5" t="s">
        <v>142</v>
      </c>
      <c r="F130" s="5" t="s">
        <v>163</v>
      </c>
    </row>
    <row r="131" spans="1:6" s="5" customFormat="1" x14ac:dyDescent="0.2">
      <c r="A131" s="5">
        <v>1</v>
      </c>
      <c r="B131" s="5">
        <v>1</v>
      </c>
      <c r="C131" s="5">
        <v>1</v>
      </c>
      <c r="D131" s="5" t="s">
        <v>306</v>
      </c>
      <c r="E131" s="5" t="s">
        <v>142</v>
      </c>
      <c r="F131" s="5" t="s">
        <v>163</v>
      </c>
    </row>
    <row r="132" spans="1:6" s="5" customFormat="1" x14ac:dyDescent="0.2">
      <c r="A132" s="5">
        <v>1</v>
      </c>
      <c r="B132" s="5">
        <v>1</v>
      </c>
      <c r="C132" s="5">
        <v>2</v>
      </c>
      <c r="D132" s="5" t="s">
        <v>307</v>
      </c>
      <c r="E132" s="5" t="s">
        <v>142</v>
      </c>
      <c r="F132" s="5" t="s">
        <v>156</v>
      </c>
    </row>
    <row r="133" spans="1:6" s="5" customFormat="1" x14ac:dyDescent="0.2">
      <c r="A133" s="5">
        <v>1</v>
      </c>
      <c r="B133" s="5">
        <v>1</v>
      </c>
      <c r="C133" s="5">
        <v>2</v>
      </c>
      <c r="D133" s="5" t="s">
        <v>308</v>
      </c>
      <c r="E133" s="5" t="s">
        <v>142</v>
      </c>
      <c r="F133" s="5" t="s">
        <v>156</v>
      </c>
    </row>
    <row r="134" spans="1:6" s="5" customFormat="1" x14ac:dyDescent="0.2">
      <c r="A134" s="5">
        <v>1</v>
      </c>
      <c r="B134" s="5">
        <v>1</v>
      </c>
      <c r="C134" s="5">
        <v>2</v>
      </c>
      <c r="D134" s="5" t="s">
        <v>309</v>
      </c>
      <c r="E134" s="5" t="s">
        <v>142</v>
      </c>
      <c r="F134" s="5" t="s">
        <v>156</v>
      </c>
    </row>
    <row r="135" spans="1:6" s="5" customFormat="1" x14ac:dyDescent="0.2">
      <c r="A135" s="5">
        <v>1</v>
      </c>
      <c r="B135" s="5">
        <v>1</v>
      </c>
      <c r="C135" s="5">
        <v>2</v>
      </c>
      <c r="D135" s="5" t="s">
        <v>310</v>
      </c>
      <c r="E135" s="5" t="s">
        <v>147</v>
      </c>
      <c r="F135" s="5" t="s">
        <v>156</v>
      </c>
    </row>
    <row r="136" spans="1:6" s="5" customFormat="1" x14ac:dyDescent="0.2">
      <c r="A136" s="5">
        <v>1</v>
      </c>
      <c r="B136" s="5">
        <v>1</v>
      </c>
      <c r="C136" s="5">
        <v>2</v>
      </c>
      <c r="D136" s="5" t="s">
        <v>311</v>
      </c>
      <c r="E136" s="5" t="s">
        <v>147</v>
      </c>
      <c r="F136" s="5" t="s">
        <v>156</v>
      </c>
    </row>
    <row r="137" spans="1:6" s="5" customFormat="1" x14ac:dyDescent="0.2">
      <c r="A137" s="5">
        <v>1</v>
      </c>
      <c r="B137" s="5">
        <v>2</v>
      </c>
      <c r="C137" s="5">
        <v>0</v>
      </c>
      <c r="D137" s="5" t="s">
        <v>312</v>
      </c>
      <c r="E137" s="5" t="s">
        <v>143</v>
      </c>
      <c r="F137" s="5" t="s">
        <v>162</v>
      </c>
    </row>
    <row r="138" spans="1:6" s="5" customFormat="1" x14ac:dyDescent="0.2">
      <c r="A138" s="5">
        <v>1</v>
      </c>
      <c r="B138" s="5">
        <v>2</v>
      </c>
      <c r="C138" s="5">
        <v>0</v>
      </c>
      <c r="D138" s="5" t="s">
        <v>313</v>
      </c>
      <c r="E138" s="5" t="s">
        <v>143</v>
      </c>
      <c r="F138" s="5" t="s">
        <v>162</v>
      </c>
    </row>
    <row r="139" spans="1:6" s="5" customFormat="1" x14ac:dyDescent="0.2">
      <c r="A139" s="5">
        <v>1</v>
      </c>
      <c r="B139" s="5">
        <v>2</v>
      </c>
      <c r="C139" s="5">
        <v>0</v>
      </c>
      <c r="D139" s="5" t="s">
        <v>314</v>
      </c>
      <c r="E139" s="5" t="s">
        <v>143</v>
      </c>
      <c r="F139" s="5" t="s">
        <v>162</v>
      </c>
    </row>
    <row r="140" spans="1:6" s="5" customFormat="1" x14ac:dyDescent="0.2">
      <c r="A140" s="5">
        <v>1</v>
      </c>
      <c r="B140" s="5">
        <v>2</v>
      </c>
      <c r="C140" s="5">
        <v>0</v>
      </c>
      <c r="D140" s="5" t="s">
        <v>315</v>
      </c>
      <c r="E140" s="5" t="s">
        <v>143</v>
      </c>
      <c r="F140" s="5" t="s">
        <v>162</v>
      </c>
    </row>
    <row r="141" spans="1:6" s="5" customFormat="1" x14ac:dyDescent="0.2">
      <c r="A141" s="5">
        <v>1</v>
      </c>
      <c r="B141" s="5">
        <v>2</v>
      </c>
      <c r="C141" s="5">
        <v>0</v>
      </c>
      <c r="D141" s="5" t="s">
        <v>316</v>
      </c>
      <c r="E141" s="5" t="s">
        <v>143</v>
      </c>
      <c r="F141" s="5" t="s">
        <v>162</v>
      </c>
    </row>
    <row r="142" spans="1:6" s="5" customFormat="1" x14ac:dyDescent="0.2">
      <c r="A142" s="5">
        <v>1</v>
      </c>
      <c r="B142" s="5">
        <v>2</v>
      </c>
      <c r="C142" s="5">
        <v>1</v>
      </c>
      <c r="D142" s="5" t="s">
        <v>317</v>
      </c>
      <c r="E142" s="5" t="s">
        <v>147</v>
      </c>
      <c r="F142" s="5" t="s">
        <v>156</v>
      </c>
    </row>
    <row r="143" spans="1:6" s="5" customFormat="1" x14ac:dyDescent="0.2">
      <c r="A143" s="5">
        <v>1</v>
      </c>
      <c r="B143" s="5">
        <v>2</v>
      </c>
      <c r="C143" s="5">
        <v>1</v>
      </c>
      <c r="D143" s="5" t="s">
        <v>318</v>
      </c>
      <c r="E143" s="5" t="s">
        <v>147</v>
      </c>
      <c r="F143" s="5" t="s">
        <v>156</v>
      </c>
    </row>
    <row r="144" spans="1:6" s="5" customFormat="1" x14ac:dyDescent="0.2">
      <c r="A144" s="5">
        <v>1</v>
      </c>
      <c r="B144" s="5">
        <v>2</v>
      </c>
      <c r="C144" s="5">
        <v>1</v>
      </c>
      <c r="D144" s="5" t="s">
        <v>319</v>
      </c>
      <c r="E144" s="5" t="s">
        <v>142</v>
      </c>
      <c r="F144" s="5" t="s">
        <v>164</v>
      </c>
    </row>
    <row r="145" spans="1:6" s="5" customFormat="1" x14ac:dyDescent="0.2">
      <c r="A145" s="5">
        <v>1</v>
      </c>
      <c r="B145" s="5">
        <v>2</v>
      </c>
      <c r="C145" s="5">
        <v>1</v>
      </c>
      <c r="D145" s="5" t="s">
        <v>320</v>
      </c>
      <c r="E145" s="5" t="s">
        <v>142</v>
      </c>
      <c r="F145" s="5" t="s">
        <v>164</v>
      </c>
    </row>
    <row r="146" spans="1:6" s="5" customFormat="1" x14ac:dyDescent="0.2">
      <c r="A146" s="5">
        <v>1</v>
      </c>
      <c r="B146" s="5">
        <v>2</v>
      </c>
      <c r="C146" s="5">
        <v>1</v>
      </c>
      <c r="D146" s="5" t="s">
        <v>321</v>
      </c>
      <c r="E146" s="5" t="s">
        <v>142</v>
      </c>
      <c r="F146" s="5" t="s">
        <v>164</v>
      </c>
    </row>
    <row r="147" spans="1:6" s="5" customFormat="1" x14ac:dyDescent="0.2">
      <c r="A147" s="5">
        <v>1</v>
      </c>
      <c r="B147" s="5">
        <v>2</v>
      </c>
      <c r="C147" s="5">
        <v>2</v>
      </c>
      <c r="D147" s="5" t="s">
        <v>322</v>
      </c>
      <c r="E147" s="5" t="s">
        <v>142</v>
      </c>
      <c r="F147" s="5" t="s">
        <v>157</v>
      </c>
    </row>
    <row r="148" spans="1:6" s="5" customFormat="1" x14ac:dyDescent="0.2">
      <c r="A148" s="5">
        <v>1</v>
      </c>
      <c r="B148" s="5">
        <v>2</v>
      </c>
      <c r="C148" s="5">
        <v>2</v>
      </c>
      <c r="D148" s="5" t="s">
        <v>323</v>
      </c>
      <c r="E148" s="5" t="s">
        <v>142</v>
      </c>
      <c r="F148" s="5" t="s">
        <v>157</v>
      </c>
    </row>
    <row r="149" spans="1:6" s="5" customFormat="1" x14ac:dyDescent="0.2">
      <c r="A149" s="5">
        <v>1</v>
      </c>
      <c r="B149" s="5">
        <v>2</v>
      </c>
      <c r="C149" s="5">
        <v>2</v>
      </c>
      <c r="D149" s="5" t="s">
        <v>324</v>
      </c>
      <c r="E149" s="5" t="s">
        <v>142</v>
      </c>
      <c r="F149" s="5" t="s">
        <v>157</v>
      </c>
    </row>
    <row r="150" spans="1:6" s="5" customFormat="1" x14ac:dyDescent="0.2">
      <c r="A150" s="5">
        <v>1</v>
      </c>
      <c r="B150" s="5">
        <v>2</v>
      </c>
      <c r="C150" s="5">
        <v>2</v>
      </c>
      <c r="D150" s="5" t="s">
        <v>325</v>
      </c>
      <c r="E150" s="5" t="s">
        <v>142</v>
      </c>
      <c r="F150" s="5" t="s">
        <v>157</v>
      </c>
    </row>
    <row r="151" spans="1:6" s="5" customFormat="1" x14ac:dyDescent="0.2">
      <c r="A151" s="5">
        <v>1</v>
      </c>
      <c r="B151" s="5">
        <v>2</v>
      </c>
      <c r="C151" s="5">
        <v>2</v>
      </c>
      <c r="D151" s="5" t="s">
        <v>326</v>
      </c>
      <c r="E151" s="5" t="s">
        <v>142</v>
      </c>
      <c r="F151" s="5" t="s">
        <v>157</v>
      </c>
    </row>
    <row r="152" spans="1:6" s="5" customFormat="1" x14ac:dyDescent="0.2">
      <c r="A152" s="5">
        <v>1</v>
      </c>
      <c r="B152" s="5">
        <v>3</v>
      </c>
      <c r="C152" s="5">
        <v>0</v>
      </c>
      <c r="D152" s="5" t="s">
        <v>327</v>
      </c>
      <c r="E152" s="5" t="s">
        <v>143</v>
      </c>
      <c r="F152" s="5" t="s">
        <v>162</v>
      </c>
    </row>
    <row r="153" spans="1:6" s="5" customFormat="1" x14ac:dyDescent="0.2">
      <c r="A153" s="5">
        <v>1</v>
      </c>
      <c r="B153" s="5">
        <v>3</v>
      </c>
      <c r="C153" s="5">
        <v>0</v>
      </c>
      <c r="D153" s="5" t="s">
        <v>328</v>
      </c>
      <c r="E153" s="5" t="s">
        <v>142</v>
      </c>
      <c r="F153" s="5" t="s">
        <v>164</v>
      </c>
    </row>
    <row r="154" spans="1:6" s="5" customFormat="1" x14ac:dyDescent="0.2">
      <c r="A154" s="5">
        <v>1</v>
      </c>
      <c r="B154" s="5">
        <v>3</v>
      </c>
      <c r="C154" s="5">
        <v>0</v>
      </c>
      <c r="D154" s="5" t="s">
        <v>329</v>
      </c>
      <c r="E154" s="5" t="s">
        <v>142</v>
      </c>
      <c r="F154" s="5" t="s">
        <v>164</v>
      </c>
    </row>
    <row r="155" spans="1:6" s="5" customFormat="1" x14ac:dyDescent="0.2">
      <c r="A155" s="5">
        <v>1</v>
      </c>
      <c r="B155" s="5">
        <v>3</v>
      </c>
      <c r="C155" s="5">
        <v>0</v>
      </c>
      <c r="D155" s="5" t="s">
        <v>330</v>
      </c>
      <c r="E155" s="5" t="s">
        <v>142</v>
      </c>
      <c r="F155" s="5" t="s">
        <v>164</v>
      </c>
    </row>
    <row r="156" spans="1:6" s="5" customFormat="1" x14ac:dyDescent="0.2">
      <c r="A156" s="5">
        <v>1</v>
      </c>
      <c r="B156" s="5">
        <v>3</v>
      </c>
      <c r="C156" s="5">
        <v>0</v>
      </c>
      <c r="D156" s="5" t="s">
        <v>331</v>
      </c>
      <c r="E156" s="5" t="s">
        <v>142</v>
      </c>
      <c r="F156" s="5" t="s">
        <v>164</v>
      </c>
    </row>
    <row r="157" spans="1:6" s="5" customFormat="1" x14ac:dyDescent="0.2">
      <c r="A157" s="5">
        <v>1</v>
      </c>
      <c r="B157" s="5">
        <v>3</v>
      </c>
      <c r="C157" s="5">
        <v>1</v>
      </c>
      <c r="D157" s="5" t="s">
        <v>332</v>
      </c>
      <c r="E157" s="5" t="s">
        <v>142</v>
      </c>
      <c r="F157" s="5" t="s">
        <v>157</v>
      </c>
    </row>
    <row r="158" spans="1:6" s="5" customFormat="1" x14ac:dyDescent="0.2">
      <c r="A158" s="5">
        <v>1</v>
      </c>
      <c r="B158" s="5">
        <v>3</v>
      </c>
      <c r="C158" s="5">
        <v>1</v>
      </c>
      <c r="D158" s="5" t="s">
        <v>333</v>
      </c>
      <c r="E158" s="5" t="s">
        <v>142</v>
      </c>
      <c r="F158" s="5" t="s">
        <v>157</v>
      </c>
    </row>
    <row r="159" spans="1:6" s="5" customFormat="1" x14ac:dyDescent="0.2">
      <c r="A159" s="5">
        <v>1</v>
      </c>
      <c r="B159" s="5">
        <v>3</v>
      </c>
      <c r="C159" s="5">
        <v>1</v>
      </c>
      <c r="D159" s="5" t="s">
        <v>334</v>
      </c>
      <c r="E159" s="5" t="s">
        <v>142</v>
      </c>
      <c r="F159" s="5" t="s">
        <v>157</v>
      </c>
    </row>
    <row r="160" spans="1:6" s="5" customFormat="1" x14ac:dyDescent="0.2">
      <c r="A160" s="5">
        <v>1</v>
      </c>
      <c r="B160" s="5">
        <v>3</v>
      </c>
      <c r="C160" s="5">
        <v>1</v>
      </c>
      <c r="D160" s="5" t="s">
        <v>335</v>
      </c>
      <c r="E160" s="5" t="s">
        <v>142</v>
      </c>
      <c r="F160" s="5" t="s">
        <v>165</v>
      </c>
    </row>
    <row r="161" spans="1:6" s="5" customFormat="1" x14ac:dyDescent="0.2">
      <c r="A161" s="5">
        <v>1</v>
      </c>
      <c r="B161" s="5">
        <v>3</v>
      </c>
      <c r="C161" s="5">
        <v>1</v>
      </c>
      <c r="D161" s="5" t="s">
        <v>336</v>
      </c>
      <c r="E161" s="5" t="s">
        <v>142</v>
      </c>
      <c r="F161" s="5" t="s">
        <v>165</v>
      </c>
    </row>
    <row r="162" spans="1:6" s="5" customFormat="1" x14ac:dyDescent="0.2">
      <c r="A162" s="5">
        <v>1</v>
      </c>
      <c r="B162" s="5">
        <v>3</v>
      </c>
      <c r="C162" s="5">
        <v>2</v>
      </c>
      <c r="D162" s="5" t="s">
        <v>337</v>
      </c>
      <c r="E162" s="5" t="s">
        <v>142</v>
      </c>
      <c r="F162" s="5" t="s">
        <v>166</v>
      </c>
    </row>
    <row r="163" spans="1:6" s="5" customFormat="1" x14ac:dyDescent="0.2">
      <c r="A163" s="5">
        <v>1</v>
      </c>
      <c r="B163" s="5">
        <v>3</v>
      </c>
      <c r="C163" s="5">
        <v>2</v>
      </c>
      <c r="D163" s="5" t="s">
        <v>338</v>
      </c>
      <c r="E163" s="5" t="s">
        <v>142</v>
      </c>
      <c r="F163" s="5" t="s">
        <v>166</v>
      </c>
    </row>
    <row r="164" spans="1:6" s="5" customFormat="1" x14ac:dyDescent="0.2">
      <c r="A164" s="5">
        <v>1</v>
      </c>
      <c r="B164" s="5">
        <v>3</v>
      </c>
      <c r="C164" s="5">
        <v>2</v>
      </c>
      <c r="D164" s="5" t="s">
        <v>339</v>
      </c>
      <c r="E164" s="5" t="s">
        <v>142</v>
      </c>
      <c r="F164" s="5" t="s">
        <v>166</v>
      </c>
    </row>
    <row r="165" spans="1:6" s="5" customFormat="1" x14ac:dyDescent="0.2">
      <c r="A165" s="5">
        <v>1</v>
      </c>
      <c r="B165" s="5">
        <v>3</v>
      </c>
      <c r="C165" s="5">
        <v>2</v>
      </c>
      <c r="D165" s="5" t="s">
        <v>340</v>
      </c>
      <c r="E165" s="5" t="s">
        <v>142</v>
      </c>
      <c r="F165" s="5" t="s">
        <v>166</v>
      </c>
    </row>
    <row r="166" spans="1:6" s="5" customFormat="1" x14ac:dyDescent="0.2">
      <c r="A166" s="5">
        <v>1</v>
      </c>
      <c r="B166" s="5">
        <v>3</v>
      </c>
      <c r="C166" s="5">
        <v>2</v>
      </c>
      <c r="D166" s="5" t="s">
        <v>341</v>
      </c>
      <c r="E166" s="5" t="s">
        <v>142</v>
      </c>
      <c r="F166" s="5" t="s">
        <v>166</v>
      </c>
    </row>
    <row r="167" spans="1:6" s="5" customFormat="1" x14ac:dyDescent="0.2">
      <c r="A167" s="5">
        <v>1</v>
      </c>
      <c r="B167" s="5">
        <v>5</v>
      </c>
      <c r="C167" s="5">
        <v>0</v>
      </c>
      <c r="D167" s="5" t="s">
        <v>342</v>
      </c>
      <c r="E167" s="5" t="s">
        <v>143</v>
      </c>
      <c r="F167" s="5" t="s">
        <v>159</v>
      </c>
    </row>
    <row r="168" spans="1:6" s="5" customFormat="1" x14ac:dyDescent="0.2">
      <c r="A168" s="5">
        <v>1</v>
      </c>
      <c r="B168" s="5">
        <v>5</v>
      </c>
      <c r="C168" s="5">
        <v>0</v>
      </c>
      <c r="D168" s="5" t="s">
        <v>343</v>
      </c>
      <c r="E168" s="5" t="s">
        <v>143</v>
      </c>
      <c r="F168" s="5" t="s">
        <v>159</v>
      </c>
    </row>
    <row r="169" spans="1:6" s="5" customFormat="1" x14ac:dyDescent="0.2">
      <c r="A169" s="5">
        <v>1</v>
      </c>
      <c r="B169" s="5">
        <v>5</v>
      </c>
      <c r="C169" s="5">
        <v>0</v>
      </c>
      <c r="D169" s="5" t="s">
        <v>344</v>
      </c>
      <c r="E169" s="5" t="s">
        <v>142</v>
      </c>
      <c r="F169" s="5" t="s">
        <v>165</v>
      </c>
    </row>
    <row r="170" spans="1:6" s="5" customFormat="1" x14ac:dyDescent="0.2">
      <c r="A170" s="5">
        <v>1</v>
      </c>
      <c r="B170" s="5">
        <v>5</v>
      </c>
      <c r="C170" s="5">
        <v>0</v>
      </c>
      <c r="D170" s="5" t="s">
        <v>345</v>
      </c>
      <c r="E170" s="5" t="s">
        <v>143</v>
      </c>
      <c r="F170" s="5" t="s">
        <v>165</v>
      </c>
    </row>
    <row r="171" spans="1:6" s="5" customFormat="1" x14ac:dyDescent="0.2">
      <c r="A171" s="5">
        <v>1</v>
      </c>
      <c r="B171" s="5">
        <v>5</v>
      </c>
      <c r="C171" s="5">
        <v>0</v>
      </c>
      <c r="D171" s="5" t="s">
        <v>346</v>
      </c>
      <c r="E171" s="5" t="s">
        <v>143</v>
      </c>
      <c r="F171" s="5" t="s">
        <v>165</v>
      </c>
    </row>
    <row r="172" spans="1:6" s="5" customFormat="1" x14ac:dyDescent="0.2">
      <c r="A172" s="5">
        <v>1</v>
      </c>
      <c r="B172" s="5">
        <v>5</v>
      </c>
      <c r="C172" s="5">
        <v>1</v>
      </c>
      <c r="D172" s="5" t="s">
        <v>347</v>
      </c>
      <c r="E172" s="5" t="s">
        <v>142</v>
      </c>
      <c r="F172" s="5" t="s">
        <v>166</v>
      </c>
    </row>
    <row r="173" spans="1:6" s="5" customFormat="1" x14ac:dyDescent="0.2">
      <c r="A173" s="5">
        <v>1</v>
      </c>
      <c r="B173" s="5">
        <v>5</v>
      </c>
      <c r="C173" s="5">
        <v>1</v>
      </c>
      <c r="D173" s="5" t="s">
        <v>348</v>
      </c>
      <c r="E173" s="5" t="s">
        <v>142</v>
      </c>
      <c r="F173" s="5" t="s">
        <v>166</v>
      </c>
    </row>
    <row r="174" spans="1:6" s="5" customFormat="1" x14ac:dyDescent="0.2">
      <c r="A174" s="5">
        <v>1</v>
      </c>
      <c r="B174" s="5">
        <v>5</v>
      </c>
      <c r="C174" s="5">
        <v>1</v>
      </c>
      <c r="D174" s="5" t="s">
        <v>349</v>
      </c>
      <c r="E174" s="5" t="s">
        <v>142</v>
      </c>
      <c r="F174" s="5" t="s">
        <v>166</v>
      </c>
    </row>
    <row r="175" spans="1:6" s="5" customFormat="1" x14ac:dyDescent="0.2">
      <c r="A175" s="5">
        <v>1</v>
      </c>
      <c r="B175" s="5">
        <v>5</v>
      </c>
      <c r="C175" s="5">
        <v>1</v>
      </c>
      <c r="D175" s="5" t="s">
        <v>350</v>
      </c>
      <c r="E175" s="5" t="s">
        <v>142</v>
      </c>
      <c r="F175" s="5" t="s">
        <v>166</v>
      </c>
    </row>
    <row r="176" spans="1:6" s="5" customFormat="1" x14ac:dyDescent="0.2">
      <c r="A176" s="5">
        <v>1</v>
      </c>
      <c r="B176" s="5">
        <v>5</v>
      </c>
      <c r="C176" s="5">
        <v>1</v>
      </c>
      <c r="D176" s="5" t="s">
        <v>351</v>
      </c>
      <c r="E176" s="5" t="s">
        <v>142</v>
      </c>
      <c r="F176" s="5" t="s">
        <v>166</v>
      </c>
    </row>
    <row r="177" spans="1:6" s="5" customFormat="1" x14ac:dyDescent="0.2">
      <c r="A177" s="5">
        <v>1</v>
      </c>
      <c r="B177" s="5">
        <v>5</v>
      </c>
      <c r="C177" s="5">
        <v>2</v>
      </c>
      <c r="D177" s="5" t="s">
        <v>352</v>
      </c>
      <c r="E177" s="5" t="s">
        <v>142</v>
      </c>
      <c r="F177" s="5" t="s">
        <v>167</v>
      </c>
    </row>
    <row r="178" spans="1:6" s="5" customFormat="1" x14ac:dyDescent="0.2">
      <c r="A178" s="5">
        <v>1</v>
      </c>
      <c r="B178" s="5">
        <v>5</v>
      </c>
      <c r="C178" s="5">
        <v>2</v>
      </c>
      <c r="D178" s="5" t="s">
        <v>353</v>
      </c>
      <c r="E178" s="5" t="s">
        <v>142</v>
      </c>
      <c r="F178" s="5" t="s">
        <v>167</v>
      </c>
    </row>
    <row r="179" spans="1:6" s="5" customFormat="1" x14ac:dyDescent="0.2">
      <c r="A179" s="5">
        <v>1</v>
      </c>
      <c r="B179" s="5">
        <v>5</v>
      </c>
      <c r="C179" s="5">
        <v>2</v>
      </c>
      <c r="D179" s="5" t="s">
        <v>354</v>
      </c>
      <c r="E179" s="5" t="s">
        <v>142</v>
      </c>
      <c r="F179" s="5" t="s">
        <v>167</v>
      </c>
    </row>
    <row r="180" spans="1:6" s="5" customFormat="1" x14ac:dyDescent="0.2">
      <c r="A180" s="5">
        <v>1</v>
      </c>
      <c r="B180" s="5">
        <v>5</v>
      </c>
      <c r="C180" s="5">
        <v>2</v>
      </c>
      <c r="D180" s="5" t="s">
        <v>355</v>
      </c>
      <c r="E180" s="5" t="s">
        <v>142</v>
      </c>
      <c r="F180" s="5" t="s">
        <v>167</v>
      </c>
    </row>
    <row r="181" spans="1:6" s="5" customFormat="1" x14ac:dyDescent="0.2">
      <c r="A181" s="5">
        <v>1</v>
      </c>
      <c r="B181" s="5">
        <v>5</v>
      </c>
      <c r="C181" s="5">
        <v>2</v>
      </c>
      <c r="D181" s="5" t="s">
        <v>356</v>
      </c>
      <c r="E181" s="5" t="s">
        <v>142</v>
      </c>
      <c r="F181" s="5" t="s">
        <v>167</v>
      </c>
    </row>
    <row r="182" spans="1:6" s="5" customFormat="1" x14ac:dyDescent="0.2">
      <c r="A182" s="5">
        <v>1</v>
      </c>
      <c r="B182" s="5">
        <v>6</v>
      </c>
      <c r="C182" s="5">
        <v>0</v>
      </c>
      <c r="D182" s="5" t="s">
        <v>357</v>
      </c>
      <c r="E182" s="5" t="s">
        <v>143</v>
      </c>
      <c r="F182" s="5" t="s">
        <v>165</v>
      </c>
    </row>
    <row r="183" spans="1:6" s="5" customFormat="1" x14ac:dyDescent="0.2">
      <c r="A183" s="5">
        <v>1</v>
      </c>
      <c r="B183" s="5">
        <v>6</v>
      </c>
      <c r="C183" s="5">
        <v>0</v>
      </c>
      <c r="D183" s="5" t="s">
        <v>358</v>
      </c>
      <c r="E183" s="5" t="s">
        <v>143</v>
      </c>
      <c r="F183" s="5" t="s">
        <v>165</v>
      </c>
    </row>
    <row r="184" spans="1:6" s="5" customFormat="1" x14ac:dyDescent="0.2">
      <c r="A184" s="5">
        <v>1</v>
      </c>
      <c r="B184" s="5">
        <v>6</v>
      </c>
      <c r="C184" s="5">
        <v>0</v>
      </c>
      <c r="D184" s="5" t="s">
        <v>359</v>
      </c>
      <c r="E184" s="5" t="s">
        <v>145</v>
      </c>
      <c r="F184" s="5" t="s">
        <v>165</v>
      </c>
    </row>
    <row r="185" spans="1:6" s="5" customFormat="1" x14ac:dyDescent="0.2">
      <c r="A185" s="5">
        <v>1</v>
      </c>
      <c r="B185" s="5">
        <v>6</v>
      </c>
      <c r="C185" s="5">
        <v>0</v>
      </c>
      <c r="D185" s="5" t="s">
        <v>360</v>
      </c>
      <c r="E185" s="5" t="s">
        <v>145</v>
      </c>
      <c r="F185" s="5" t="s">
        <v>165</v>
      </c>
    </row>
    <row r="186" spans="1:6" s="5" customFormat="1" x14ac:dyDescent="0.2">
      <c r="A186" s="5">
        <v>1</v>
      </c>
      <c r="B186" s="5">
        <v>6</v>
      </c>
      <c r="C186" s="5">
        <v>0</v>
      </c>
      <c r="D186" s="5" t="s">
        <v>361</v>
      </c>
      <c r="E186" s="5" t="s">
        <v>145</v>
      </c>
      <c r="F186" s="5" t="s">
        <v>165</v>
      </c>
    </row>
    <row r="187" spans="1:6" s="5" customFormat="1" x14ac:dyDescent="0.2">
      <c r="A187" s="5">
        <v>1</v>
      </c>
      <c r="B187" s="5">
        <v>6</v>
      </c>
      <c r="C187" s="5">
        <v>1</v>
      </c>
      <c r="D187" s="5" t="s">
        <v>362</v>
      </c>
      <c r="E187" s="5" t="s">
        <v>142</v>
      </c>
      <c r="F187" s="5" t="s">
        <v>166</v>
      </c>
    </row>
    <row r="188" spans="1:6" s="5" customFormat="1" x14ac:dyDescent="0.2">
      <c r="A188" s="5">
        <v>1</v>
      </c>
      <c r="B188" s="5">
        <v>6</v>
      </c>
      <c r="C188" s="5">
        <v>1</v>
      </c>
      <c r="D188" s="5" t="s">
        <v>363</v>
      </c>
      <c r="E188" s="5" t="s">
        <v>142</v>
      </c>
      <c r="F188" s="5" t="s">
        <v>166</v>
      </c>
    </row>
    <row r="189" spans="1:6" s="5" customFormat="1" x14ac:dyDescent="0.2">
      <c r="A189" s="5">
        <v>1</v>
      </c>
      <c r="B189" s="5">
        <v>6</v>
      </c>
      <c r="C189" s="5">
        <v>1</v>
      </c>
      <c r="D189" s="5" t="s">
        <v>364</v>
      </c>
      <c r="E189" s="5" t="s">
        <v>142</v>
      </c>
      <c r="F189" s="5" t="s">
        <v>166</v>
      </c>
    </row>
    <row r="190" spans="1:6" s="5" customFormat="1" x14ac:dyDescent="0.2">
      <c r="A190" s="5">
        <v>1</v>
      </c>
      <c r="B190" s="5">
        <v>6</v>
      </c>
      <c r="C190" s="5">
        <v>1</v>
      </c>
      <c r="D190" s="5" t="s">
        <v>365</v>
      </c>
      <c r="E190" s="5" t="s">
        <v>143</v>
      </c>
      <c r="F190" s="5" t="s">
        <v>166</v>
      </c>
    </row>
    <row r="191" spans="1:6" s="5" customFormat="1" x14ac:dyDescent="0.2">
      <c r="A191" s="5">
        <v>1</v>
      </c>
      <c r="B191" s="5">
        <v>6</v>
      </c>
      <c r="C191" s="5">
        <v>1</v>
      </c>
      <c r="D191" s="5" t="s">
        <v>366</v>
      </c>
      <c r="E191" s="5" t="s">
        <v>143</v>
      </c>
      <c r="F191" s="5" t="s">
        <v>166</v>
      </c>
    </row>
    <row r="192" spans="1:6" s="5" customFormat="1" x14ac:dyDescent="0.2">
      <c r="A192" s="5">
        <v>1</v>
      </c>
      <c r="B192" s="5">
        <v>6</v>
      </c>
      <c r="C192" s="5">
        <v>2</v>
      </c>
      <c r="D192" s="5" t="s">
        <v>367</v>
      </c>
      <c r="E192" s="5" t="s">
        <v>142</v>
      </c>
      <c r="F192" s="5" t="s">
        <v>167</v>
      </c>
    </row>
    <row r="193" spans="1:6" s="5" customFormat="1" x14ac:dyDescent="0.2">
      <c r="A193" s="5">
        <v>1</v>
      </c>
      <c r="B193" s="5">
        <v>6</v>
      </c>
      <c r="C193" s="5">
        <v>2</v>
      </c>
      <c r="D193" s="5" t="s">
        <v>368</v>
      </c>
      <c r="E193" s="5" t="s">
        <v>142</v>
      </c>
      <c r="F193" s="5" t="s">
        <v>167</v>
      </c>
    </row>
    <row r="194" spans="1:6" s="5" customFormat="1" x14ac:dyDescent="0.2">
      <c r="A194" s="5">
        <v>1</v>
      </c>
      <c r="B194" s="5">
        <v>6</v>
      </c>
      <c r="C194" s="5">
        <v>2</v>
      </c>
      <c r="D194" s="5" t="s">
        <v>369</v>
      </c>
      <c r="E194" s="5" t="s">
        <v>142</v>
      </c>
      <c r="F194" s="5" t="s">
        <v>167</v>
      </c>
    </row>
    <row r="195" spans="1:6" s="5" customFormat="1" x14ac:dyDescent="0.2">
      <c r="A195" s="5">
        <v>1</v>
      </c>
      <c r="B195" s="5">
        <v>6</v>
      </c>
      <c r="C195" s="5">
        <v>2</v>
      </c>
      <c r="D195" s="5" t="s">
        <v>370</v>
      </c>
      <c r="E195" s="5" t="s">
        <v>142</v>
      </c>
      <c r="F195" s="5" t="s">
        <v>167</v>
      </c>
    </row>
    <row r="196" spans="1:6" s="5" customFormat="1" x14ac:dyDescent="0.2">
      <c r="A196" s="5">
        <v>1</v>
      </c>
      <c r="B196" s="5">
        <v>6</v>
      </c>
      <c r="C196" s="5">
        <v>2</v>
      </c>
      <c r="D196" s="5" t="s">
        <v>371</v>
      </c>
      <c r="E196" s="5" t="s">
        <v>142</v>
      </c>
      <c r="F196" s="5" t="s">
        <v>167</v>
      </c>
    </row>
    <row r="197" spans="1:6" s="5" customFormat="1" x14ac:dyDescent="0.2">
      <c r="A197" s="5">
        <v>1</v>
      </c>
      <c r="B197" s="5">
        <v>7</v>
      </c>
      <c r="C197" s="5">
        <v>0</v>
      </c>
      <c r="D197" s="5" t="s">
        <v>372</v>
      </c>
      <c r="E197" s="5" t="s">
        <v>145</v>
      </c>
      <c r="F197" s="5" t="s">
        <v>165</v>
      </c>
    </row>
    <row r="198" spans="1:6" s="5" customFormat="1" x14ac:dyDescent="0.2">
      <c r="A198" s="5">
        <v>1</v>
      </c>
      <c r="B198" s="5">
        <v>7</v>
      </c>
      <c r="C198" s="5">
        <v>0</v>
      </c>
      <c r="D198" s="5" t="s">
        <v>373</v>
      </c>
      <c r="E198" s="5" t="s">
        <v>145</v>
      </c>
      <c r="F198" s="5" t="s">
        <v>165</v>
      </c>
    </row>
    <row r="199" spans="1:6" s="5" customFormat="1" x14ac:dyDescent="0.2">
      <c r="A199" s="5">
        <v>1</v>
      </c>
      <c r="B199" s="5">
        <v>7</v>
      </c>
      <c r="C199" s="5">
        <v>0</v>
      </c>
      <c r="D199" s="5" t="s">
        <v>374</v>
      </c>
      <c r="E199" s="5" t="s">
        <v>145</v>
      </c>
      <c r="F199" s="5" t="s">
        <v>165</v>
      </c>
    </row>
    <row r="200" spans="1:6" s="5" customFormat="1" x14ac:dyDescent="0.2">
      <c r="A200" s="5">
        <v>1</v>
      </c>
      <c r="B200" s="5">
        <v>7</v>
      </c>
      <c r="C200" s="5">
        <v>0</v>
      </c>
      <c r="D200" s="5" t="s">
        <v>375</v>
      </c>
      <c r="E200" s="5" t="s">
        <v>145</v>
      </c>
      <c r="F200" s="5" t="s">
        <v>165</v>
      </c>
    </row>
    <row r="201" spans="1:6" s="5" customFormat="1" x14ac:dyDescent="0.2">
      <c r="A201" s="5">
        <v>1</v>
      </c>
      <c r="B201" s="5">
        <v>7</v>
      </c>
      <c r="C201" s="5">
        <v>0</v>
      </c>
      <c r="D201" s="5" t="s">
        <v>376</v>
      </c>
      <c r="E201" s="5" t="s">
        <v>145</v>
      </c>
      <c r="F201" s="5" t="s">
        <v>165</v>
      </c>
    </row>
    <row r="202" spans="1:6" s="5" customFormat="1" x14ac:dyDescent="0.2">
      <c r="A202" s="5">
        <v>1</v>
      </c>
      <c r="B202" s="5">
        <v>7</v>
      </c>
      <c r="C202" s="5">
        <v>1</v>
      </c>
      <c r="D202" s="5" t="s">
        <v>377</v>
      </c>
      <c r="E202" s="5" t="s">
        <v>143</v>
      </c>
      <c r="F202" s="5" t="s">
        <v>166</v>
      </c>
    </row>
    <row r="203" spans="1:6" s="5" customFormat="1" x14ac:dyDescent="0.2">
      <c r="A203" s="5">
        <v>1</v>
      </c>
      <c r="B203" s="5">
        <v>7</v>
      </c>
      <c r="C203" s="5">
        <v>1</v>
      </c>
      <c r="D203" s="5" t="s">
        <v>378</v>
      </c>
      <c r="E203" s="5" t="s">
        <v>143</v>
      </c>
      <c r="F203" s="5" t="s">
        <v>166</v>
      </c>
    </row>
    <row r="204" spans="1:6" s="5" customFormat="1" x14ac:dyDescent="0.2">
      <c r="A204" s="5">
        <v>1</v>
      </c>
      <c r="B204" s="5">
        <v>7</v>
      </c>
      <c r="C204" s="5">
        <v>1</v>
      </c>
      <c r="D204" s="5" t="s">
        <v>379</v>
      </c>
      <c r="E204" s="5" t="s">
        <v>142</v>
      </c>
      <c r="F204" s="5" t="s">
        <v>167</v>
      </c>
    </row>
    <row r="205" spans="1:6" s="5" customFormat="1" x14ac:dyDescent="0.2">
      <c r="A205" s="5">
        <v>1</v>
      </c>
      <c r="B205" s="5">
        <v>7</v>
      </c>
      <c r="C205" s="5">
        <v>1</v>
      </c>
      <c r="D205" s="5" t="s">
        <v>380</v>
      </c>
      <c r="E205" s="5" t="s">
        <v>142</v>
      </c>
      <c r="F205" s="5" t="s">
        <v>167</v>
      </c>
    </row>
    <row r="206" spans="1:6" s="5" customFormat="1" x14ac:dyDescent="0.2">
      <c r="A206" s="5">
        <v>1</v>
      </c>
      <c r="B206" s="5">
        <v>7</v>
      </c>
      <c r="C206" s="5">
        <v>1</v>
      </c>
      <c r="D206" s="5" t="s">
        <v>381</v>
      </c>
      <c r="E206" s="5" t="s">
        <v>142</v>
      </c>
      <c r="F206" s="5" t="s">
        <v>167</v>
      </c>
    </row>
    <row r="207" spans="1:6" s="5" customFormat="1" x14ac:dyDescent="0.2">
      <c r="A207" s="5">
        <v>1</v>
      </c>
      <c r="B207" s="5">
        <v>7</v>
      </c>
      <c r="C207" s="5">
        <v>2</v>
      </c>
      <c r="D207" s="5" t="s">
        <v>382</v>
      </c>
      <c r="E207" s="5" t="s">
        <v>142</v>
      </c>
      <c r="F207" s="5" t="s">
        <v>168</v>
      </c>
    </row>
    <row r="208" spans="1:6" s="5" customFormat="1" x14ac:dyDescent="0.2">
      <c r="A208" s="5">
        <v>1</v>
      </c>
      <c r="B208" s="5">
        <v>7</v>
      </c>
      <c r="C208" s="5">
        <v>2</v>
      </c>
      <c r="D208" s="5" t="s">
        <v>383</v>
      </c>
      <c r="E208" s="5" t="s">
        <v>142</v>
      </c>
      <c r="F208" s="5" t="s">
        <v>168</v>
      </c>
    </row>
    <row r="209" spans="1:6" s="5" customFormat="1" x14ac:dyDescent="0.2">
      <c r="A209" s="5">
        <v>1</v>
      </c>
      <c r="B209" s="5">
        <v>7</v>
      </c>
      <c r="C209" s="5">
        <v>2</v>
      </c>
      <c r="D209" s="5" t="s">
        <v>384</v>
      </c>
      <c r="E209" s="5" t="s">
        <v>142</v>
      </c>
      <c r="F209" s="5" t="s">
        <v>168</v>
      </c>
    </row>
    <row r="210" spans="1:6" s="5" customFormat="1" x14ac:dyDescent="0.2">
      <c r="A210" s="5">
        <v>1</v>
      </c>
      <c r="B210" s="5">
        <v>7</v>
      </c>
      <c r="C210" s="5">
        <v>2</v>
      </c>
      <c r="D210" s="5" t="s">
        <v>385</v>
      </c>
      <c r="E210" s="5" t="s">
        <v>142</v>
      </c>
      <c r="F210" s="5" t="s">
        <v>168</v>
      </c>
    </row>
    <row r="211" spans="1:6" s="5" customFormat="1" x14ac:dyDescent="0.2">
      <c r="A211" s="5">
        <v>1</v>
      </c>
      <c r="B211" s="5">
        <v>7</v>
      </c>
      <c r="C211" s="5">
        <v>2</v>
      </c>
      <c r="D211" s="5" t="s">
        <v>386</v>
      </c>
      <c r="E211" s="5" t="s">
        <v>142</v>
      </c>
      <c r="F211" s="5" t="s">
        <v>168</v>
      </c>
    </row>
    <row r="212" spans="1:6" s="5" customFormat="1" x14ac:dyDescent="0.2">
      <c r="A212" s="5">
        <v>2</v>
      </c>
      <c r="B212" s="5">
        <v>0</v>
      </c>
      <c r="C212" s="5">
        <v>0</v>
      </c>
      <c r="D212" s="5" t="s">
        <v>387</v>
      </c>
      <c r="E212" s="5" t="s">
        <v>142</v>
      </c>
      <c r="F212" s="5" t="s">
        <v>169</v>
      </c>
    </row>
    <row r="213" spans="1:6" s="5" customFormat="1" x14ac:dyDescent="0.2">
      <c r="A213" s="5">
        <v>2</v>
      </c>
      <c r="B213" s="5">
        <v>0</v>
      </c>
      <c r="C213" s="5">
        <v>0</v>
      </c>
      <c r="D213" s="5" t="s">
        <v>388</v>
      </c>
      <c r="E213" s="5" t="s">
        <v>142</v>
      </c>
      <c r="F213" s="5" t="s">
        <v>169</v>
      </c>
    </row>
    <row r="214" spans="1:6" s="5" customFormat="1" x14ac:dyDescent="0.2">
      <c r="A214" s="5">
        <v>2</v>
      </c>
      <c r="B214" s="5">
        <v>0</v>
      </c>
      <c r="C214" s="5">
        <v>0</v>
      </c>
      <c r="D214" s="5" t="s">
        <v>389</v>
      </c>
      <c r="E214" s="5" t="s">
        <v>142</v>
      </c>
      <c r="F214" s="5" t="s">
        <v>169</v>
      </c>
    </row>
    <row r="215" spans="1:6" s="5" customFormat="1" x14ac:dyDescent="0.2">
      <c r="A215" s="5">
        <v>2</v>
      </c>
      <c r="B215" s="5">
        <v>0</v>
      </c>
      <c r="C215" s="5">
        <v>0</v>
      </c>
      <c r="D215" s="5" t="s">
        <v>390</v>
      </c>
      <c r="E215" s="5" t="s">
        <v>142</v>
      </c>
      <c r="F215" s="5" t="s">
        <v>169</v>
      </c>
    </row>
    <row r="216" spans="1:6" s="5" customFormat="1" x14ac:dyDescent="0.2">
      <c r="A216" s="5">
        <v>2</v>
      </c>
      <c r="B216" s="5">
        <v>0</v>
      </c>
      <c r="C216" s="5">
        <v>0</v>
      </c>
      <c r="D216" s="5" t="s">
        <v>391</v>
      </c>
      <c r="E216" s="5" t="s">
        <v>142</v>
      </c>
      <c r="F216" s="5" t="s">
        <v>169</v>
      </c>
    </row>
    <row r="217" spans="1:6" s="5" customFormat="1" x14ac:dyDescent="0.2">
      <c r="A217" s="5">
        <v>2</v>
      </c>
      <c r="B217" s="5">
        <v>0</v>
      </c>
      <c r="C217" s="5">
        <v>1</v>
      </c>
      <c r="D217" s="5" t="s">
        <v>392</v>
      </c>
      <c r="E217" s="5" t="s">
        <v>142</v>
      </c>
      <c r="F217" s="5" t="s">
        <v>164</v>
      </c>
    </row>
    <row r="218" spans="1:6" s="5" customFormat="1" x14ac:dyDescent="0.2">
      <c r="A218" s="5">
        <v>2</v>
      </c>
      <c r="B218" s="5">
        <v>0</v>
      </c>
      <c r="C218" s="5">
        <v>1</v>
      </c>
      <c r="D218" s="5" t="s">
        <v>393</v>
      </c>
      <c r="E218" s="5" t="s">
        <v>142</v>
      </c>
      <c r="F218" s="5" t="s">
        <v>164</v>
      </c>
    </row>
    <row r="219" spans="1:6" s="5" customFormat="1" x14ac:dyDescent="0.2">
      <c r="A219" s="5">
        <v>2</v>
      </c>
      <c r="B219" s="5">
        <v>0</v>
      </c>
      <c r="C219" s="5">
        <v>1</v>
      </c>
      <c r="D219" s="5" t="s">
        <v>394</v>
      </c>
      <c r="E219" s="5" t="s">
        <v>142</v>
      </c>
      <c r="F219" s="5" t="s">
        <v>164</v>
      </c>
    </row>
    <row r="220" spans="1:6" s="5" customFormat="1" x14ac:dyDescent="0.2">
      <c r="A220" s="5">
        <v>2</v>
      </c>
      <c r="B220" s="5">
        <v>0</v>
      </c>
      <c r="C220" s="5">
        <v>1</v>
      </c>
      <c r="D220" s="5" t="s">
        <v>395</v>
      </c>
      <c r="E220" s="5" t="s">
        <v>142</v>
      </c>
      <c r="F220" s="5" t="s">
        <v>164</v>
      </c>
    </row>
    <row r="221" spans="1:6" s="5" customFormat="1" x14ac:dyDescent="0.2">
      <c r="A221" s="5">
        <v>2</v>
      </c>
      <c r="B221" s="5">
        <v>0</v>
      </c>
      <c r="C221" s="5">
        <v>1</v>
      </c>
      <c r="D221" s="5" t="s">
        <v>396</v>
      </c>
      <c r="E221" s="5" t="s">
        <v>142</v>
      </c>
      <c r="F221" s="5" t="s">
        <v>164</v>
      </c>
    </row>
    <row r="222" spans="1:6" s="5" customFormat="1" x14ac:dyDescent="0.2">
      <c r="A222" s="5">
        <v>2</v>
      </c>
      <c r="B222" s="5">
        <v>0</v>
      </c>
      <c r="C222" s="5">
        <v>2</v>
      </c>
      <c r="D222" s="5" t="s">
        <v>397</v>
      </c>
      <c r="E222" s="5" t="s">
        <v>145</v>
      </c>
      <c r="F222" s="5" t="s">
        <v>165</v>
      </c>
    </row>
    <row r="223" spans="1:6" s="5" customFormat="1" x14ac:dyDescent="0.2">
      <c r="A223" s="5">
        <v>2</v>
      </c>
      <c r="B223" s="5">
        <v>0</v>
      </c>
      <c r="C223" s="5">
        <v>2</v>
      </c>
      <c r="D223" s="5" t="s">
        <v>398</v>
      </c>
      <c r="E223" s="5" t="s">
        <v>142</v>
      </c>
      <c r="F223" s="5" t="s">
        <v>167</v>
      </c>
    </row>
    <row r="224" spans="1:6" s="5" customFormat="1" x14ac:dyDescent="0.2">
      <c r="A224" s="5">
        <v>2</v>
      </c>
      <c r="B224" s="5">
        <v>0</v>
      </c>
      <c r="C224" s="5">
        <v>2</v>
      </c>
      <c r="D224" s="5" t="s">
        <v>399</v>
      </c>
      <c r="E224" s="5" t="s">
        <v>142</v>
      </c>
      <c r="F224" s="5" t="s">
        <v>167</v>
      </c>
    </row>
    <row r="225" spans="1:6" s="5" customFormat="1" x14ac:dyDescent="0.2">
      <c r="A225" s="5">
        <v>2</v>
      </c>
      <c r="B225" s="5">
        <v>0</v>
      </c>
      <c r="C225" s="5">
        <v>2</v>
      </c>
      <c r="D225" s="5" t="s">
        <v>400</v>
      </c>
      <c r="E225" s="5" t="s">
        <v>142</v>
      </c>
      <c r="F225" s="5" t="s">
        <v>167</v>
      </c>
    </row>
    <row r="226" spans="1:6" s="5" customFormat="1" x14ac:dyDescent="0.2">
      <c r="A226" s="5">
        <v>2</v>
      </c>
      <c r="B226" s="5">
        <v>0</v>
      </c>
      <c r="C226" s="5">
        <v>2</v>
      </c>
      <c r="D226" s="5" t="s">
        <v>401</v>
      </c>
      <c r="E226" s="5" t="s">
        <v>142</v>
      </c>
      <c r="F226" s="5" t="s">
        <v>167</v>
      </c>
    </row>
    <row r="227" spans="1:6" s="5" customFormat="1" x14ac:dyDescent="0.2">
      <c r="A227" s="5">
        <v>2</v>
      </c>
      <c r="B227" s="5">
        <v>1</v>
      </c>
      <c r="C227" s="5">
        <v>0</v>
      </c>
      <c r="D227" s="5" t="s">
        <v>402</v>
      </c>
      <c r="E227" s="5" t="s">
        <v>142</v>
      </c>
      <c r="F227" s="5" t="s">
        <v>169</v>
      </c>
    </row>
    <row r="228" spans="1:6" s="5" customFormat="1" x14ac:dyDescent="0.2">
      <c r="A228" s="5">
        <v>2</v>
      </c>
      <c r="B228" s="5">
        <v>1</v>
      </c>
      <c r="C228" s="5">
        <v>0</v>
      </c>
      <c r="D228" s="5" t="s">
        <v>403</v>
      </c>
      <c r="E228" s="5" t="s">
        <v>142</v>
      </c>
      <c r="F228" s="5" t="s">
        <v>169</v>
      </c>
    </row>
    <row r="229" spans="1:6" s="5" customFormat="1" x14ac:dyDescent="0.2">
      <c r="A229" s="5">
        <v>2</v>
      </c>
      <c r="B229" s="5">
        <v>1</v>
      </c>
      <c r="C229" s="5">
        <v>0</v>
      </c>
      <c r="D229" s="5" t="s">
        <v>404</v>
      </c>
      <c r="E229" s="5" t="s">
        <v>142</v>
      </c>
      <c r="F229" s="5" t="s">
        <v>169</v>
      </c>
    </row>
    <row r="230" spans="1:6" s="5" customFormat="1" x14ac:dyDescent="0.2">
      <c r="A230" s="5">
        <v>2</v>
      </c>
      <c r="B230" s="5">
        <v>1</v>
      </c>
      <c r="C230" s="5">
        <v>0</v>
      </c>
      <c r="D230" s="5" t="s">
        <v>405</v>
      </c>
      <c r="E230" s="5" t="s">
        <v>142</v>
      </c>
      <c r="F230" s="5" t="s">
        <v>169</v>
      </c>
    </row>
    <row r="231" spans="1:6" s="5" customFormat="1" x14ac:dyDescent="0.2">
      <c r="A231" s="5">
        <v>2</v>
      </c>
      <c r="B231" s="5">
        <v>1</v>
      </c>
      <c r="C231" s="5">
        <v>0</v>
      </c>
      <c r="D231" s="5" t="s">
        <v>406</v>
      </c>
      <c r="E231" s="5" t="s">
        <v>142</v>
      </c>
      <c r="F231" s="5" t="s">
        <v>169</v>
      </c>
    </row>
    <row r="232" spans="1:6" s="5" customFormat="1" x14ac:dyDescent="0.2">
      <c r="A232" s="5">
        <v>2</v>
      </c>
      <c r="B232" s="5">
        <v>1</v>
      </c>
      <c r="C232" s="5">
        <v>1</v>
      </c>
      <c r="D232" s="5" t="s">
        <v>407</v>
      </c>
      <c r="E232" s="5" t="s">
        <v>142</v>
      </c>
      <c r="F232" s="5" t="s">
        <v>164</v>
      </c>
    </row>
    <row r="233" spans="1:6" s="5" customFormat="1" x14ac:dyDescent="0.2">
      <c r="A233" s="5">
        <v>2</v>
      </c>
      <c r="B233" s="5">
        <v>1</v>
      </c>
      <c r="C233" s="5">
        <v>1</v>
      </c>
      <c r="D233" s="5" t="s">
        <v>408</v>
      </c>
      <c r="E233" s="5" t="s">
        <v>142</v>
      </c>
      <c r="F233" s="5" t="s">
        <v>164</v>
      </c>
    </row>
    <row r="234" spans="1:6" s="5" customFormat="1" x14ac:dyDescent="0.2">
      <c r="A234" s="5">
        <v>2</v>
      </c>
      <c r="B234" s="5">
        <v>1</v>
      </c>
      <c r="C234" s="5">
        <v>1</v>
      </c>
      <c r="D234" s="5" t="s">
        <v>409</v>
      </c>
      <c r="E234" s="5" t="s">
        <v>142</v>
      </c>
      <c r="F234" s="5" t="s">
        <v>164</v>
      </c>
    </row>
    <row r="235" spans="1:6" s="5" customFormat="1" x14ac:dyDescent="0.2">
      <c r="A235" s="5">
        <v>2</v>
      </c>
      <c r="B235" s="5">
        <v>1</v>
      </c>
      <c r="C235" s="5">
        <v>1</v>
      </c>
      <c r="D235" s="5" t="s">
        <v>410</v>
      </c>
      <c r="E235" s="5" t="s">
        <v>142</v>
      </c>
      <c r="F235" s="5" t="s">
        <v>164</v>
      </c>
    </row>
    <row r="236" spans="1:6" s="5" customFormat="1" x14ac:dyDescent="0.2">
      <c r="A236" s="5">
        <v>2</v>
      </c>
      <c r="B236" s="5">
        <v>1</v>
      </c>
      <c r="C236" s="5">
        <v>1</v>
      </c>
      <c r="D236" s="5" t="s">
        <v>411</v>
      </c>
      <c r="E236" s="5" t="s">
        <v>142</v>
      </c>
      <c r="F236" s="5" t="s">
        <v>164</v>
      </c>
    </row>
    <row r="237" spans="1:6" s="5" customFormat="1" x14ac:dyDescent="0.2">
      <c r="A237" s="5">
        <v>2</v>
      </c>
      <c r="B237" s="5">
        <v>1</v>
      </c>
      <c r="C237" s="5">
        <v>2</v>
      </c>
      <c r="D237" s="5" t="s">
        <v>412</v>
      </c>
      <c r="E237" s="5" t="s">
        <v>142</v>
      </c>
      <c r="F237" s="5" t="s">
        <v>168</v>
      </c>
    </row>
    <row r="238" spans="1:6" s="5" customFormat="1" x14ac:dyDescent="0.2">
      <c r="A238" s="5">
        <v>2</v>
      </c>
      <c r="B238" s="5">
        <v>1</v>
      </c>
      <c r="C238" s="5">
        <v>2</v>
      </c>
      <c r="D238" s="5" t="s">
        <v>413</v>
      </c>
      <c r="E238" s="5" t="s">
        <v>142</v>
      </c>
      <c r="F238" s="5" t="s">
        <v>168</v>
      </c>
    </row>
    <row r="239" spans="1:6" s="5" customFormat="1" x14ac:dyDescent="0.2">
      <c r="A239" s="5">
        <v>2</v>
      </c>
      <c r="B239" s="5">
        <v>1</v>
      </c>
      <c r="C239" s="5">
        <v>2</v>
      </c>
      <c r="D239" s="5" t="s">
        <v>414</v>
      </c>
      <c r="E239" s="5" t="s">
        <v>142</v>
      </c>
      <c r="F239" s="5" t="s">
        <v>168</v>
      </c>
    </row>
    <row r="240" spans="1:6" s="5" customFormat="1" x14ac:dyDescent="0.2">
      <c r="A240" s="5">
        <v>2</v>
      </c>
      <c r="B240" s="5">
        <v>1</v>
      </c>
      <c r="C240" s="5">
        <v>2</v>
      </c>
      <c r="D240" s="5" t="s">
        <v>415</v>
      </c>
      <c r="E240" s="5" t="s">
        <v>142</v>
      </c>
      <c r="F240" s="5" t="s">
        <v>168</v>
      </c>
    </row>
    <row r="241" spans="1:6" s="5" customFormat="1" x14ac:dyDescent="0.2">
      <c r="A241" s="5">
        <v>2</v>
      </c>
      <c r="B241" s="5">
        <v>1</v>
      </c>
      <c r="C241" s="5">
        <v>2</v>
      </c>
      <c r="D241" s="5" t="s">
        <v>416</v>
      </c>
      <c r="E241" s="5" t="s">
        <v>142</v>
      </c>
      <c r="F241" s="5" t="s">
        <v>168</v>
      </c>
    </row>
    <row r="242" spans="1:6" s="5" customFormat="1" x14ac:dyDescent="0.2">
      <c r="A242" s="5">
        <v>2</v>
      </c>
      <c r="B242" s="5">
        <v>2</v>
      </c>
      <c r="C242" s="5">
        <v>0</v>
      </c>
      <c r="D242" s="5" t="s">
        <v>417</v>
      </c>
      <c r="E242" s="5" t="s">
        <v>142</v>
      </c>
      <c r="F242" s="5" t="s">
        <v>169</v>
      </c>
    </row>
    <row r="243" spans="1:6" s="5" customFormat="1" x14ac:dyDescent="0.2">
      <c r="A243" s="5">
        <v>2</v>
      </c>
      <c r="B243" s="5">
        <v>2</v>
      </c>
      <c r="C243" s="5">
        <v>0</v>
      </c>
      <c r="D243" s="5" t="s">
        <v>418</v>
      </c>
      <c r="E243" s="5" t="s">
        <v>143</v>
      </c>
      <c r="F243" s="5" t="s">
        <v>169</v>
      </c>
    </row>
    <row r="244" spans="1:6" s="5" customFormat="1" x14ac:dyDescent="0.2">
      <c r="A244" s="5">
        <v>2</v>
      </c>
      <c r="B244" s="5">
        <v>2</v>
      </c>
      <c r="C244" s="5">
        <v>0</v>
      </c>
      <c r="D244" s="5" t="s">
        <v>419</v>
      </c>
      <c r="E244" s="5" t="s">
        <v>143</v>
      </c>
      <c r="F244" s="5" t="s">
        <v>169</v>
      </c>
    </row>
    <row r="245" spans="1:6" s="5" customFormat="1" x14ac:dyDescent="0.2">
      <c r="A245" s="5">
        <v>2</v>
      </c>
      <c r="B245" s="5">
        <v>2</v>
      </c>
      <c r="C245" s="5">
        <v>0</v>
      </c>
      <c r="D245" s="5" t="s">
        <v>420</v>
      </c>
      <c r="E245" s="5" t="s">
        <v>143</v>
      </c>
      <c r="F245" s="5" t="s">
        <v>169</v>
      </c>
    </row>
    <row r="246" spans="1:6" s="5" customFormat="1" x14ac:dyDescent="0.2">
      <c r="A246" s="5">
        <v>2</v>
      </c>
      <c r="B246" s="5">
        <v>2</v>
      </c>
      <c r="C246" s="5">
        <v>0</v>
      </c>
      <c r="D246" s="5" t="s">
        <v>421</v>
      </c>
      <c r="E246" s="5" t="s">
        <v>143</v>
      </c>
      <c r="F246" s="5" t="s">
        <v>169</v>
      </c>
    </row>
    <row r="247" spans="1:6" s="5" customFormat="1" x14ac:dyDescent="0.2">
      <c r="A247" s="5">
        <v>2</v>
      </c>
      <c r="B247" s="5">
        <v>2</v>
      </c>
      <c r="C247" s="5">
        <v>1</v>
      </c>
      <c r="D247" s="5" t="s">
        <v>422</v>
      </c>
      <c r="E247" s="5" t="s">
        <v>142</v>
      </c>
      <c r="F247" s="5" t="s">
        <v>168</v>
      </c>
    </row>
    <row r="248" spans="1:6" s="5" customFormat="1" x14ac:dyDescent="0.2">
      <c r="A248" s="5">
        <v>2</v>
      </c>
      <c r="B248" s="5">
        <v>2</v>
      </c>
      <c r="C248" s="5">
        <v>1</v>
      </c>
      <c r="D248" s="5" t="s">
        <v>423</v>
      </c>
      <c r="E248" s="5" t="s">
        <v>142</v>
      </c>
      <c r="F248" s="5" t="s">
        <v>168</v>
      </c>
    </row>
    <row r="249" spans="1:6" s="5" customFormat="1" x14ac:dyDescent="0.2">
      <c r="A249" s="5">
        <v>2</v>
      </c>
      <c r="B249" s="5">
        <v>2</v>
      </c>
      <c r="C249" s="5">
        <v>1</v>
      </c>
      <c r="D249" s="5" t="s">
        <v>424</v>
      </c>
      <c r="E249" s="5" t="s">
        <v>142</v>
      </c>
      <c r="F249" s="5" t="s">
        <v>168</v>
      </c>
    </row>
    <row r="250" spans="1:6" s="5" customFormat="1" x14ac:dyDescent="0.2">
      <c r="A250" s="5">
        <v>2</v>
      </c>
      <c r="B250" s="5">
        <v>2</v>
      </c>
      <c r="C250" s="5">
        <v>1</v>
      </c>
      <c r="D250" s="5" t="s">
        <v>425</v>
      </c>
      <c r="E250" s="5" t="s">
        <v>142</v>
      </c>
      <c r="F250" s="5" t="s">
        <v>168</v>
      </c>
    </row>
    <row r="251" spans="1:6" s="5" customFormat="1" x14ac:dyDescent="0.2">
      <c r="A251" s="5">
        <v>2</v>
      </c>
      <c r="B251" s="5">
        <v>2</v>
      </c>
      <c r="C251" s="5">
        <v>1</v>
      </c>
      <c r="D251" s="5" t="s">
        <v>426</v>
      </c>
      <c r="E251" s="5" t="s">
        <v>142</v>
      </c>
      <c r="F251" s="5" t="s">
        <v>168</v>
      </c>
    </row>
    <row r="252" spans="1:6" s="5" customFormat="1" x14ac:dyDescent="0.2">
      <c r="A252" s="5">
        <v>2</v>
      </c>
      <c r="B252" s="5">
        <v>3</v>
      </c>
      <c r="C252" s="5">
        <v>0</v>
      </c>
      <c r="D252" s="5" t="s">
        <v>427</v>
      </c>
      <c r="E252" s="5" t="s">
        <v>143</v>
      </c>
      <c r="F252" s="5" t="s">
        <v>169</v>
      </c>
    </row>
    <row r="253" spans="1:6" s="5" customFormat="1" x14ac:dyDescent="0.2">
      <c r="A253" s="5">
        <v>2</v>
      </c>
      <c r="B253" s="5">
        <v>3</v>
      </c>
      <c r="C253" s="5">
        <v>0</v>
      </c>
      <c r="D253" s="5" t="s">
        <v>428</v>
      </c>
      <c r="E253" s="5" t="s">
        <v>143</v>
      </c>
      <c r="F253" s="5" t="s">
        <v>168</v>
      </c>
    </row>
    <row r="254" spans="1:6" s="5" customFormat="1" x14ac:dyDescent="0.2">
      <c r="A254" s="5">
        <v>2</v>
      </c>
      <c r="B254" s="5">
        <v>3</v>
      </c>
      <c r="C254" s="5">
        <v>0</v>
      </c>
      <c r="D254" s="5" t="s">
        <v>429</v>
      </c>
      <c r="E254" s="5" t="s">
        <v>144</v>
      </c>
      <c r="F254" s="5" t="s">
        <v>168</v>
      </c>
    </row>
    <row r="255" spans="1:6" s="5" customFormat="1" x14ac:dyDescent="0.2">
      <c r="A255" s="5">
        <v>3</v>
      </c>
      <c r="B255" s="5">
        <v>5</v>
      </c>
      <c r="C255" s="5">
        <v>0</v>
      </c>
      <c r="D255" s="5" t="s">
        <v>430</v>
      </c>
      <c r="E255" s="5" t="s">
        <v>142</v>
      </c>
      <c r="F255" s="5" t="s">
        <v>170</v>
      </c>
    </row>
    <row r="256" spans="1:6" s="5" customFormat="1" x14ac:dyDescent="0.2">
      <c r="A256" s="5">
        <v>3</v>
      </c>
      <c r="B256" s="5">
        <v>5</v>
      </c>
      <c r="C256" s="5">
        <v>0</v>
      </c>
      <c r="D256" s="5" t="s">
        <v>431</v>
      </c>
      <c r="E256" s="5" t="s">
        <v>142</v>
      </c>
      <c r="F256" s="5" t="s">
        <v>170</v>
      </c>
    </row>
    <row r="257" spans="1:6" s="5" customFormat="1" x14ac:dyDescent="0.2">
      <c r="A257" s="5">
        <v>3</v>
      </c>
      <c r="B257" s="5">
        <v>5</v>
      </c>
      <c r="C257" s="5">
        <v>0</v>
      </c>
      <c r="D257" s="5" t="s">
        <v>432</v>
      </c>
      <c r="E257" s="5" t="s">
        <v>142</v>
      </c>
      <c r="F257" s="5" t="s">
        <v>170</v>
      </c>
    </row>
    <row r="258" spans="1:6" s="5" customFormat="1" x14ac:dyDescent="0.2">
      <c r="A258" s="5">
        <v>3</v>
      </c>
      <c r="B258" s="5">
        <v>5</v>
      </c>
      <c r="C258" s="5">
        <v>0</v>
      </c>
      <c r="D258" s="5" t="s">
        <v>433</v>
      </c>
      <c r="E258" s="5" t="s">
        <v>142</v>
      </c>
      <c r="F258" s="5" t="s">
        <v>170</v>
      </c>
    </row>
    <row r="259" spans="1:6" s="5" customFormat="1" x14ac:dyDescent="0.2">
      <c r="A259" s="5">
        <v>3</v>
      </c>
      <c r="B259" s="5">
        <v>5</v>
      </c>
      <c r="C259" s="5">
        <v>0</v>
      </c>
      <c r="D259" s="5" t="s">
        <v>434</v>
      </c>
      <c r="E259" s="5" t="s">
        <v>142</v>
      </c>
      <c r="F259" s="5" t="s">
        <v>170</v>
      </c>
    </row>
    <row r="260" spans="1:6" s="5" customFormat="1" x14ac:dyDescent="0.2">
      <c r="A260" s="5">
        <v>3</v>
      </c>
      <c r="B260" s="5">
        <v>6</v>
      </c>
      <c r="C260" s="5">
        <v>0</v>
      </c>
      <c r="D260" s="5" t="s">
        <v>435</v>
      </c>
      <c r="E260" s="5" t="s">
        <v>142</v>
      </c>
      <c r="F260" s="5" t="s">
        <v>170</v>
      </c>
    </row>
    <row r="261" spans="1:6" s="5" customFormat="1" x14ac:dyDescent="0.2">
      <c r="A261" s="5">
        <v>3</v>
      </c>
      <c r="B261" s="5">
        <v>6</v>
      </c>
      <c r="C261" s="5">
        <v>0</v>
      </c>
      <c r="D261" s="5" t="s">
        <v>436</v>
      </c>
      <c r="E261" s="5" t="s">
        <v>142</v>
      </c>
      <c r="F261" s="5" t="s">
        <v>170</v>
      </c>
    </row>
    <row r="262" spans="1:6" s="5" customFormat="1" x14ac:dyDescent="0.2">
      <c r="A262" s="5">
        <v>3</v>
      </c>
      <c r="B262" s="5">
        <v>6</v>
      </c>
      <c r="C262" s="5">
        <v>0</v>
      </c>
      <c r="D262" s="5" t="s">
        <v>437</v>
      </c>
      <c r="E262" s="5" t="s">
        <v>143</v>
      </c>
      <c r="F262" s="5" t="s">
        <v>170</v>
      </c>
    </row>
    <row r="263" spans="1:6" s="5" customFormat="1" x14ac:dyDescent="0.2">
      <c r="A263" s="5">
        <v>4</v>
      </c>
      <c r="B263" s="5" t="s">
        <v>171</v>
      </c>
      <c r="C263" s="5" t="s">
        <v>171</v>
      </c>
      <c r="D263" s="5" t="s">
        <v>171</v>
      </c>
      <c r="E263" s="5" t="s">
        <v>171</v>
      </c>
      <c r="F263" s="5" t="s">
        <v>171</v>
      </c>
    </row>
    <row r="264" spans="1:6" s="5" customFormat="1" x14ac:dyDescent="0.2">
      <c r="A264" s="5">
        <v>5</v>
      </c>
      <c r="B264" s="5">
        <v>0</v>
      </c>
      <c r="C264" s="5">
        <v>0</v>
      </c>
      <c r="D264" s="5" t="s">
        <v>438</v>
      </c>
      <c r="E264" s="5" t="s">
        <v>142</v>
      </c>
      <c r="F264" s="5" t="s">
        <v>172</v>
      </c>
    </row>
    <row r="265" spans="1:6" s="5" customFormat="1" x14ac:dyDescent="0.2">
      <c r="A265" s="5">
        <v>5</v>
      </c>
      <c r="B265" s="5">
        <v>0</v>
      </c>
      <c r="C265" s="5">
        <v>0</v>
      </c>
      <c r="D265" s="5" t="s">
        <v>439</v>
      </c>
      <c r="E265" s="5" t="s">
        <v>142</v>
      </c>
      <c r="F265" s="5" t="s">
        <v>172</v>
      </c>
    </row>
    <row r="266" spans="1:6" s="5" customFormat="1" x14ac:dyDescent="0.2">
      <c r="A266" s="5">
        <v>5</v>
      </c>
      <c r="B266" s="5">
        <v>0</v>
      </c>
      <c r="C266" s="5">
        <v>0</v>
      </c>
      <c r="D266" s="5" t="s">
        <v>440</v>
      </c>
      <c r="E266" s="5" t="s">
        <v>142</v>
      </c>
      <c r="F266" s="5" t="s">
        <v>172</v>
      </c>
    </row>
    <row r="267" spans="1:6" s="5" customFormat="1" x14ac:dyDescent="0.2">
      <c r="A267" s="5">
        <v>5</v>
      </c>
      <c r="B267" s="5">
        <v>0</v>
      </c>
      <c r="C267" s="5">
        <v>0</v>
      </c>
      <c r="D267" s="5" t="s">
        <v>441</v>
      </c>
      <c r="E267" s="5" t="s">
        <v>142</v>
      </c>
      <c r="F267" s="5" t="s">
        <v>172</v>
      </c>
    </row>
    <row r="268" spans="1:6" s="5" customFormat="1" x14ac:dyDescent="0.2">
      <c r="A268" s="5">
        <v>5</v>
      </c>
      <c r="B268" s="5">
        <v>0</v>
      </c>
      <c r="C268" s="5">
        <v>0</v>
      </c>
      <c r="D268" s="5" t="s">
        <v>442</v>
      </c>
      <c r="E268" s="5" t="s">
        <v>142</v>
      </c>
      <c r="F268" s="5" t="s">
        <v>172</v>
      </c>
    </row>
    <row r="269" spans="1:6" s="5" customFormat="1" x14ac:dyDescent="0.2">
      <c r="A269" s="5">
        <v>5</v>
      </c>
      <c r="B269" s="5">
        <v>0</v>
      </c>
      <c r="C269" s="5">
        <v>1</v>
      </c>
      <c r="D269" s="5" t="s">
        <v>443</v>
      </c>
      <c r="E269" s="5" t="s">
        <v>142</v>
      </c>
      <c r="F269" s="5" t="s">
        <v>158</v>
      </c>
    </row>
    <row r="270" spans="1:6" s="5" customFormat="1" x14ac:dyDescent="0.2">
      <c r="A270" s="5">
        <v>5</v>
      </c>
      <c r="B270" s="5">
        <v>0</v>
      </c>
      <c r="C270" s="5">
        <v>1</v>
      </c>
      <c r="D270" s="5" t="s">
        <v>444</v>
      </c>
      <c r="E270" s="5" t="s">
        <v>142</v>
      </c>
      <c r="F270" s="5" t="s">
        <v>158</v>
      </c>
    </row>
    <row r="271" spans="1:6" s="5" customFormat="1" x14ac:dyDescent="0.2">
      <c r="A271" s="5">
        <v>5</v>
      </c>
      <c r="B271" s="5">
        <v>0</v>
      </c>
      <c r="C271" s="5">
        <v>1</v>
      </c>
      <c r="D271" s="5" t="s">
        <v>445</v>
      </c>
      <c r="E271" s="5" t="s">
        <v>142</v>
      </c>
      <c r="F271" s="5" t="s">
        <v>158</v>
      </c>
    </row>
    <row r="272" spans="1:6" s="5" customFormat="1" x14ac:dyDescent="0.2">
      <c r="A272" s="5">
        <v>5</v>
      </c>
      <c r="B272" s="5">
        <v>0</v>
      </c>
      <c r="C272" s="5">
        <v>1</v>
      </c>
      <c r="D272" s="5" t="s">
        <v>446</v>
      </c>
      <c r="E272" s="5" t="s">
        <v>142</v>
      </c>
      <c r="F272" s="5" t="s">
        <v>158</v>
      </c>
    </row>
    <row r="273" spans="1:6" s="5" customFormat="1" x14ac:dyDescent="0.2">
      <c r="A273" s="5">
        <v>5</v>
      </c>
      <c r="B273" s="5">
        <v>0</v>
      </c>
      <c r="C273" s="5">
        <v>1</v>
      </c>
      <c r="D273" s="5" t="s">
        <v>447</v>
      </c>
      <c r="E273" s="5" t="s">
        <v>142</v>
      </c>
      <c r="F273" s="5" t="s">
        <v>158</v>
      </c>
    </row>
    <row r="274" spans="1:6" s="5" customFormat="1" x14ac:dyDescent="0.2">
      <c r="A274" s="5">
        <v>5</v>
      </c>
      <c r="B274" s="5">
        <v>1</v>
      </c>
      <c r="C274" s="5">
        <v>0</v>
      </c>
      <c r="D274" s="5" t="s">
        <v>448</v>
      </c>
      <c r="E274" s="5" t="s">
        <v>142</v>
      </c>
      <c r="F274" s="5" t="s">
        <v>172</v>
      </c>
    </row>
    <row r="275" spans="1:6" s="5" customFormat="1" x14ac:dyDescent="0.2">
      <c r="A275" s="5">
        <v>5</v>
      </c>
      <c r="B275" s="5">
        <v>1</v>
      </c>
      <c r="C275" s="5">
        <v>0</v>
      </c>
      <c r="D275" s="5" t="s">
        <v>449</v>
      </c>
      <c r="E275" s="5" t="s">
        <v>142</v>
      </c>
      <c r="F275" s="5" t="s">
        <v>172</v>
      </c>
    </row>
    <row r="276" spans="1:6" s="5" customFormat="1" x14ac:dyDescent="0.2">
      <c r="A276" s="5">
        <v>5</v>
      </c>
      <c r="B276" s="5">
        <v>1</v>
      </c>
      <c r="C276" s="5">
        <v>0</v>
      </c>
      <c r="D276" s="5" t="s">
        <v>450</v>
      </c>
      <c r="E276" s="5" t="s">
        <v>142</v>
      </c>
      <c r="F276" s="5" t="s">
        <v>172</v>
      </c>
    </row>
    <row r="277" spans="1:6" s="5" customFormat="1" x14ac:dyDescent="0.2">
      <c r="A277" s="5">
        <v>5</v>
      </c>
      <c r="B277" s="5">
        <v>1</v>
      </c>
      <c r="C277" s="5">
        <v>0</v>
      </c>
      <c r="D277" s="5" t="s">
        <v>451</v>
      </c>
      <c r="E277" s="5" t="s">
        <v>142</v>
      </c>
      <c r="F277" s="5" t="s">
        <v>172</v>
      </c>
    </row>
    <row r="278" spans="1:6" s="5" customFormat="1" x14ac:dyDescent="0.2">
      <c r="A278" s="5">
        <v>5</v>
      </c>
      <c r="B278" s="5">
        <v>1</v>
      </c>
      <c r="C278" s="5">
        <v>0</v>
      </c>
      <c r="D278" s="5" t="s">
        <v>452</v>
      </c>
      <c r="E278" s="5" t="s">
        <v>142</v>
      </c>
      <c r="F278" s="5" t="s">
        <v>172</v>
      </c>
    </row>
    <row r="279" spans="1:6" s="5" customFormat="1" x14ac:dyDescent="0.2">
      <c r="A279" s="5">
        <v>5</v>
      </c>
      <c r="B279" s="5">
        <v>1</v>
      </c>
      <c r="C279" s="5">
        <v>1</v>
      </c>
      <c r="D279" s="5" t="s">
        <v>453</v>
      </c>
      <c r="E279" s="5" t="s">
        <v>142</v>
      </c>
      <c r="F279" s="5" t="s">
        <v>158</v>
      </c>
    </row>
    <row r="280" spans="1:6" s="5" customFormat="1" x14ac:dyDescent="0.2">
      <c r="A280" s="5">
        <v>5</v>
      </c>
      <c r="B280" s="5">
        <v>1</v>
      </c>
      <c r="C280" s="5">
        <v>1</v>
      </c>
      <c r="D280" s="5" t="s">
        <v>454</v>
      </c>
      <c r="E280" s="5" t="s">
        <v>142</v>
      </c>
      <c r="F280" s="5" t="s">
        <v>158</v>
      </c>
    </row>
    <row r="281" spans="1:6" s="5" customFormat="1" x14ac:dyDescent="0.2">
      <c r="A281" s="5">
        <v>5</v>
      </c>
      <c r="B281" s="5">
        <v>1</v>
      </c>
      <c r="C281" s="5">
        <v>1</v>
      </c>
      <c r="D281" s="5" t="s">
        <v>455</v>
      </c>
      <c r="E281" s="5" t="s">
        <v>142</v>
      </c>
      <c r="F281" s="5" t="s">
        <v>158</v>
      </c>
    </row>
    <row r="282" spans="1:6" s="5" customFormat="1" x14ac:dyDescent="0.2">
      <c r="A282" s="5">
        <v>5</v>
      </c>
      <c r="B282" s="5">
        <v>1</v>
      </c>
      <c r="C282" s="5">
        <v>1</v>
      </c>
      <c r="D282" s="5" t="s">
        <v>456</v>
      </c>
      <c r="E282" s="5" t="s">
        <v>142</v>
      </c>
      <c r="F282" s="5" t="s">
        <v>158</v>
      </c>
    </row>
    <row r="283" spans="1:6" s="5" customFormat="1" x14ac:dyDescent="0.2">
      <c r="A283" s="5">
        <v>5</v>
      </c>
      <c r="B283" s="5">
        <v>1</v>
      </c>
      <c r="C283" s="5">
        <v>1</v>
      </c>
      <c r="D283" s="5" t="s">
        <v>457</v>
      </c>
      <c r="E283" s="5" t="s">
        <v>142</v>
      </c>
      <c r="F283" s="5" t="s">
        <v>158</v>
      </c>
    </row>
    <row r="284" spans="1:6" s="5" customFormat="1" x14ac:dyDescent="0.2">
      <c r="A284" s="5">
        <v>5</v>
      </c>
      <c r="B284" s="5">
        <v>2</v>
      </c>
      <c r="C284" s="5">
        <v>0</v>
      </c>
      <c r="D284" s="5" t="s">
        <v>458</v>
      </c>
      <c r="E284" s="5" t="s">
        <v>142</v>
      </c>
      <c r="F284" s="5" t="s">
        <v>172</v>
      </c>
    </row>
    <row r="285" spans="1:6" s="5" customFormat="1" x14ac:dyDescent="0.2">
      <c r="A285" s="5">
        <v>5</v>
      </c>
      <c r="B285" s="5">
        <v>2</v>
      </c>
      <c r="C285" s="5">
        <v>0</v>
      </c>
      <c r="D285" s="5" t="s">
        <v>459</v>
      </c>
      <c r="E285" s="5" t="s">
        <v>142</v>
      </c>
      <c r="F285" s="5" t="s">
        <v>172</v>
      </c>
    </row>
    <row r="286" spans="1:6" s="5" customFormat="1" x14ac:dyDescent="0.2">
      <c r="A286" s="5">
        <v>5</v>
      </c>
      <c r="B286" s="5">
        <v>2</v>
      </c>
      <c r="C286" s="5">
        <v>0</v>
      </c>
      <c r="D286" s="5" t="s">
        <v>460</v>
      </c>
      <c r="E286" s="5" t="s">
        <v>142</v>
      </c>
      <c r="F286" s="5" t="s">
        <v>172</v>
      </c>
    </row>
    <row r="287" spans="1:6" s="5" customFormat="1" x14ac:dyDescent="0.2">
      <c r="A287" s="5">
        <v>5</v>
      </c>
      <c r="B287" s="5">
        <v>2</v>
      </c>
      <c r="C287" s="5">
        <v>0</v>
      </c>
      <c r="D287" s="5" t="s">
        <v>461</v>
      </c>
      <c r="E287" s="5" t="s">
        <v>142</v>
      </c>
      <c r="F287" s="5" t="s">
        <v>172</v>
      </c>
    </row>
    <row r="288" spans="1:6" s="5" customFormat="1" x14ac:dyDescent="0.2">
      <c r="A288" s="5">
        <v>5</v>
      </c>
      <c r="B288" s="5">
        <v>2</v>
      </c>
      <c r="C288" s="5">
        <v>0</v>
      </c>
      <c r="D288" s="5" t="s">
        <v>462</v>
      </c>
      <c r="E288" s="5" t="s">
        <v>142</v>
      </c>
      <c r="F288" s="5" t="s">
        <v>172</v>
      </c>
    </row>
    <row r="289" spans="1:6" s="5" customFormat="1" x14ac:dyDescent="0.2">
      <c r="A289" s="5">
        <v>5</v>
      </c>
      <c r="B289" s="5">
        <v>2</v>
      </c>
      <c r="C289" s="5">
        <v>1</v>
      </c>
      <c r="D289" s="5" t="s">
        <v>463</v>
      </c>
      <c r="E289" s="5" t="s">
        <v>142</v>
      </c>
      <c r="F289" s="5" t="s">
        <v>158</v>
      </c>
    </row>
    <row r="290" spans="1:6" s="5" customFormat="1" x14ac:dyDescent="0.2">
      <c r="A290" s="5">
        <v>5</v>
      </c>
      <c r="B290" s="5">
        <v>3</v>
      </c>
      <c r="C290" s="5">
        <v>0</v>
      </c>
      <c r="D290" s="5" t="s">
        <v>464</v>
      </c>
      <c r="E290" s="5" t="s">
        <v>142</v>
      </c>
      <c r="F290" s="5" t="s">
        <v>172</v>
      </c>
    </row>
    <row r="291" spans="1:6" s="5" customFormat="1" x14ac:dyDescent="0.2">
      <c r="A291" s="5">
        <v>6</v>
      </c>
      <c r="B291" s="5">
        <v>0</v>
      </c>
      <c r="C291" s="5">
        <v>0</v>
      </c>
      <c r="D291" s="5" t="s">
        <v>465</v>
      </c>
      <c r="E291" s="5" t="s">
        <v>143</v>
      </c>
      <c r="F291" s="5" t="s">
        <v>173</v>
      </c>
    </row>
    <row r="292" spans="1:6" s="5" customFormat="1" x14ac:dyDescent="0.2">
      <c r="A292" s="5">
        <v>6</v>
      </c>
      <c r="B292" s="5">
        <v>0</v>
      </c>
      <c r="C292" s="5">
        <v>0</v>
      </c>
      <c r="D292" s="5" t="s">
        <v>466</v>
      </c>
      <c r="E292" s="5" t="s">
        <v>143</v>
      </c>
      <c r="F292" s="5" t="s">
        <v>173</v>
      </c>
    </row>
    <row r="293" spans="1:6" s="5" customFormat="1" x14ac:dyDescent="0.2">
      <c r="A293" s="5">
        <v>6</v>
      </c>
      <c r="B293" s="5">
        <v>0</v>
      </c>
      <c r="C293" s="5">
        <v>0</v>
      </c>
      <c r="D293" s="5" t="s">
        <v>467</v>
      </c>
      <c r="E293" s="5" t="s">
        <v>143</v>
      </c>
      <c r="F293" s="5" t="s">
        <v>173</v>
      </c>
    </row>
    <row r="294" spans="1:6" s="5" customFormat="1" x14ac:dyDescent="0.2">
      <c r="A294" s="5">
        <v>6</v>
      </c>
      <c r="B294" s="5">
        <v>0</v>
      </c>
      <c r="C294" s="5">
        <v>0</v>
      </c>
      <c r="D294" s="5" t="s">
        <v>468</v>
      </c>
      <c r="E294" s="5" t="s">
        <v>143</v>
      </c>
      <c r="F294" s="5" t="s">
        <v>173</v>
      </c>
    </row>
    <row r="295" spans="1:6" s="5" customFormat="1" x14ac:dyDescent="0.2">
      <c r="A295" s="5">
        <v>6</v>
      </c>
      <c r="B295" s="5">
        <v>0</v>
      </c>
      <c r="C295" s="5">
        <v>0</v>
      </c>
      <c r="D295" s="5" t="s">
        <v>469</v>
      </c>
      <c r="E295" s="5" t="s">
        <v>143</v>
      </c>
      <c r="F295" s="5" t="s">
        <v>173</v>
      </c>
    </row>
    <row r="296" spans="1:6" s="5" customFormat="1" x14ac:dyDescent="0.2">
      <c r="A296" s="5">
        <v>6</v>
      </c>
      <c r="B296" s="5">
        <v>0</v>
      </c>
      <c r="C296" s="5">
        <v>1</v>
      </c>
      <c r="D296" s="5" t="s">
        <v>470</v>
      </c>
      <c r="E296" s="5" t="s">
        <v>142</v>
      </c>
      <c r="F296" s="5" t="s">
        <v>174</v>
      </c>
    </row>
    <row r="297" spans="1:6" s="5" customFormat="1" x14ac:dyDescent="0.2">
      <c r="A297" s="5">
        <v>6</v>
      </c>
      <c r="B297" s="5">
        <v>0</v>
      </c>
      <c r="C297" s="5">
        <v>1</v>
      </c>
      <c r="D297" s="5" t="s">
        <v>471</v>
      </c>
      <c r="E297" s="5" t="s">
        <v>142</v>
      </c>
      <c r="F297" s="5" t="s">
        <v>174</v>
      </c>
    </row>
    <row r="298" spans="1:6" s="5" customFormat="1" x14ac:dyDescent="0.2">
      <c r="A298" s="5">
        <v>6</v>
      </c>
      <c r="B298" s="5">
        <v>0</v>
      </c>
      <c r="C298" s="5">
        <v>1</v>
      </c>
      <c r="D298" s="5" t="s">
        <v>472</v>
      </c>
      <c r="E298" s="5" t="s">
        <v>142</v>
      </c>
      <c r="F298" s="5" t="s">
        <v>174</v>
      </c>
    </row>
    <row r="299" spans="1:6" s="5" customFormat="1" x14ac:dyDescent="0.2">
      <c r="A299" s="5">
        <v>6</v>
      </c>
      <c r="B299" s="5">
        <v>0</v>
      </c>
      <c r="C299" s="5">
        <v>1</v>
      </c>
      <c r="D299" s="5" t="s">
        <v>473</v>
      </c>
      <c r="E299" s="5" t="s">
        <v>142</v>
      </c>
      <c r="F299" s="5" t="s">
        <v>174</v>
      </c>
    </row>
    <row r="300" spans="1:6" s="5" customFormat="1" x14ac:dyDescent="0.2">
      <c r="A300" s="5">
        <v>6</v>
      </c>
      <c r="B300" s="5">
        <v>0</v>
      </c>
      <c r="C300" s="5">
        <v>1</v>
      </c>
      <c r="D300" s="5" t="s">
        <v>474</v>
      </c>
      <c r="E300" s="5" t="s">
        <v>142</v>
      </c>
      <c r="F300" s="5" t="s">
        <v>174</v>
      </c>
    </row>
    <row r="301" spans="1:6" s="5" customFormat="1" x14ac:dyDescent="0.2">
      <c r="A301" s="5">
        <v>6</v>
      </c>
      <c r="B301" s="5">
        <v>0</v>
      </c>
      <c r="C301" s="5">
        <v>2</v>
      </c>
      <c r="D301" s="5" t="s">
        <v>475</v>
      </c>
      <c r="E301" s="5" t="s">
        <v>143</v>
      </c>
      <c r="F301" s="5" t="s">
        <v>175</v>
      </c>
    </row>
    <row r="302" spans="1:6" s="5" customFormat="1" x14ac:dyDescent="0.2">
      <c r="A302" s="5">
        <v>6</v>
      </c>
      <c r="B302" s="5">
        <v>0</v>
      </c>
      <c r="C302" s="5">
        <v>2</v>
      </c>
      <c r="D302" s="5" t="s">
        <v>476</v>
      </c>
      <c r="E302" s="5" t="s">
        <v>143</v>
      </c>
      <c r="F302" s="5" t="s">
        <v>175</v>
      </c>
    </row>
    <row r="303" spans="1:6" s="5" customFormat="1" x14ac:dyDescent="0.2">
      <c r="A303" s="5">
        <v>6</v>
      </c>
      <c r="B303" s="5">
        <v>0</v>
      </c>
      <c r="C303" s="5">
        <v>2</v>
      </c>
      <c r="D303" s="5" t="s">
        <v>477</v>
      </c>
      <c r="E303" s="5" t="s">
        <v>143</v>
      </c>
      <c r="F303" s="5" t="s">
        <v>175</v>
      </c>
    </row>
    <row r="304" spans="1:6" s="5" customFormat="1" x14ac:dyDescent="0.2">
      <c r="A304" s="5">
        <v>6</v>
      </c>
      <c r="B304" s="5">
        <v>0</v>
      </c>
      <c r="C304" s="5">
        <v>2</v>
      </c>
      <c r="D304" s="5" t="s">
        <v>478</v>
      </c>
      <c r="E304" s="5" t="s">
        <v>143</v>
      </c>
      <c r="F304" s="5" t="s">
        <v>175</v>
      </c>
    </row>
    <row r="305" spans="1:6" s="5" customFormat="1" x14ac:dyDescent="0.2">
      <c r="A305" s="5">
        <v>6</v>
      </c>
      <c r="B305" s="5">
        <v>0</v>
      </c>
      <c r="C305" s="5">
        <v>2</v>
      </c>
      <c r="D305" s="5" t="s">
        <v>479</v>
      </c>
      <c r="E305" s="5" t="s">
        <v>143</v>
      </c>
      <c r="F305" s="5" t="s">
        <v>175</v>
      </c>
    </row>
    <row r="306" spans="1:6" s="5" customFormat="1" x14ac:dyDescent="0.2">
      <c r="A306" s="5">
        <v>6</v>
      </c>
      <c r="B306" s="5">
        <v>1</v>
      </c>
      <c r="C306" s="5">
        <v>0</v>
      </c>
      <c r="D306" s="5" t="s">
        <v>480</v>
      </c>
      <c r="E306" s="5" t="s">
        <v>143</v>
      </c>
      <c r="F306" s="5" t="s">
        <v>173</v>
      </c>
    </row>
    <row r="307" spans="1:6" s="5" customFormat="1" x14ac:dyDescent="0.2">
      <c r="A307" s="5">
        <v>6</v>
      </c>
      <c r="B307" s="5">
        <v>1</v>
      </c>
      <c r="C307" s="5">
        <v>0</v>
      </c>
      <c r="D307" s="5" t="s">
        <v>481</v>
      </c>
      <c r="E307" s="5" t="s">
        <v>143</v>
      </c>
      <c r="F307" s="5" t="s">
        <v>173</v>
      </c>
    </row>
    <row r="308" spans="1:6" s="5" customFormat="1" x14ac:dyDescent="0.2">
      <c r="A308" s="5">
        <v>6</v>
      </c>
      <c r="B308" s="5">
        <v>1</v>
      </c>
      <c r="C308" s="5">
        <v>0</v>
      </c>
      <c r="D308" s="5" t="s">
        <v>482</v>
      </c>
      <c r="E308" s="5" t="s">
        <v>143</v>
      </c>
      <c r="F308" s="5" t="s">
        <v>173</v>
      </c>
    </row>
    <row r="309" spans="1:6" s="5" customFormat="1" x14ac:dyDescent="0.2">
      <c r="A309" s="5">
        <v>6</v>
      </c>
      <c r="B309" s="5">
        <v>1</v>
      </c>
      <c r="C309" s="5">
        <v>0</v>
      </c>
      <c r="D309" s="5" t="s">
        <v>483</v>
      </c>
      <c r="E309" s="5" t="s">
        <v>143</v>
      </c>
      <c r="F309" s="5" t="s">
        <v>173</v>
      </c>
    </row>
    <row r="310" spans="1:6" s="5" customFormat="1" x14ac:dyDescent="0.2">
      <c r="A310" s="5">
        <v>6</v>
      </c>
      <c r="B310" s="5">
        <v>1</v>
      </c>
      <c r="C310" s="5">
        <v>0</v>
      </c>
      <c r="D310" s="5" t="s">
        <v>484</v>
      </c>
      <c r="E310" s="5" t="s">
        <v>143</v>
      </c>
      <c r="F310" s="5" t="s">
        <v>173</v>
      </c>
    </row>
    <row r="311" spans="1:6" s="5" customFormat="1" x14ac:dyDescent="0.2">
      <c r="A311" s="5">
        <v>6</v>
      </c>
      <c r="B311" s="5">
        <v>1</v>
      </c>
      <c r="C311" s="5">
        <v>1</v>
      </c>
      <c r="D311" s="5" t="s">
        <v>485</v>
      </c>
      <c r="E311" s="5" t="s">
        <v>142</v>
      </c>
      <c r="F311" s="5" t="s">
        <v>174</v>
      </c>
    </row>
    <row r="312" spans="1:6" s="5" customFormat="1" x14ac:dyDescent="0.2">
      <c r="A312" s="5">
        <v>6</v>
      </c>
      <c r="B312" s="5">
        <v>1</v>
      </c>
      <c r="C312" s="5">
        <v>1</v>
      </c>
      <c r="D312" s="5" t="s">
        <v>486</v>
      </c>
      <c r="E312" s="5" t="s">
        <v>142</v>
      </c>
      <c r="F312" s="5" t="s">
        <v>174</v>
      </c>
    </row>
    <row r="313" spans="1:6" s="5" customFormat="1" x14ac:dyDescent="0.2">
      <c r="A313" s="5">
        <v>6</v>
      </c>
      <c r="B313" s="5">
        <v>1</v>
      </c>
      <c r="C313" s="5">
        <v>1</v>
      </c>
      <c r="D313" s="5" t="s">
        <v>487</v>
      </c>
      <c r="E313" s="5" t="s">
        <v>142</v>
      </c>
      <c r="F313" s="5" t="s">
        <v>174</v>
      </c>
    </row>
    <row r="314" spans="1:6" s="5" customFormat="1" x14ac:dyDescent="0.2">
      <c r="A314" s="5">
        <v>6</v>
      </c>
      <c r="B314" s="5">
        <v>1</v>
      </c>
      <c r="C314" s="5">
        <v>1</v>
      </c>
      <c r="D314" s="5" t="s">
        <v>488</v>
      </c>
      <c r="E314" s="5" t="s">
        <v>142</v>
      </c>
      <c r="F314" s="5" t="s">
        <v>174</v>
      </c>
    </row>
    <row r="315" spans="1:6" s="5" customFormat="1" x14ac:dyDescent="0.2">
      <c r="A315" s="5">
        <v>6</v>
      </c>
      <c r="B315" s="5">
        <v>1</v>
      </c>
      <c r="C315" s="5">
        <v>1</v>
      </c>
      <c r="D315" s="5" t="s">
        <v>489</v>
      </c>
      <c r="E315" s="5" t="s">
        <v>142</v>
      </c>
      <c r="F315" s="5" t="s">
        <v>174</v>
      </c>
    </row>
    <row r="316" spans="1:6" s="5" customFormat="1" x14ac:dyDescent="0.2">
      <c r="A316" s="5">
        <v>6</v>
      </c>
      <c r="B316" s="5">
        <v>1</v>
      </c>
      <c r="C316" s="5">
        <v>2</v>
      </c>
      <c r="D316" s="5" t="s">
        <v>490</v>
      </c>
      <c r="E316" s="5" t="s">
        <v>143</v>
      </c>
      <c r="F316" s="5" t="s">
        <v>175</v>
      </c>
    </row>
    <row r="317" spans="1:6" s="5" customFormat="1" x14ac:dyDescent="0.2">
      <c r="A317" s="5">
        <v>6</v>
      </c>
      <c r="B317" s="5">
        <v>1</v>
      </c>
      <c r="C317" s="5">
        <v>2</v>
      </c>
      <c r="D317" s="5" t="s">
        <v>491</v>
      </c>
      <c r="E317" s="5" t="s">
        <v>143</v>
      </c>
      <c r="F317" s="5" t="s">
        <v>175</v>
      </c>
    </row>
    <row r="318" spans="1:6" s="5" customFormat="1" x14ac:dyDescent="0.2">
      <c r="A318" s="5">
        <v>6</v>
      </c>
      <c r="B318" s="5">
        <v>1</v>
      </c>
      <c r="C318" s="5">
        <v>2</v>
      </c>
      <c r="D318" s="5" t="s">
        <v>492</v>
      </c>
      <c r="E318" s="5" t="s">
        <v>143</v>
      </c>
      <c r="F318" s="5" t="s">
        <v>175</v>
      </c>
    </row>
    <row r="319" spans="1:6" s="5" customFormat="1" x14ac:dyDescent="0.2">
      <c r="A319" s="5">
        <v>6</v>
      </c>
      <c r="B319" s="5">
        <v>1</v>
      </c>
      <c r="C319" s="5">
        <v>2</v>
      </c>
      <c r="D319" s="5" t="s">
        <v>493</v>
      </c>
      <c r="E319" s="5" t="s">
        <v>143</v>
      </c>
      <c r="F319" s="5" t="s">
        <v>175</v>
      </c>
    </row>
    <row r="320" spans="1:6" s="5" customFormat="1" x14ac:dyDescent="0.2">
      <c r="A320" s="5">
        <v>6</v>
      </c>
      <c r="B320" s="5">
        <v>1</v>
      </c>
      <c r="C320" s="5">
        <v>2</v>
      </c>
      <c r="D320" s="5" t="s">
        <v>494</v>
      </c>
      <c r="E320" s="5" t="s">
        <v>143</v>
      </c>
      <c r="F320" s="5" t="s">
        <v>175</v>
      </c>
    </row>
    <row r="321" spans="1:6" s="5" customFormat="1" x14ac:dyDescent="0.2">
      <c r="A321" s="5">
        <v>6</v>
      </c>
      <c r="B321" s="5">
        <v>2</v>
      </c>
      <c r="C321" s="5">
        <v>0</v>
      </c>
      <c r="D321" s="5" t="s">
        <v>495</v>
      </c>
      <c r="E321" s="5" t="s">
        <v>143</v>
      </c>
      <c r="F321" s="5" t="s">
        <v>173</v>
      </c>
    </row>
    <row r="322" spans="1:6" s="5" customFormat="1" x14ac:dyDescent="0.2">
      <c r="A322" s="5">
        <v>6</v>
      </c>
      <c r="B322" s="5">
        <v>2</v>
      </c>
      <c r="C322" s="5">
        <v>0</v>
      </c>
      <c r="D322" s="5" t="s">
        <v>496</v>
      </c>
      <c r="E322" s="5" t="s">
        <v>143</v>
      </c>
      <c r="F322" s="5" t="s">
        <v>173</v>
      </c>
    </row>
    <row r="323" spans="1:6" s="5" customFormat="1" x14ac:dyDescent="0.2">
      <c r="A323" s="5">
        <v>6</v>
      </c>
      <c r="B323" s="5">
        <v>2</v>
      </c>
      <c r="C323" s="5">
        <v>0</v>
      </c>
      <c r="D323" s="5" t="s">
        <v>497</v>
      </c>
      <c r="E323" s="5" t="s">
        <v>143</v>
      </c>
      <c r="F323" s="5" t="s">
        <v>173</v>
      </c>
    </row>
    <row r="324" spans="1:6" s="5" customFormat="1" x14ac:dyDescent="0.2">
      <c r="A324" s="5">
        <v>6</v>
      </c>
      <c r="B324" s="5">
        <v>2</v>
      </c>
      <c r="C324" s="5">
        <v>0</v>
      </c>
      <c r="D324" s="5" t="s">
        <v>498</v>
      </c>
      <c r="E324" s="5" t="s">
        <v>143</v>
      </c>
      <c r="F324" s="5" t="s">
        <v>173</v>
      </c>
    </row>
    <row r="325" spans="1:6" s="5" customFormat="1" x14ac:dyDescent="0.2">
      <c r="A325" s="5">
        <v>6</v>
      </c>
      <c r="B325" s="5">
        <v>2</v>
      </c>
      <c r="C325" s="5">
        <v>0</v>
      </c>
      <c r="D325" s="5" t="s">
        <v>499</v>
      </c>
      <c r="E325" s="5" t="s">
        <v>146</v>
      </c>
      <c r="F325" s="5" t="s">
        <v>173</v>
      </c>
    </row>
    <row r="326" spans="1:6" s="5" customFormat="1" x14ac:dyDescent="0.2">
      <c r="A326" s="5">
        <v>6</v>
      </c>
      <c r="B326" s="5">
        <v>2</v>
      </c>
      <c r="C326" s="5">
        <v>1</v>
      </c>
      <c r="D326" s="5" t="s">
        <v>500</v>
      </c>
      <c r="E326" s="5" t="s">
        <v>142</v>
      </c>
      <c r="F326" s="5" t="s">
        <v>174</v>
      </c>
    </row>
    <row r="327" spans="1:6" s="5" customFormat="1" x14ac:dyDescent="0.2">
      <c r="A327" s="5">
        <v>6</v>
      </c>
      <c r="B327" s="5">
        <v>2</v>
      </c>
      <c r="C327" s="5">
        <v>1</v>
      </c>
      <c r="D327" s="5" t="s">
        <v>501</v>
      </c>
      <c r="E327" s="5" t="s">
        <v>142</v>
      </c>
      <c r="F327" s="5" t="s">
        <v>174</v>
      </c>
    </row>
    <row r="328" spans="1:6" s="5" customFormat="1" x14ac:dyDescent="0.2">
      <c r="A328" s="5">
        <v>6</v>
      </c>
      <c r="B328" s="5">
        <v>2</v>
      </c>
      <c r="C328" s="5">
        <v>1</v>
      </c>
      <c r="D328" s="5" t="s">
        <v>502</v>
      </c>
      <c r="E328" s="5" t="s">
        <v>142</v>
      </c>
      <c r="F328" s="5" t="s">
        <v>174</v>
      </c>
    </row>
    <row r="329" spans="1:6" s="5" customFormat="1" x14ac:dyDescent="0.2">
      <c r="A329" s="5">
        <v>6</v>
      </c>
      <c r="B329" s="5">
        <v>2</v>
      </c>
      <c r="C329" s="5">
        <v>1</v>
      </c>
      <c r="D329" s="5" t="s">
        <v>503</v>
      </c>
      <c r="E329" s="5" t="s">
        <v>142</v>
      </c>
      <c r="F329" s="5" t="s">
        <v>174</v>
      </c>
    </row>
    <row r="330" spans="1:6" s="5" customFormat="1" x14ac:dyDescent="0.2">
      <c r="A330" s="5">
        <v>6</v>
      </c>
      <c r="B330" s="5">
        <v>2</v>
      </c>
      <c r="C330" s="5">
        <v>1</v>
      </c>
      <c r="D330" s="5" t="s">
        <v>504</v>
      </c>
      <c r="E330" s="5" t="s">
        <v>142</v>
      </c>
      <c r="F330" s="5" t="s">
        <v>174</v>
      </c>
    </row>
    <row r="331" spans="1:6" s="5" customFormat="1" x14ac:dyDescent="0.2">
      <c r="A331" s="5">
        <v>6</v>
      </c>
      <c r="B331" s="5">
        <v>2</v>
      </c>
      <c r="C331" s="5">
        <v>2</v>
      </c>
      <c r="D331" s="5" t="s">
        <v>505</v>
      </c>
      <c r="E331" s="5" t="s">
        <v>143</v>
      </c>
      <c r="F331" s="5" t="s">
        <v>175</v>
      </c>
    </row>
    <row r="332" spans="1:6" s="5" customFormat="1" x14ac:dyDescent="0.2">
      <c r="A332" s="5">
        <v>6</v>
      </c>
      <c r="B332" s="5">
        <v>2</v>
      </c>
      <c r="C332" s="5">
        <v>2</v>
      </c>
      <c r="D332" s="5" t="s">
        <v>506</v>
      </c>
      <c r="E332" s="5" t="s">
        <v>143</v>
      </c>
      <c r="F332" s="5" t="s">
        <v>175</v>
      </c>
    </row>
    <row r="333" spans="1:6" s="5" customFormat="1" x14ac:dyDescent="0.2">
      <c r="A333" s="5">
        <v>6</v>
      </c>
      <c r="B333" s="5">
        <v>2</v>
      </c>
      <c r="C333" s="5">
        <v>2</v>
      </c>
      <c r="D333" s="5" t="s">
        <v>507</v>
      </c>
      <c r="E333" s="5" t="s">
        <v>143</v>
      </c>
      <c r="F333" s="5" t="s">
        <v>175</v>
      </c>
    </row>
    <row r="334" spans="1:6" s="5" customFormat="1" x14ac:dyDescent="0.2">
      <c r="A334" s="5">
        <v>6</v>
      </c>
      <c r="B334" s="5">
        <v>2</v>
      </c>
      <c r="C334" s="5">
        <v>2</v>
      </c>
      <c r="D334" s="5" t="s">
        <v>508</v>
      </c>
      <c r="E334" s="5" t="s">
        <v>143</v>
      </c>
      <c r="F334" s="5" t="s">
        <v>175</v>
      </c>
    </row>
    <row r="335" spans="1:6" s="5" customFormat="1" x14ac:dyDescent="0.2">
      <c r="A335" s="5">
        <v>6</v>
      </c>
      <c r="B335" s="5">
        <v>2</v>
      </c>
      <c r="C335" s="5">
        <v>2</v>
      </c>
      <c r="D335" s="5" t="s">
        <v>509</v>
      </c>
      <c r="E335" s="5" t="s">
        <v>143</v>
      </c>
      <c r="F335" s="5" t="s">
        <v>175</v>
      </c>
    </row>
    <row r="336" spans="1:6" s="5" customFormat="1" x14ac:dyDescent="0.2">
      <c r="A336" s="5">
        <v>6</v>
      </c>
      <c r="B336" s="5">
        <v>3</v>
      </c>
      <c r="C336" s="5">
        <v>0</v>
      </c>
      <c r="D336" s="5" t="s">
        <v>510</v>
      </c>
      <c r="E336" s="5" t="s">
        <v>146</v>
      </c>
      <c r="F336" s="5" t="s">
        <v>173</v>
      </c>
    </row>
    <row r="337" spans="1:6" s="5" customFormat="1" x14ac:dyDescent="0.2">
      <c r="A337" s="5">
        <v>6</v>
      </c>
      <c r="B337" s="5">
        <v>3</v>
      </c>
      <c r="C337" s="5">
        <v>0</v>
      </c>
      <c r="D337" s="5" t="s">
        <v>511</v>
      </c>
      <c r="E337" s="5" t="s">
        <v>142</v>
      </c>
      <c r="F337" s="5" t="s">
        <v>174</v>
      </c>
    </row>
    <row r="338" spans="1:6" s="5" customFormat="1" x14ac:dyDescent="0.2">
      <c r="A338" s="5">
        <v>7</v>
      </c>
      <c r="B338" s="5" t="s">
        <v>171</v>
      </c>
      <c r="C338" s="5" t="s">
        <v>171</v>
      </c>
      <c r="D338" s="5" t="s">
        <v>171</v>
      </c>
      <c r="E338" s="5" t="s">
        <v>171</v>
      </c>
      <c r="F338" s="5" t="s">
        <v>171</v>
      </c>
    </row>
    <row r="339" spans="1:6" s="5" customFormat="1" x14ac:dyDescent="0.2">
      <c r="A339" s="5">
        <v>8</v>
      </c>
      <c r="B339" s="5" t="s">
        <v>171</v>
      </c>
      <c r="C339" s="5" t="s">
        <v>171</v>
      </c>
      <c r="D339" s="5" t="s">
        <v>171</v>
      </c>
      <c r="E339" s="5" t="s">
        <v>171</v>
      </c>
      <c r="F339" s="5" t="s">
        <v>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76479-7A2B-44E0-937C-ACEEC4B183FF}">
  <dimension ref="A1:L365"/>
  <sheetViews>
    <sheetView workbookViewId="0">
      <selection activeCell="E6" sqref="E6"/>
    </sheetView>
  </sheetViews>
  <sheetFormatPr defaultRowHeight="12.75" x14ac:dyDescent="0.2"/>
  <cols>
    <col min="1" max="1" width="4.6640625" customWidth="1"/>
    <col min="2" max="2" width="7.5" customWidth="1"/>
    <col min="3" max="3" width="12.6640625" customWidth="1"/>
    <col min="4" max="5" width="15.1640625" customWidth="1"/>
    <col min="6" max="6" width="53.5" customWidth="1"/>
    <col min="7" max="7" width="22" customWidth="1"/>
    <col min="8" max="8" width="16.1640625" customWidth="1"/>
    <col min="9" max="9" width="25.5" customWidth="1"/>
    <col min="10" max="10" width="42" customWidth="1"/>
    <col min="11" max="11" width="25.33203125" customWidth="1"/>
  </cols>
  <sheetData>
    <row r="1" spans="1:12" x14ac:dyDescent="0.2">
      <c r="A1" t="s">
        <v>878</v>
      </c>
      <c r="B1" t="s">
        <v>879</v>
      </c>
      <c r="C1" t="s">
        <v>880</v>
      </c>
      <c r="E1" t="s">
        <v>151</v>
      </c>
      <c r="K1" t="s">
        <v>882</v>
      </c>
      <c r="L1" t="s">
        <v>883</v>
      </c>
    </row>
    <row r="2" spans="1:12" ht="15.75" x14ac:dyDescent="0.2">
      <c r="A2" s="77" t="s">
        <v>512</v>
      </c>
      <c r="B2" s="77"/>
      <c r="C2" s="77"/>
      <c r="D2" s="77"/>
      <c r="E2" s="77"/>
      <c r="F2" s="77"/>
      <c r="G2" s="7"/>
      <c r="H2" s="7"/>
      <c r="I2" s="7"/>
      <c r="J2" s="7"/>
      <c r="K2" s="7"/>
    </row>
    <row r="3" spans="1:12" ht="44.1" customHeight="1" x14ac:dyDescent="0.2">
      <c r="A3" s="8">
        <v>0</v>
      </c>
      <c r="B3" s="8">
        <v>0</v>
      </c>
      <c r="C3" s="8">
        <v>0</v>
      </c>
      <c r="D3" s="3">
        <v>825220024</v>
      </c>
      <c r="E3" s="3"/>
      <c r="F3" s="9" t="s">
        <v>513</v>
      </c>
      <c r="G3" s="10" t="s">
        <v>0</v>
      </c>
      <c r="H3" s="78" t="s">
        <v>1</v>
      </c>
      <c r="I3" s="79"/>
      <c r="J3" s="9" t="s">
        <v>514</v>
      </c>
      <c r="K3" s="1"/>
    </row>
    <row r="4" spans="1:12" ht="42.95" customHeight="1" x14ac:dyDescent="0.2">
      <c r="A4" s="8">
        <v>0</v>
      </c>
      <c r="B4" s="8">
        <v>0</v>
      </c>
      <c r="C4" s="8">
        <v>0</v>
      </c>
      <c r="D4" s="3">
        <v>825220040</v>
      </c>
      <c r="E4" s="3"/>
      <c r="F4" s="9" t="s">
        <v>515</v>
      </c>
      <c r="G4" s="10" t="s">
        <v>2</v>
      </c>
      <c r="H4" s="80" t="s">
        <v>3</v>
      </c>
      <c r="I4" s="81"/>
      <c r="J4" s="9" t="s">
        <v>514</v>
      </c>
      <c r="K4" s="1"/>
    </row>
    <row r="5" spans="1:12" ht="44.1" customHeight="1" x14ac:dyDescent="0.2">
      <c r="A5" s="8">
        <v>0</v>
      </c>
      <c r="B5" s="8">
        <v>0</v>
      </c>
      <c r="C5" s="8">
        <v>0</v>
      </c>
      <c r="D5" s="3">
        <v>825220045</v>
      </c>
      <c r="E5" s="3"/>
      <c r="F5" s="9" t="s">
        <v>516</v>
      </c>
      <c r="G5" s="10" t="s">
        <v>4</v>
      </c>
      <c r="H5" s="78" t="s">
        <v>1</v>
      </c>
      <c r="I5" s="79"/>
      <c r="J5" s="9" t="s">
        <v>514</v>
      </c>
      <c r="K5" s="1"/>
    </row>
    <row r="6" spans="1:12" ht="42.95" customHeight="1" x14ac:dyDescent="0.2">
      <c r="A6" s="8">
        <v>0</v>
      </c>
      <c r="B6" s="8">
        <v>0</v>
      </c>
      <c r="C6" s="8">
        <v>0</v>
      </c>
      <c r="D6" s="3">
        <v>825220049</v>
      </c>
      <c r="E6" s="3"/>
      <c r="F6" s="9" t="s">
        <v>517</v>
      </c>
      <c r="G6" s="10" t="s">
        <v>5</v>
      </c>
      <c r="H6" s="80" t="s">
        <v>3</v>
      </c>
      <c r="I6" s="81"/>
      <c r="J6" s="9" t="s">
        <v>514</v>
      </c>
      <c r="K6" s="1"/>
    </row>
    <row r="7" spans="1:12" ht="44.1" customHeight="1" x14ac:dyDescent="0.2">
      <c r="A7" s="8">
        <v>0</v>
      </c>
      <c r="B7" s="8">
        <v>0</v>
      </c>
      <c r="C7" s="8">
        <v>0</v>
      </c>
      <c r="D7" s="3">
        <v>825220055</v>
      </c>
      <c r="E7" s="3"/>
      <c r="F7" s="9" t="s">
        <v>518</v>
      </c>
      <c r="G7" s="10" t="s">
        <v>6</v>
      </c>
      <c r="H7" s="78" t="s">
        <v>1</v>
      </c>
      <c r="I7" s="79"/>
      <c r="J7" s="9" t="s">
        <v>514</v>
      </c>
      <c r="K7" s="1"/>
    </row>
    <row r="8" spans="1:12" ht="42.6" customHeight="1" x14ac:dyDescent="0.2">
      <c r="A8" s="8">
        <v>1</v>
      </c>
      <c r="B8" s="8">
        <v>0</v>
      </c>
      <c r="C8" s="8">
        <v>0</v>
      </c>
      <c r="D8" s="3">
        <v>825220089</v>
      </c>
      <c r="E8" s="3"/>
      <c r="F8" s="9" t="s">
        <v>519</v>
      </c>
      <c r="G8" s="10" t="s">
        <v>7</v>
      </c>
      <c r="H8" s="78" t="s">
        <v>1</v>
      </c>
      <c r="I8" s="79"/>
      <c r="J8" s="9" t="s">
        <v>514</v>
      </c>
      <c r="K8" s="1"/>
    </row>
    <row r="9" spans="1:12" ht="47.25" customHeight="1" x14ac:dyDescent="0.2">
      <c r="A9" s="8">
        <v>1</v>
      </c>
      <c r="B9" s="8">
        <v>0</v>
      </c>
      <c r="C9" s="8">
        <v>0</v>
      </c>
      <c r="D9" s="4">
        <v>825220132</v>
      </c>
      <c r="E9" s="4"/>
      <c r="F9" s="12" t="s">
        <v>520</v>
      </c>
      <c r="G9" s="13" t="s">
        <v>8</v>
      </c>
      <c r="H9" s="80" t="s">
        <v>3</v>
      </c>
      <c r="I9" s="81"/>
      <c r="J9" s="12" t="s">
        <v>514</v>
      </c>
      <c r="K9" s="2"/>
    </row>
    <row r="10" spans="1:12" ht="44.1" customHeight="1" x14ac:dyDescent="0.2">
      <c r="A10" s="8">
        <v>1</v>
      </c>
      <c r="B10" s="8">
        <v>0</v>
      </c>
      <c r="C10" s="8">
        <v>0</v>
      </c>
      <c r="D10" s="3">
        <v>825220151</v>
      </c>
      <c r="E10" s="3"/>
      <c r="F10" s="9" t="s">
        <v>522</v>
      </c>
      <c r="G10" s="10" t="s">
        <v>10</v>
      </c>
      <c r="H10" s="78" t="s">
        <v>1</v>
      </c>
      <c r="I10" s="79"/>
      <c r="J10" s="9" t="s">
        <v>514</v>
      </c>
    </row>
    <row r="11" spans="1:12" ht="42.95" customHeight="1" x14ac:dyDescent="0.2">
      <c r="A11" s="8">
        <v>1</v>
      </c>
      <c r="B11" s="8">
        <v>0</v>
      </c>
      <c r="C11" s="8">
        <v>0</v>
      </c>
      <c r="D11" s="3">
        <v>825220154</v>
      </c>
      <c r="E11" s="3"/>
      <c r="F11" s="9" t="s">
        <v>523</v>
      </c>
      <c r="G11" s="10" t="s">
        <v>11</v>
      </c>
      <c r="H11" s="80" t="s">
        <v>3</v>
      </c>
      <c r="I11" s="81"/>
      <c r="J11" s="9" t="s">
        <v>514</v>
      </c>
    </row>
    <row r="12" spans="1:12" ht="43.5" customHeight="1" x14ac:dyDescent="0.2">
      <c r="A12" s="8">
        <v>1</v>
      </c>
      <c r="B12" s="8">
        <v>0</v>
      </c>
      <c r="C12" s="8">
        <v>0</v>
      </c>
      <c r="D12" s="3">
        <v>825220046</v>
      </c>
      <c r="E12" s="3"/>
      <c r="F12" s="9" t="s">
        <v>524</v>
      </c>
      <c r="G12" s="10" t="s">
        <v>12</v>
      </c>
      <c r="H12" s="78" t="s">
        <v>13</v>
      </c>
      <c r="I12" s="79"/>
      <c r="J12" s="9" t="s">
        <v>521</v>
      </c>
    </row>
    <row r="13" spans="1:12" ht="42.95" customHeight="1" x14ac:dyDescent="0.2">
      <c r="A13" s="8">
        <v>2</v>
      </c>
      <c r="B13" s="8">
        <v>0</v>
      </c>
      <c r="C13" s="8">
        <v>0</v>
      </c>
      <c r="D13" s="3">
        <v>825220048</v>
      </c>
      <c r="E13" s="3"/>
      <c r="F13" s="9" t="s">
        <v>525</v>
      </c>
      <c r="G13" s="10" t="s">
        <v>14</v>
      </c>
      <c r="H13" s="80" t="s">
        <v>15</v>
      </c>
      <c r="I13" s="81"/>
      <c r="J13" s="9" t="s">
        <v>521</v>
      </c>
    </row>
    <row r="14" spans="1:12" ht="44.1" customHeight="1" x14ac:dyDescent="0.2">
      <c r="A14" s="8">
        <v>2</v>
      </c>
      <c r="B14" s="8">
        <v>0</v>
      </c>
      <c r="C14" s="8">
        <v>0</v>
      </c>
      <c r="D14" s="3">
        <v>825220057</v>
      </c>
      <c r="E14" s="3"/>
      <c r="F14" s="9" t="s">
        <v>526</v>
      </c>
      <c r="G14" s="10" t="s">
        <v>16</v>
      </c>
      <c r="H14" s="78" t="s">
        <v>13</v>
      </c>
      <c r="I14" s="79"/>
      <c r="J14" s="9" t="s">
        <v>521</v>
      </c>
    </row>
    <row r="15" spans="1:12" ht="42.95" customHeight="1" x14ac:dyDescent="0.2">
      <c r="A15" s="8">
        <v>2</v>
      </c>
      <c r="B15" s="8">
        <v>0</v>
      </c>
      <c r="C15" s="8">
        <v>0</v>
      </c>
      <c r="D15" s="3">
        <v>825220060</v>
      </c>
      <c r="E15" s="3"/>
      <c r="F15" s="9" t="s">
        <v>527</v>
      </c>
      <c r="G15" s="10" t="s">
        <v>17</v>
      </c>
      <c r="H15" s="78" t="s">
        <v>13</v>
      </c>
      <c r="I15" s="79"/>
      <c r="J15" s="9" t="s">
        <v>521</v>
      </c>
    </row>
    <row r="16" spans="1:12" ht="44.1" customHeight="1" x14ac:dyDescent="0.2">
      <c r="A16" s="8">
        <v>2</v>
      </c>
      <c r="B16" s="8">
        <v>0</v>
      </c>
      <c r="C16" s="8">
        <v>0</v>
      </c>
      <c r="D16" s="3">
        <v>825220061</v>
      </c>
      <c r="E16" s="3"/>
      <c r="F16" s="9" t="s">
        <v>528</v>
      </c>
      <c r="G16" s="10" t="s">
        <v>18</v>
      </c>
      <c r="H16" s="78" t="s">
        <v>13</v>
      </c>
      <c r="I16" s="79"/>
      <c r="J16" s="9" t="s">
        <v>521</v>
      </c>
    </row>
    <row r="17" spans="1:11" ht="43.5" customHeight="1" x14ac:dyDescent="0.2">
      <c r="A17" s="8">
        <v>2</v>
      </c>
      <c r="B17" s="8">
        <v>0</v>
      </c>
      <c r="C17" s="8">
        <v>0</v>
      </c>
      <c r="D17" s="3">
        <v>825220064</v>
      </c>
      <c r="E17" s="3"/>
      <c r="F17" s="9" t="s">
        <v>529</v>
      </c>
      <c r="G17" s="10" t="s">
        <v>19</v>
      </c>
      <c r="H17" s="78" t="s">
        <v>13</v>
      </c>
      <c r="I17" s="79"/>
      <c r="J17" s="9" t="s">
        <v>521</v>
      </c>
    </row>
    <row r="18" spans="1:11" ht="42.95" customHeight="1" x14ac:dyDescent="0.2">
      <c r="A18" s="8">
        <v>3</v>
      </c>
      <c r="B18" s="8">
        <v>0</v>
      </c>
      <c r="C18" s="8">
        <v>0</v>
      </c>
      <c r="D18" s="3">
        <v>825220012</v>
      </c>
      <c r="E18" s="3"/>
      <c r="F18" s="9" t="s">
        <v>530</v>
      </c>
      <c r="G18" s="10" t="s">
        <v>20</v>
      </c>
      <c r="H18" s="80" t="s">
        <v>21</v>
      </c>
      <c r="I18" s="81"/>
      <c r="J18" s="9" t="s">
        <v>9</v>
      </c>
    </row>
    <row r="19" spans="1:11" ht="43.7" customHeight="1" x14ac:dyDescent="0.2">
      <c r="A19" s="8">
        <v>3</v>
      </c>
      <c r="B19" s="8">
        <v>0</v>
      </c>
      <c r="C19" s="8">
        <v>0</v>
      </c>
      <c r="D19" s="3">
        <v>825220016</v>
      </c>
      <c r="E19" s="3"/>
      <c r="F19" s="9" t="s">
        <v>531</v>
      </c>
      <c r="G19" s="10" t="s">
        <v>22</v>
      </c>
      <c r="H19" s="80" t="s">
        <v>21</v>
      </c>
      <c r="I19" s="81"/>
      <c r="J19" s="9" t="s">
        <v>9</v>
      </c>
    </row>
    <row r="20" spans="1:11" ht="44.1" customHeight="1" x14ac:dyDescent="0.2">
      <c r="A20" s="8">
        <v>3</v>
      </c>
      <c r="B20" s="8">
        <v>0</v>
      </c>
      <c r="C20" s="8">
        <v>0</v>
      </c>
      <c r="D20" s="3">
        <v>825220020</v>
      </c>
      <c r="E20" s="3"/>
      <c r="F20" s="9" t="s">
        <v>532</v>
      </c>
      <c r="G20" s="10" t="s">
        <v>23</v>
      </c>
      <c r="H20" s="80" t="s">
        <v>21</v>
      </c>
      <c r="I20" s="81"/>
      <c r="J20" s="9" t="s">
        <v>9</v>
      </c>
    </row>
    <row r="21" spans="1:11" ht="42.95" customHeight="1" x14ac:dyDescent="0.2">
      <c r="A21" s="8">
        <v>3</v>
      </c>
      <c r="B21" s="8">
        <v>0</v>
      </c>
      <c r="C21" s="8">
        <v>0</v>
      </c>
      <c r="D21" s="3">
        <v>825220023</v>
      </c>
      <c r="E21" s="3"/>
      <c r="F21" s="9" t="s">
        <v>533</v>
      </c>
      <c r="G21" s="10" t="s">
        <v>24</v>
      </c>
      <c r="H21" s="80" t="s">
        <v>21</v>
      </c>
      <c r="I21" s="81"/>
      <c r="J21" s="9" t="s">
        <v>9</v>
      </c>
    </row>
    <row r="22" spans="1:11" ht="43.5" customHeight="1" x14ac:dyDescent="0.2">
      <c r="A22" s="8">
        <v>3</v>
      </c>
      <c r="B22" s="8">
        <v>0</v>
      </c>
      <c r="C22" s="8">
        <v>0</v>
      </c>
      <c r="D22" s="3">
        <v>825220028</v>
      </c>
      <c r="E22" s="3"/>
      <c r="F22" s="9" t="s">
        <v>534</v>
      </c>
      <c r="G22" s="10" t="s">
        <v>25</v>
      </c>
      <c r="H22" s="80" t="s">
        <v>21</v>
      </c>
      <c r="I22" s="81"/>
      <c r="J22" s="9" t="s">
        <v>9</v>
      </c>
    </row>
    <row r="23" spans="1:11" ht="42.95" customHeight="1" x14ac:dyDescent="0.2">
      <c r="A23" s="8">
        <v>4</v>
      </c>
      <c r="B23" s="8">
        <v>0</v>
      </c>
      <c r="C23" s="8">
        <v>0</v>
      </c>
      <c r="D23" s="3">
        <v>825220167</v>
      </c>
      <c r="E23" s="3"/>
      <c r="F23" s="9" t="s">
        <v>535</v>
      </c>
      <c r="G23" s="10" t="s">
        <v>26</v>
      </c>
      <c r="H23" s="80" t="s">
        <v>27</v>
      </c>
      <c r="I23" s="81"/>
      <c r="J23" s="9" t="s">
        <v>28</v>
      </c>
    </row>
    <row r="24" spans="1:11" ht="44.1" customHeight="1" x14ac:dyDescent="0.2">
      <c r="A24" s="8">
        <v>4</v>
      </c>
      <c r="B24" s="8">
        <v>0</v>
      </c>
      <c r="C24" s="8">
        <v>0</v>
      </c>
      <c r="D24" s="3">
        <v>535220097</v>
      </c>
      <c r="E24" s="3"/>
      <c r="F24" s="9" t="s">
        <v>536</v>
      </c>
      <c r="G24" s="10" t="s">
        <v>29</v>
      </c>
      <c r="H24" s="78" t="s">
        <v>30</v>
      </c>
      <c r="I24" s="79"/>
      <c r="J24" s="9" t="s">
        <v>28</v>
      </c>
    </row>
    <row r="25" spans="1:11" ht="42.95" customHeight="1" x14ac:dyDescent="0.2">
      <c r="A25" s="8">
        <v>4</v>
      </c>
      <c r="B25" s="8">
        <v>0</v>
      </c>
      <c r="C25" s="8">
        <v>0</v>
      </c>
      <c r="D25" s="3">
        <v>535220105</v>
      </c>
      <c r="E25" s="3"/>
      <c r="F25" s="9" t="s">
        <v>537</v>
      </c>
      <c r="G25" s="10" t="s">
        <v>31</v>
      </c>
      <c r="H25" s="78" t="s">
        <v>30</v>
      </c>
      <c r="I25" s="79"/>
      <c r="J25" s="9" t="s">
        <v>28</v>
      </c>
    </row>
    <row r="26" spans="1:11" ht="44.1" customHeight="1" x14ac:dyDescent="0.2">
      <c r="A26" s="8">
        <v>4</v>
      </c>
      <c r="B26" s="8">
        <v>0</v>
      </c>
      <c r="C26" s="8">
        <v>0</v>
      </c>
      <c r="D26" s="3">
        <v>535220127</v>
      </c>
      <c r="E26" s="3"/>
      <c r="F26" s="9" t="s">
        <v>538</v>
      </c>
      <c r="G26" s="10" t="s">
        <v>32</v>
      </c>
      <c r="H26" s="78" t="s">
        <v>30</v>
      </c>
      <c r="I26" s="79"/>
      <c r="J26" s="9" t="s">
        <v>28</v>
      </c>
    </row>
    <row r="27" spans="1:11" ht="42.6" customHeight="1" x14ac:dyDescent="0.2">
      <c r="A27" s="8">
        <v>4</v>
      </c>
      <c r="B27" s="8">
        <v>0</v>
      </c>
      <c r="C27" s="8">
        <v>0</v>
      </c>
      <c r="D27" s="3">
        <v>535220130</v>
      </c>
      <c r="E27" s="3"/>
      <c r="F27" s="9" t="s">
        <v>539</v>
      </c>
      <c r="G27" s="10" t="s">
        <v>33</v>
      </c>
      <c r="H27" s="78" t="s">
        <v>30</v>
      </c>
      <c r="I27" s="79"/>
      <c r="J27" s="9" t="s">
        <v>28</v>
      </c>
    </row>
    <row r="28" spans="1:11" ht="42.95" customHeight="1" x14ac:dyDescent="0.2">
      <c r="A28" s="8">
        <v>5</v>
      </c>
      <c r="B28" s="8">
        <v>0</v>
      </c>
      <c r="C28" s="8">
        <v>0</v>
      </c>
      <c r="D28" s="3">
        <v>535220009</v>
      </c>
      <c r="E28" s="3"/>
      <c r="F28" s="9" t="s">
        <v>540</v>
      </c>
      <c r="G28" s="10" t="s">
        <v>34</v>
      </c>
      <c r="H28" s="80" t="s">
        <v>35</v>
      </c>
      <c r="I28" s="81"/>
      <c r="J28" s="9" t="s">
        <v>36</v>
      </c>
    </row>
    <row r="29" spans="1:11" ht="44.1" customHeight="1" x14ac:dyDescent="0.2">
      <c r="A29" s="8">
        <v>5</v>
      </c>
      <c r="B29" s="8">
        <v>0</v>
      </c>
      <c r="C29" s="8">
        <v>0</v>
      </c>
      <c r="D29" s="3">
        <v>535220011</v>
      </c>
      <c r="E29" s="3"/>
      <c r="F29" s="9" t="s">
        <v>541</v>
      </c>
      <c r="G29" s="10" t="s">
        <v>37</v>
      </c>
      <c r="H29" s="78" t="s">
        <v>38</v>
      </c>
      <c r="I29" s="79"/>
      <c r="J29" s="9" t="s">
        <v>36</v>
      </c>
    </row>
    <row r="30" spans="1:11" ht="33" customHeight="1" x14ac:dyDescent="0.2">
      <c r="A30" s="8">
        <v>5</v>
      </c>
      <c r="B30" s="8">
        <v>0</v>
      </c>
      <c r="C30" s="8">
        <v>0</v>
      </c>
      <c r="D30" s="4">
        <v>535220026</v>
      </c>
      <c r="E30" s="4"/>
      <c r="F30" s="12" t="s">
        <v>542</v>
      </c>
      <c r="G30" s="13" t="s">
        <v>39</v>
      </c>
      <c r="H30" s="82" t="s">
        <v>35</v>
      </c>
      <c r="I30" s="83"/>
      <c r="J30" s="12" t="s">
        <v>36</v>
      </c>
    </row>
    <row r="31" spans="1:11" ht="44.1" customHeight="1" x14ac:dyDescent="0.2">
      <c r="A31" s="8">
        <v>5</v>
      </c>
      <c r="B31" s="8">
        <v>0</v>
      </c>
      <c r="C31" s="8">
        <v>0</v>
      </c>
      <c r="D31" s="3">
        <v>535220072</v>
      </c>
      <c r="E31" s="3"/>
      <c r="F31" s="9" t="s">
        <v>543</v>
      </c>
      <c r="G31" s="10" t="s">
        <v>40</v>
      </c>
      <c r="H31" s="78" t="s">
        <v>38</v>
      </c>
      <c r="I31" s="79"/>
      <c r="J31" s="9" t="s">
        <v>36</v>
      </c>
      <c r="K31" s="1"/>
    </row>
    <row r="32" spans="1:11" ht="43.7" customHeight="1" x14ac:dyDescent="0.2">
      <c r="A32" s="8">
        <v>5</v>
      </c>
      <c r="B32" s="8">
        <v>0</v>
      </c>
      <c r="C32" s="8">
        <v>0</v>
      </c>
      <c r="D32" s="3">
        <v>535220083</v>
      </c>
      <c r="E32" s="3"/>
      <c r="F32" s="9" t="s">
        <v>544</v>
      </c>
      <c r="G32" s="10" t="s">
        <v>41</v>
      </c>
      <c r="H32" s="78" t="s">
        <v>38</v>
      </c>
      <c r="I32" s="79"/>
      <c r="J32" s="9" t="s">
        <v>36</v>
      </c>
      <c r="K32" s="1"/>
    </row>
    <row r="33" spans="1:11" ht="42.6" customHeight="1" x14ac:dyDescent="0.2">
      <c r="A33" s="8">
        <v>6</v>
      </c>
      <c r="B33" s="8">
        <v>0</v>
      </c>
      <c r="C33" s="8">
        <v>0</v>
      </c>
      <c r="D33" s="3">
        <v>535220086</v>
      </c>
      <c r="E33" s="3"/>
      <c r="F33" s="9" t="s">
        <v>545</v>
      </c>
      <c r="G33" s="10" t="s">
        <v>42</v>
      </c>
      <c r="H33" s="80" t="s">
        <v>43</v>
      </c>
      <c r="I33" s="81"/>
      <c r="J33" s="9" t="s">
        <v>546</v>
      </c>
      <c r="K33" s="1"/>
    </row>
    <row r="34" spans="1:11" ht="44.1" customHeight="1" x14ac:dyDescent="0.2">
      <c r="A34" s="8">
        <v>6</v>
      </c>
      <c r="B34" s="8">
        <v>0</v>
      </c>
      <c r="C34" s="8">
        <v>0</v>
      </c>
      <c r="D34" s="3">
        <v>535220088</v>
      </c>
      <c r="E34" s="3"/>
      <c r="F34" s="9" t="s">
        <v>547</v>
      </c>
      <c r="G34" s="10" t="s">
        <v>44</v>
      </c>
      <c r="H34" s="78" t="s">
        <v>45</v>
      </c>
      <c r="I34" s="79"/>
      <c r="J34" s="9" t="s">
        <v>546</v>
      </c>
      <c r="K34" s="1"/>
    </row>
    <row r="35" spans="1:11" ht="42.95" customHeight="1" x14ac:dyDescent="0.2">
      <c r="A35" s="8">
        <v>6</v>
      </c>
      <c r="B35" s="8">
        <v>0</v>
      </c>
      <c r="C35" s="8">
        <v>0</v>
      </c>
      <c r="D35" s="3">
        <v>535220107</v>
      </c>
      <c r="E35" s="3"/>
      <c r="F35" s="9" t="s">
        <v>548</v>
      </c>
      <c r="G35" s="10" t="s">
        <v>46</v>
      </c>
      <c r="H35" s="78" t="s">
        <v>45</v>
      </c>
      <c r="I35" s="79"/>
      <c r="J35" s="9" t="s">
        <v>546</v>
      </c>
      <c r="K35" s="1"/>
    </row>
    <row r="36" spans="1:11" ht="44.1" customHeight="1" x14ac:dyDescent="0.2">
      <c r="A36" s="8">
        <v>6</v>
      </c>
      <c r="B36" s="8">
        <v>0</v>
      </c>
      <c r="C36" s="8">
        <v>0</v>
      </c>
      <c r="D36" s="3">
        <v>535220113</v>
      </c>
      <c r="E36" s="3"/>
      <c r="F36" s="9" t="s">
        <v>549</v>
      </c>
      <c r="G36" s="10" t="s">
        <v>47</v>
      </c>
      <c r="H36" s="78" t="s">
        <v>45</v>
      </c>
      <c r="I36" s="79"/>
      <c r="J36" s="9" t="s">
        <v>546</v>
      </c>
      <c r="K36" s="1"/>
    </row>
    <row r="37" spans="1:11" ht="43.7" customHeight="1" x14ac:dyDescent="0.2">
      <c r="A37" s="8">
        <v>6</v>
      </c>
      <c r="B37" s="8">
        <v>0</v>
      </c>
      <c r="C37" s="8">
        <v>0</v>
      </c>
      <c r="D37" s="3">
        <v>535220114</v>
      </c>
      <c r="E37" s="3"/>
      <c r="F37" s="9" t="s">
        <v>550</v>
      </c>
      <c r="G37" s="10" t="s">
        <v>48</v>
      </c>
      <c r="H37" s="78" t="s">
        <v>45</v>
      </c>
      <c r="I37" s="79"/>
      <c r="J37" s="9" t="s">
        <v>546</v>
      </c>
      <c r="K37" s="1"/>
    </row>
    <row r="38" spans="1:11" ht="75.2" customHeight="1" x14ac:dyDescent="0.2">
      <c r="B38" s="8"/>
      <c r="C38" s="8"/>
      <c r="D38" s="14"/>
      <c r="E38" s="14"/>
      <c r="F38" s="15" t="s">
        <v>551</v>
      </c>
      <c r="G38" s="14"/>
      <c r="H38" s="14"/>
      <c r="I38" s="14"/>
      <c r="J38" s="14"/>
      <c r="K38" s="14"/>
    </row>
    <row r="39" spans="1:11" ht="44.1" customHeight="1" x14ac:dyDescent="0.2">
      <c r="A39" s="8">
        <v>0</v>
      </c>
      <c r="B39" s="8">
        <v>1</v>
      </c>
      <c r="C39" s="8">
        <v>0</v>
      </c>
      <c r="D39" s="3">
        <v>535220062</v>
      </c>
      <c r="E39" s="3"/>
      <c r="F39" s="9" t="s">
        <v>552</v>
      </c>
      <c r="G39" s="10" t="s">
        <v>0</v>
      </c>
      <c r="H39" s="80" t="s">
        <v>49</v>
      </c>
      <c r="I39" s="81"/>
      <c r="J39" s="9" t="s">
        <v>553</v>
      </c>
      <c r="K39" s="1"/>
    </row>
    <row r="40" spans="1:11" ht="44.1" customHeight="1" x14ac:dyDescent="0.2">
      <c r="A40" s="8">
        <v>0</v>
      </c>
      <c r="B40" s="8">
        <v>1</v>
      </c>
      <c r="C40" s="8">
        <v>0</v>
      </c>
      <c r="D40" s="3">
        <v>535220063</v>
      </c>
      <c r="E40" s="3"/>
      <c r="F40" s="9" t="s">
        <v>554</v>
      </c>
      <c r="G40" s="10" t="s">
        <v>2</v>
      </c>
      <c r="H40" s="80" t="s">
        <v>49</v>
      </c>
      <c r="I40" s="81"/>
      <c r="J40" s="9" t="s">
        <v>553</v>
      </c>
      <c r="K40" s="1"/>
    </row>
    <row r="41" spans="1:11" ht="44.1" customHeight="1" x14ac:dyDescent="0.2">
      <c r="A41" s="8">
        <v>0</v>
      </c>
      <c r="B41" s="8">
        <v>1</v>
      </c>
      <c r="C41" s="8">
        <v>0</v>
      </c>
      <c r="D41" s="3">
        <v>535220071</v>
      </c>
      <c r="E41" s="3"/>
      <c r="F41" s="9" t="s">
        <v>555</v>
      </c>
      <c r="G41" s="10" t="s">
        <v>4</v>
      </c>
      <c r="H41" s="80" t="s">
        <v>49</v>
      </c>
      <c r="I41" s="81"/>
      <c r="J41" s="9" t="s">
        <v>553</v>
      </c>
    </row>
    <row r="42" spans="1:11" ht="42.95" customHeight="1" x14ac:dyDescent="0.2">
      <c r="A42" s="8">
        <v>0</v>
      </c>
      <c r="B42" s="8">
        <v>1</v>
      </c>
      <c r="C42" s="8">
        <v>0</v>
      </c>
      <c r="D42" s="3">
        <v>535220123</v>
      </c>
      <c r="E42" s="3"/>
      <c r="F42" s="9" t="s">
        <v>556</v>
      </c>
      <c r="G42" s="10" t="s">
        <v>5</v>
      </c>
      <c r="H42" s="80" t="s">
        <v>49</v>
      </c>
      <c r="I42" s="81"/>
      <c r="J42" s="9" t="s">
        <v>553</v>
      </c>
    </row>
    <row r="43" spans="1:11" ht="43.5" customHeight="1" x14ac:dyDescent="0.2">
      <c r="A43" s="8">
        <v>0</v>
      </c>
      <c r="B43" s="8">
        <v>1</v>
      </c>
      <c r="C43" s="8">
        <v>0</v>
      </c>
      <c r="D43" s="3">
        <v>535220126</v>
      </c>
      <c r="E43" s="3"/>
      <c r="F43" s="9" t="s">
        <v>557</v>
      </c>
      <c r="G43" s="10" t="s">
        <v>6</v>
      </c>
      <c r="H43" s="80" t="s">
        <v>49</v>
      </c>
      <c r="I43" s="81"/>
      <c r="J43" s="9" t="s">
        <v>553</v>
      </c>
    </row>
    <row r="44" spans="1:11" ht="42.95" customHeight="1" x14ac:dyDescent="0.2">
      <c r="A44" s="8">
        <v>1</v>
      </c>
      <c r="B44" s="8">
        <v>1</v>
      </c>
      <c r="C44" s="8">
        <v>0</v>
      </c>
      <c r="D44" s="3">
        <v>535220129</v>
      </c>
      <c r="E44" s="3"/>
      <c r="F44" s="9" t="s">
        <v>558</v>
      </c>
      <c r="G44" s="10" t="s">
        <v>7</v>
      </c>
      <c r="H44" s="80" t="s">
        <v>50</v>
      </c>
      <c r="I44" s="81"/>
      <c r="J44" s="9" t="s">
        <v>559</v>
      </c>
    </row>
    <row r="45" spans="1:11" ht="44.1" customHeight="1" x14ac:dyDescent="0.2">
      <c r="A45" s="8">
        <v>1</v>
      </c>
      <c r="B45" s="8">
        <v>1</v>
      </c>
      <c r="C45" s="8">
        <v>0</v>
      </c>
      <c r="D45" s="3">
        <v>535220131</v>
      </c>
      <c r="E45" s="3"/>
      <c r="F45" s="9" t="s">
        <v>560</v>
      </c>
      <c r="G45" s="10" t="s">
        <v>8</v>
      </c>
      <c r="H45" s="78" t="s">
        <v>51</v>
      </c>
      <c r="I45" s="79"/>
      <c r="J45" s="9" t="s">
        <v>559</v>
      </c>
    </row>
    <row r="46" spans="1:11" ht="42.95" customHeight="1" x14ac:dyDescent="0.2">
      <c r="A46" s="8">
        <v>1</v>
      </c>
      <c r="B46" s="8">
        <v>1</v>
      </c>
      <c r="C46" s="8">
        <v>0</v>
      </c>
      <c r="D46" s="3">
        <v>535220186</v>
      </c>
      <c r="E46" s="3"/>
      <c r="F46" s="9" t="s">
        <v>561</v>
      </c>
      <c r="G46" s="10" t="s">
        <v>10</v>
      </c>
      <c r="H46" s="78" t="s">
        <v>51</v>
      </c>
      <c r="I46" s="79"/>
      <c r="J46" s="9" t="s">
        <v>559</v>
      </c>
    </row>
    <row r="47" spans="1:11" ht="44.1" customHeight="1" x14ac:dyDescent="0.2">
      <c r="A47" s="8">
        <v>1</v>
      </c>
      <c r="B47" s="8">
        <v>1</v>
      </c>
      <c r="C47" s="8">
        <v>0</v>
      </c>
      <c r="D47" s="3">
        <v>535220187</v>
      </c>
      <c r="E47" s="3"/>
      <c r="F47" s="9" t="s">
        <v>562</v>
      </c>
      <c r="G47" s="10" t="s">
        <v>11</v>
      </c>
      <c r="H47" s="78" t="s">
        <v>51</v>
      </c>
      <c r="I47" s="79"/>
      <c r="J47" s="9" t="s">
        <v>559</v>
      </c>
    </row>
    <row r="48" spans="1:11" ht="42.6" customHeight="1" x14ac:dyDescent="0.2">
      <c r="A48" s="8">
        <v>1</v>
      </c>
      <c r="B48" s="8">
        <v>1</v>
      </c>
      <c r="C48" s="8">
        <v>0</v>
      </c>
      <c r="D48" s="3">
        <v>535220198</v>
      </c>
      <c r="E48" s="3"/>
      <c r="F48" s="9" t="s">
        <v>563</v>
      </c>
      <c r="G48" s="10" t="s">
        <v>12</v>
      </c>
      <c r="H48" s="78" t="s">
        <v>51</v>
      </c>
      <c r="I48" s="79"/>
      <c r="J48" s="9" t="s">
        <v>559</v>
      </c>
    </row>
    <row r="49" spans="1:10" ht="42.95" customHeight="1" x14ac:dyDescent="0.2">
      <c r="A49" s="8">
        <v>2</v>
      </c>
      <c r="B49" s="8">
        <v>1</v>
      </c>
      <c r="C49" s="8">
        <v>0</v>
      </c>
      <c r="D49" s="3">
        <v>535220204</v>
      </c>
      <c r="E49" s="3"/>
      <c r="F49" s="9" t="s">
        <v>564</v>
      </c>
      <c r="G49" s="10" t="s">
        <v>14</v>
      </c>
      <c r="H49" s="80" t="s">
        <v>49</v>
      </c>
      <c r="I49" s="81"/>
      <c r="J49" s="9" t="s">
        <v>553</v>
      </c>
    </row>
    <row r="50" spans="1:10" ht="44.1" customHeight="1" x14ac:dyDescent="0.2">
      <c r="A50" s="8">
        <v>2</v>
      </c>
      <c r="B50" s="8">
        <v>1</v>
      </c>
      <c r="C50" s="8">
        <v>0</v>
      </c>
      <c r="D50" s="3">
        <v>535220006</v>
      </c>
      <c r="E50" s="3"/>
      <c r="F50" s="9" t="s">
        <v>565</v>
      </c>
      <c r="G50" s="10" t="s">
        <v>16</v>
      </c>
      <c r="H50" s="78" t="s">
        <v>52</v>
      </c>
      <c r="I50" s="79"/>
      <c r="J50" s="9" t="s">
        <v>553</v>
      </c>
    </row>
    <row r="51" spans="1:10" ht="33" customHeight="1" x14ac:dyDescent="0.2">
      <c r="A51" s="8">
        <v>2</v>
      </c>
      <c r="B51" s="8">
        <v>1</v>
      </c>
      <c r="C51" s="8">
        <v>0</v>
      </c>
      <c r="D51" s="4">
        <v>535220007</v>
      </c>
      <c r="E51" s="4"/>
      <c r="F51" s="12" t="s">
        <v>566</v>
      </c>
      <c r="G51" s="13" t="s">
        <v>17</v>
      </c>
      <c r="H51" s="82" t="s">
        <v>53</v>
      </c>
      <c r="I51" s="83"/>
      <c r="J51" s="12" t="s">
        <v>553</v>
      </c>
    </row>
    <row r="52" spans="1:10" ht="44.1" customHeight="1" x14ac:dyDescent="0.2">
      <c r="A52" s="8">
        <v>2</v>
      </c>
      <c r="B52" s="8">
        <v>1</v>
      </c>
      <c r="C52" s="8">
        <v>0</v>
      </c>
      <c r="D52" s="3">
        <v>535220012</v>
      </c>
      <c r="E52" s="3"/>
      <c r="F52" s="9" t="s">
        <v>567</v>
      </c>
      <c r="G52" s="10" t="s">
        <v>18</v>
      </c>
      <c r="H52" s="78" t="s">
        <v>52</v>
      </c>
      <c r="I52" s="79"/>
      <c r="J52" s="9" t="s">
        <v>553</v>
      </c>
    </row>
    <row r="53" spans="1:10" ht="43.5" customHeight="1" x14ac:dyDescent="0.2">
      <c r="A53" s="8">
        <v>2</v>
      </c>
      <c r="B53" s="8">
        <v>1</v>
      </c>
      <c r="C53" s="8">
        <v>0</v>
      </c>
      <c r="D53" s="3">
        <v>535220055</v>
      </c>
      <c r="E53" s="3"/>
      <c r="F53" s="9" t="s">
        <v>568</v>
      </c>
      <c r="G53" s="10" t="s">
        <v>19</v>
      </c>
      <c r="H53" s="78" t="s">
        <v>52</v>
      </c>
      <c r="I53" s="79"/>
      <c r="J53" s="9" t="s">
        <v>553</v>
      </c>
    </row>
    <row r="54" spans="1:10" ht="42.95" customHeight="1" x14ac:dyDescent="0.2">
      <c r="A54" s="8">
        <v>3</v>
      </c>
      <c r="B54" s="8">
        <v>1</v>
      </c>
      <c r="C54" s="8">
        <v>0</v>
      </c>
      <c r="D54" s="3">
        <v>535220065</v>
      </c>
      <c r="E54" s="3"/>
      <c r="F54" s="9" t="s">
        <v>569</v>
      </c>
      <c r="G54" s="10" t="s">
        <v>20</v>
      </c>
      <c r="H54" s="80" t="s">
        <v>54</v>
      </c>
      <c r="I54" s="81"/>
      <c r="J54" s="9" t="s">
        <v>570</v>
      </c>
    </row>
    <row r="55" spans="1:10" ht="44.1" customHeight="1" x14ac:dyDescent="0.2">
      <c r="A55" s="8">
        <v>3</v>
      </c>
      <c r="B55" s="8">
        <v>1</v>
      </c>
      <c r="C55" s="8">
        <v>0</v>
      </c>
      <c r="D55" s="3">
        <v>535220066</v>
      </c>
      <c r="E55" s="3"/>
      <c r="F55" s="9" t="s">
        <v>571</v>
      </c>
      <c r="G55" s="10" t="s">
        <v>22</v>
      </c>
      <c r="H55" s="80" t="s">
        <v>54</v>
      </c>
      <c r="I55" s="81"/>
      <c r="J55" s="9" t="s">
        <v>570</v>
      </c>
    </row>
    <row r="56" spans="1:10" ht="42.95" customHeight="1" x14ac:dyDescent="0.2">
      <c r="A56" s="8">
        <v>3</v>
      </c>
      <c r="B56" s="8">
        <v>1</v>
      </c>
      <c r="C56" s="8">
        <v>0</v>
      </c>
      <c r="D56" s="3">
        <v>535220067</v>
      </c>
      <c r="E56" s="3"/>
      <c r="F56" s="9" t="s">
        <v>572</v>
      </c>
      <c r="G56" s="10" t="s">
        <v>23</v>
      </c>
      <c r="H56" s="80" t="s">
        <v>54</v>
      </c>
      <c r="I56" s="81"/>
      <c r="J56" s="9" t="s">
        <v>570</v>
      </c>
    </row>
    <row r="57" spans="1:10" ht="44.1" customHeight="1" x14ac:dyDescent="0.2">
      <c r="A57" s="8">
        <v>3</v>
      </c>
      <c r="B57" s="8">
        <v>1</v>
      </c>
      <c r="C57" s="8">
        <v>0</v>
      </c>
      <c r="D57" s="3">
        <v>535220134</v>
      </c>
      <c r="E57" s="3"/>
      <c r="F57" s="9" t="s">
        <v>573</v>
      </c>
      <c r="G57" s="10" t="s">
        <v>24</v>
      </c>
      <c r="H57" s="80" t="s">
        <v>54</v>
      </c>
      <c r="I57" s="81"/>
      <c r="J57" s="9" t="s">
        <v>570</v>
      </c>
    </row>
    <row r="58" spans="1:10" ht="42.6" customHeight="1" x14ac:dyDescent="0.2">
      <c r="A58" s="8">
        <v>3</v>
      </c>
      <c r="B58" s="8">
        <v>1</v>
      </c>
      <c r="C58" s="8">
        <v>0</v>
      </c>
      <c r="D58" s="3">
        <v>535220135</v>
      </c>
      <c r="E58" s="3"/>
      <c r="F58" s="9" t="s">
        <v>574</v>
      </c>
      <c r="G58" s="10" t="s">
        <v>25</v>
      </c>
      <c r="H58" s="80" t="s">
        <v>54</v>
      </c>
      <c r="I58" s="81"/>
      <c r="J58" s="9" t="s">
        <v>570</v>
      </c>
    </row>
    <row r="59" spans="1:10" ht="44.1" customHeight="1" x14ac:dyDescent="0.2">
      <c r="A59" s="8">
        <v>4</v>
      </c>
      <c r="B59" s="8">
        <v>1</v>
      </c>
      <c r="C59" s="8">
        <v>0</v>
      </c>
      <c r="D59" s="3">
        <v>535220115</v>
      </c>
      <c r="E59" s="3"/>
      <c r="F59" s="9" t="s">
        <v>575</v>
      </c>
      <c r="G59" s="10" t="s">
        <v>26</v>
      </c>
      <c r="H59" s="78" t="s">
        <v>55</v>
      </c>
      <c r="I59" s="79"/>
      <c r="J59" s="9" t="s">
        <v>576</v>
      </c>
    </row>
    <row r="60" spans="1:10" ht="44.1" customHeight="1" x14ac:dyDescent="0.2">
      <c r="A60" s="8">
        <v>4</v>
      </c>
      <c r="B60" s="8">
        <v>1</v>
      </c>
      <c r="C60" s="8">
        <v>0</v>
      </c>
      <c r="D60" s="3">
        <v>535220116</v>
      </c>
      <c r="E60" s="3"/>
      <c r="F60" s="9" t="s">
        <v>577</v>
      </c>
      <c r="G60" s="10" t="s">
        <v>29</v>
      </c>
      <c r="H60" s="78" t="s">
        <v>55</v>
      </c>
      <c r="I60" s="79"/>
      <c r="J60" s="9" t="s">
        <v>576</v>
      </c>
    </row>
    <row r="61" spans="1:10" ht="42.95" customHeight="1" x14ac:dyDescent="0.2">
      <c r="A61" s="8">
        <v>4</v>
      </c>
      <c r="B61" s="8">
        <v>1</v>
      </c>
      <c r="C61" s="8">
        <v>0</v>
      </c>
      <c r="D61" s="3">
        <v>535220118</v>
      </c>
      <c r="E61" s="3"/>
      <c r="F61" s="9" t="s">
        <v>578</v>
      </c>
      <c r="G61" s="10" t="s">
        <v>31</v>
      </c>
      <c r="H61" s="80" t="s">
        <v>56</v>
      </c>
      <c r="I61" s="81"/>
      <c r="J61" s="9" t="s">
        <v>576</v>
      </c>
    </row>
    <row r="62" spans="1:10" ht="42.75" customHeight="1" x14ac:dyDescent="0.2">
      <c r="A62" s="8">
        <v>4</v>
      </c>
      <c r="B62" s="8">
        <v>1</v>
      </c>
      <c r="C62" s="8">
        <v>0</v>
      </c>
      <c r="D62" s="11">
        <v>535220124</v>
      </c>
      <c r="E62" s="11"/>
      <c r="F62" s="13" t="s">
        <v>579</v>
      </c>
      <c r="G62" s="13" t="s">
        <v>32</v>
      </c>
      <c r="H62" s="80" t="s">
        <v>56</v>
      </c>
      <c r="I62" s="81"/>
      <c r="J62" s="13" t="s">
        <v>576</v>
      </c>
    </row>
    <row r="63" spans="1:10" ht="43.5" customHeight="1" x14ac:dyDescent="0.2">
      <c r="A63" s="8">
        <v>4</v>
      </c>
      <c r="B63" s="8">
        <v>1</v>
      </c>
      <c r="C63" s="8">
        <v>0</v>
      </c>
      <c r="D63" s="3">
        <v>535220125</v>
      </c>
      <c r="E63" s="3"/>
      <c r="F63" s="9" t="s">
        <v>580</v>
      </c>
      <c r="G63" s="10" t="s">
        <v>33</v>
      </c>
      <c r="H63" s="78" t="s">
        <v>55</v>
      </c>
      <c r="I63" s="79"/>
      <c r="J63" s="9" t="s">
        <v>576</v>
      </c>
    </row>
    <row r="64" spans="1:10" ht="42.95" customHeight="1" x14ac:dyDescent="0.2">
      <c r="A64" s="8">
        <v>5</v>
      </c>
      <c r="B64" s="8">
        <v>1</v>
      </c>
      <c r="C64" s="8">
        <v>0</v>
      </c>
      <c r="D64" s="3">
        <v>535220244</v>
      </c>
      <c r="E64" s="3"/>
      <c r="F64" s="9" t="s">
        <v>581</v>
      </c>
      <c r="G64" s="10" t="s">
        <v>34</v>
      </c>
      <c r="H64" s="80" t="s">
        <v>57</v>
      </c>
      <c r="I64" s="81"/>
      <c r="J64" s="9" t="s">
        <v>553</v>
      </c>
    </row>
    <row r="65" spans="1:11" ht="44.1" customHeight="1" x14ac:dyDescent="0.2">
      <c r="A65" s="8">
        <v>5</v>
      </c>
      <c r="B65" s="8">
        <v>1</v>
      </c>
      <c r="C65" s="8">
        <v>0</v>
      </c>
      <c r="D65" s="3">
        <v>535220267</v>
      </c>
      <c r="E65" s="3"/>
      <c r="F65" s="9" t="s">
        <v>582</v>
      </c>
      <c r="G65" s="10" t="s">
        <v>37</v>
      </c>
      <c r="H65" s="78" t="s">
        <v>58</v>
      </c>
      <c r="I65" s="79"/>
      <c r="J65" s="9" t="s">
        <v>553</v>
      </c>
    </row>
    <row r="66" spans="1:11" ht="42.95" customHeight="1" x14ac:dyDescent="0.2">
      <c r="A66" s="8">
        <v>5</v>
      </c>
      <c r="B66" s="8">
        <v>1</v>
      </c>
      <c r="C66" s="8">
        <v>0</v>
      </c>
      <c r="D66" s="3">
        <v>825220145</v>
      </c>
      <c r="E66" s="3"/>
      <c r="F66" s="9" t="s">
        <v>583</v>
      </c>
      <c r="G66" s="10" t="s">
        <v>39</v>
      </c>
      <c r="H66" s="80" t="s">
        <v>59</v>
      </c>
      <c r="I66" s="81"/>
      <c r="J66" s="9" t="s">
        <v>553</v>
      </c>
    </row>
    <row r="67" spans="1:11" ht="44.1" customHeight="1" x14ac:dyDescent="0.2">
      <c r="A67" s="8">
        <v>5</v>
      </c>
      <c r="B67" s="8">
        <v>1</v>
      </c>
      <c r="C67" s="8">
        <v>0</v>
      </c>
      <c r="D67" s="3">
        <v>825220148</v>
      </c>
      <c r="E67" s="3"/>
      <c r="F67" s="9" t="s">
        <v>584</v>
      </c>
      <c r="G67" s="10" t="s">
        <v>40</v>
      </c>
      <c r="H67" s="78" t="s">
        <v>60</v>
      </c>
      <c r="I67" s="79"/>
      <c r="J67" s="9" t="s">
        <v>553</v>
      </c>
    </row>
    <row r="68" spans="1:11" ht="42.6" customHeight="1" x14ac:dyDescent="0.2">
      <c r="A68" s="8">
        <v>5</v>
      </c>
      <c r="B68" s="8">
        <v>1</v>
      </c>
      <c r="C68" s="8">
        <v>0</v>
      </c>
      <c r="D68" s="3">
        <v>825220150</v>
      </c>
      <c r="E68" s="3"/>
      <c r="F68" s="9" t="s">
        <v>585</v>
      </c>
      <c r="G68" s="10" t="s">
        <v>41</v>
      </c>
      <c r="H68" s="78" t="s">
        <v>60</v>
      </c>
      <c r="I68" s="79"/>
      <c r="J68" s="9" t="s">
        <v>553</v>
      </c>
    </row>
    <row r="69" spans="1:11" ht="44.1" customHeight="1" x14ac:dyDescent="0.2">
      <c r="A69" s="8">
        <v>6</v>
      </c>
      <c r="B69" s="8">
        <v>1</v>
      </c>
      <c r="C69" s="8">
        <v>0</v>
      </c>
      <c r="D69" s="3">
        <v>825220181</v>
      </c>
      <c r="E69" s="3"/>
      <c r="F69" s="9" t="s">
        <v>586</v>
      </c>
      <c r="G69" s="10" t="s">
        <v>42</v>
      </c>
      <c r="H69" s="78" t="s">
        <v>61</v>
      </c>
      <c r="I69" s="79"/>
      <c r="J69" s="9" t="s">
        <v>28</v>
      </c>
    </row>
    <row r="70" spans="1:11" ht="44.1" customHeight="1" x14ac:dyDescent="0.2">
      <c r="A70" s="8">
        <v>6</v>
      </c>
      <c r="B70" s="8">
        <v>1</v>
      </c>
      <c r="C70" s="8">
        <v>0</v>
      </c>
      <c r="D70" s="3">
        <v>825239201</v>
      </c>
      <c r="E70" s="3"/>
      <c r="F70" s="9" t="s">
        <v>587</v>
      </c>
      <c r="G70" s="10" t="s">
        <v>44</v>
      </c>
      <c r="H70" s="78" t="s">
        <v>61</v>
      </c>
      <c r="I70" s="79"/>
      <c r="J70" s="9" t="s">
        <v>28</v>
      </c>
    </row>
    <row r="71" spans="1:11" ht="42.95" customHeight="1" x14ac:dyDescent="0.2">
      <c r="A71" s="8">
        <v>6</v>
      </c>
      <c r="B71" s="8">
        <v>1</v>
      </c>
      <c r="C71" s="8">
        <v>0</v>
      </c>
      <c r="D71" s="3">
        <v>535220037</v>
      </c>
      <c r="E71" s="3"/>
      <c r="F71" s="9" t="s">
        <v>588</v>
      </c>
      <c r="G71" s="10" t="s">
        <v>46</v>
      </c>
      <c r="H71" s="80" t="s">
        <v>62</v>
      </c>
      <c r="I71" s="81"/>
      <c r="J71" s="9" t="s">
        <v>28</v>
      </c>
    </row>
    <row r="72" spans="1:11" ht="43.7" customHeight="1" x14ac:dyDescent="0.2">
      <c r="A72" s="8">
        <v>6</v>
      </c>
      <c r="B72" s="8">
        <v>1</v>
      </c>
      <c r="C72" s="8">
        <v>0</v>
      </c>
      <c r="D72" s="3">
        <v>535220040</v>
      </c>
      <c r="E72" s="3"/>
      <c r="F72" s="9" t="s">
        <v>589</v>
      </c>
      <c r="G72" s="10" t="s">
        <v>47</v>
      </c>
      <c r="H72" s="78" t="s">
        <v>63</v>
      </c>
      <c r="I72" s="79"/>
      <c r="J72" s="9" t="s">
        <v>28</v>
      </c>
    </row>
    <row r="73" spans="1:11" ht="43.7" customHeight="1" x14ac:dyDescent="0.2">
      <c r="A73" s="8">
        <v>6</v>
      </c>
      <c r="B73" s="8">
        <v>1</v>
      </c>
      <c r="C73" s="8">
        <v>0</v>
      </c>
      <c r="D73" s="3">
        <v>535220064</v>
      </c>
      <c r="E73" s="3"/>
      <c r="F73" s="9" t="s">
        <v>590</v>
      </c>
      <c r="G73" s="10" t="s">
        <v>48</v>
      </c>
      <c r="H73" s="78" t="s">
        <v>63</v>
      </c>
      <c r="I73" s="79"/>
      <c r="J73" s="9" t="s">
        <v>28</v>
      </c>
      <c r="K73" s="1"/>
    </row>
    <row r="74" spans="1:11" ht="43.7" customHeight="1" x14ac:dyDescent="0.2">
      <c r="A74" s="16"/>
      <c r="B74" s="16"/>
      <c r="C74" s="16"/>
      <c r="D74" s="20"/>
      <c r="E74" s="20"/>
      <c r="F74" s="21"/>
      <c r="G74" s="22"/>
      <c r="H74" s="21"/>
      <c r="I74" s="21"/>
      <c r="J74" s="21"/>
      <c r="K74" s="1"/>
    </row>
    <row r="75" spans="1:11" ht="74.849999999999994" customHeight="1" x14ac:dyDescent="0.2">
      <c r="A75" s="84" t="s">
        <v>591</v>
      </c>
      <c r="B75" s="84"/>
      <c r="C75" s="84"/>
      <c r="D75" s="84"/>
      <c r="E75" s="84"/>
      <c r="F75" s="84"/>
      <c r="G75" s="84"/>
      <c r="H75" s="84"/>
      <c r="I75" s="84"/>
      <c r="J75" s="84"/>
      <c r="K75" s="84"/>
    </row>
    <row r="76" spans="1:11" ht="42.95" customHeight="1" x14ac:dyDescent="0.2">
      <c r="A76" s="8">
        <v>0</v>
      </c>
      <c r="B76" s="8">
        <v>1</v>
      </c>
      <c r="C76" s="8">
        <v>1</v>
      </c>
      <c r="D76" s="3">
        <v>535220096</v>
      </c>
      <c r="E76" s="3"/>
      <c r="F76" s="9" t="s">
        <v>592</v>
      </c>
      <c r="G76" s="10" t="s">
        <v>0</v>
      </c>
      <c r="H76" s="80" t="s">
        <v>64</v>
      </c>
      <c r="I76" s="81"/>
      <c r="J76" s="9" t="s">
        <v>65</v>
      </c>
      <c r="K76" s="1"/>
    </row>
    <row r="77" spans="1:11" ht="44.1" customHeight="1" x14ac:dyDescent="0.2">
      <c r="A77" s="8">
        <v>0</v>
      </c>
      <c r="B77" s="8">
        <v>1</v>
      </c>
      <c r="C77" s="8">
        <v>1</v>
      </c>
      <c r="D77" s="3">
        <v>535220101</v>
      </c>
      <c r="E77" s="3"/>
      <c r="F77" s="9" t="s">
        <v>593</v>
      </c>
      <c r="G77" s="10" t="s">
        <v>2</v>
      </c>
      <c r="H77" s="80" t="s">
        <v>64</v>
      </c>
      <c r="I77" s="81"/>
      <c r="J77" s="9" t="s">
        <v>65</v>
      </c>
      <c r="K77" s="1"/>
    </row>
    <row r="78" spans="1:11" ht="42.95" customHeight="1" x14ac:dyDescent="0.2">
      <c r="A78" s="8">
        <v>0</v>
      </c>
      <c r="B78" s="8">
        <v>1</v>
      </c>
      <c r="C78" s="8">
        <v>1</v>
      </c>
      <c r="D78" s="3">
        <v>535220103</v>
      </c>
      <c r="E78" s="3"/>
      <c r="F78" s="9" t="s">
        <v>594</v>
      </c>
      <c r="G78" s="10" t="s">
        <v>4</v>
      </c>
      <c r="H78" s="80" t="s">
        <v>64</v>
      </c>
      <c r="I78" s="81"/>
      <c r="J78" s="9" t="s">
        <v>65</v>
      </c>
      <c r="K78" s="1"/>
    </row>
    <row r="79" spans="1:11" ht="44.1" customHeight="1" x14ac:dyDescent="0.2">
      <c r="A79" s="8">
        <v>0</v>
      </c>
      <c r="B79" s="8">
        <v>1</v>
      </c>
      <c r="C79" s="8">
        <v>1</v>
      </c>
      <c r="D79" s="3">
        <v>535220082</v>
      </c>
      <c r="E79" s="3"/>
      <c r="F79" s="9" t="s">
        <v>595</v>
      </c>
      <c r="G79" s="10" t="s">
        <v>5</v>
      </c>
      <c r="H79" s="78" t="s">
        <v>66</v>
      </c>
      <c r="I79" s="79"/>
      <c r="J79" s="9" t="s">
        <v>65</v>
      </c>
      <c r="K79" s="1"/>
    </row>
    <row r="80" spans="1:11" ht="43.7" customHeight="1" x14ac:dyDescent="0.2">
      <c r="A80" s="8">
        <v>0</v>
      </c>
      <c r="B80" s="8">
        <v>1</v>
      </c>
      <c r="C80" s="8">
        <v>1</v>
      </c>
      <c r="D80" s="3">
        <v>535220133</v>
      </c>
      <c r="E80" s="3"/>
      <c r="F80" s="9" t="s">
        <v>596</v>
      </c>
      <c r="G80" s="10" t="s">
        <v>6</v>
      </c>
      <c r="H80" s="78" t="s">
        <v>66</v>
      </c>
      <c r="I80" s="79"/>
      <c r="J80" s="9" t="s">
        <v>65</v>
      </c>
      <c r="K80" s="1"/>
    </row>
    <row r="81" spans="1:11" ht="43.5" customHeight="1" x14ac:dyDescent="0.2">
      <c r="A81" s="8">
        <v>1</v>
      </c>
      <c r="B81" s="8">
        <v>1</v>
      </c>
      <c r="C81" s="8">
        <v>1</v>
      </c>
      <c r="D81" s="3">
        <v>535220149</v>
      </c>
      <c r="E81" s="3"/>
      <c r="F81" s="9" t="s">
        <v>597</v>
      </c>
      <c r="G81" s="10" t="s">
        <v>7</v>
      </c>
      <c r="H81" s="78" t="s">
        <v>67</v>
      </c>
      <c r="I81" s="79"/>
      <c r="J81" s="9" t="s">
        <v>598</v>
      </c>
      <c r="K81" s="1"/>
    </row>
    <row r="82" spans="1:11" ht="42.95" customHeight="1" x14ac:dyDescent="0.2">
      <c r="A82" s="8">
        <v>1</v>
      </c>
      <c r="B82" s="8">
        <v>1</v>
      </c>
      <c r="C82" s="8">
        <v>1</v>
      </c>
      <c r="D82" s="3">
        <v>535220058</v>
      </c>
      <c r="E82" s="3"/>
      <c r="F82" s="9" t="s">
        <v>599</v>
      </c>
      <c r="G82" s="10" t="s">
        <v>8</v>
      </c>
      <c r="H82" s="80" t="s">
        <v>68</v>
      </c>
      <c r="I82" s="81"/>
      <c r="J82" s="9" t="s">
        <v>598</v>
      </c>
      <c r="K82" s="1"/>
    </row>
    <row r="83" spans="1:11" ht="44.1" customHeight="1" x14ac:dyDescent="0.2">
      <c r="A83" s="8">
        <v>1</v>
      </c>
      <c r="B83" s="8">
        <v>1</v>
      </c>
      <c r="C83" s="8">
        <v>1</v>
      </c>
      <c r="D83" s="3">
        <v>535220059</v>
      </c>
      <c r="E83" s="3"/>
      <c r="F83" s="9" t="s">
        <v>600</v>
      </c>
      <c r="G83" s="10" t="s">
        <v>10</v>
      </c>
      <c r="H83" s="80" t="s">
        <v>68</v>
      </c>
      <c r="I83" s="81"/>
      <c r="J83" s="9" t="s">
        <v>598</v>
      </c>
      <c r="K83" s="1"/>
    </row>
    <row r="84" spans="1:11" ht="33.75" customHeight="1" x14ac:dyDescent="0.2">
      <c r="A84" s="8">
        <v>1</v>
      </c>
      <c r="B84" s="8">
        <v>1</v>
      </c>
      <c r="C84" s="8">
        <v>1</v>
      </c>
      <c r="D84" s="4">
        <v>535220069</v>
      </c>
      <c r="E84" s="4"/>
      <c r="F84" s="12" t="s">
        <v>601</v>
      </c>
      <c r="G84" s="13" t="s">
        <v>11</v>
      </c>
      <c r="H84" s="80" t="s">
        <v>68</v>
      </c>
      <c r="I84" s="81"/>
      <c r="J84" s="12" t="s">
        <v>598</v>
      </c>
      <c r="K84" s="2"/>
    </row>
    <row r="85" spans="1:11" ht="43.5" customHeight="1" x14ac:dyDescent="0.2">
      <c r="A85" s="8">
        <v>1</v>
      </c>
      <c r="B85" s="8">
        <v>1</v>
      </c>
      <c r="C85" s="8">
        <v>1</v>
      </c>
      <c r="D85" s="3">
        <v>535220110</v>
      </c>
      <c r="E85" s="3"/>
      <c r="F85" s="9" t="s">
        <v>603</v>
      </c>
      <c r="G85" s="10" t="s">
        <v>12</v>
      </c>
      <c r="H85" s="80" t="s">
        <v>68</v>
      </c>
      <c r="I85" s="81"/>
      <c r="J85" s="9" t="s">
        <v>598</v>
      </c>
    </row>
    <row r="86" spans="1:11" ht="42.95" customHeight="1" x14ac:dyDescent="0.2">
      <c r="A86" s="8">
        <v>2</v>
      </c>
      <c r="B86" s="8">
        <v>1</v>
      </c>
      <c r="C86" s="8">
        <v>1</v>
      </c>
      <c r="D86" s="3">
        <v>535220117</v>
      </c>
      <c r="E86" s="3"/>
      <c r="F86" s="9" t="s">
        <v>604</v>
      </c>
      <c r="G86" s="10" t="s">
        <v>14</v>
      </c>
      <c r="H86" s="80" t="s">
        <v>69</v>
      </c>
      <c r="I86" s="81"/>
      <c r="J86" s="9" t="s">
        <v>602</v>
      </c>
    </row>
    <row r="87" spans="1:11" ht="44.1" customHeight="1" x14ac:dyDescent="0.2">
      <c r="A87" s="8">
        <v>2</v>
      </c>
      <c r="B87" s="8">
        <v>1</v>
      </c>
      <c r="C87" s="8">
        <v>1</v>
      </c>
      <c r="D87" s="3">
        <v>535220177</v>
      </c>
      <c r="E87" s="3"/>
      <c r="F87" s="9" t="s">
        <v>605</v>
      </c>
      <c r="G87" s="10" t="s">
        <v>16</v>
      </c>
      <c r="H87" s="80" t="s">
        <v>69</v>
      </c>
      <c r="I87" s="81"/>
      <c r="J87" s="9" t="s">
        <v>602</v>
      </c>
    </row>
    <row r="88" spans="1:11" ht="42.95" customHeight="1" x14ac:dyDescent="0.2">
      <c r="A88" s="8">
        <v>2</v>
      </c>
      <c r="B88" s="8">
        <v>1</v>
      </c>
      <c r="C88" s="8">
        <v>1</v>
      </c>
      <c r="D88" s="3">
        <v>535220180</v>
      </c>
      <c r="E88" s="3"/>
      <c r="F88" s="9" t="s">
        <v>606</v>
      </c>
      <c r="G88" s="10" t="s">
        <v>17</v>
      </c>
      <c r="H88" s="80" t="s">
        <v>69</v>
      </c>
      <c r="I88" s="81"/>
      <c r="J88" s="9" t="s">
        <v>602</v>
      </c>
    </row>
    <row r="89" spans="1:11" ht="44.1" customHeight="1" x14ac:dyDescent="0.2">
      <c r="A89" s="8">
        <v>2</v>
      </c>
      <c r="B89" s="8">
        <v>1</v>
      </c>
      <c r="C89" s="8">
        <v>1</v>
      </c>
      <c r="D89" s="3">
        <v>535220181</v>
      </c>
      <c r="E89" s="3"/>
      <c r="F89" s="9" t="s">
        <v>607</v>
      </c>
      <c r="G89" s="10" t="s">
        <v>18</v>
      </c>
      <c r="H89" s="80" t="s">
        <v>69</v>
      </c>
      <c r="I89" s="81"/>
      <c r="J89" s="9" t="s">
        <v>602</v>
      </c>
    </row>
    <row r="90" spans="1:11" ht="42.6" customHeight="1" x14ac:dyDescent="0.2">
      <c r="A90" s="8">
        <v>2</v>
      </c>
      <c r="B90" s="8">
        <v>1</v>
      </c>
      <c r="C90" s="8">
        <v>1</v>
      </c>
      <c r="D90" s="3">
        <v>535220263</v>
      </c>
      <c r="E90" s="3"/>
      <c r="F90" s="9" t="s">
        <v>608</v>
      </c>
      <c r="G90" s="10" t="s">
        <v>19</v>
      </c>
      <c r="H90" s="80" t="s">
        <v>69</v>
      </c>
      <c r="I90" s="81"/>
      <c r="J90" s="9" t="s">
        <v>602</v>
      </c>
    </row>
    <row r="91" spans="1:11" ht="44.1" customHeight="1" x14ac:dyDescent="0.2">
      <c r="A91" s="8">
        <v>3</v>
      </c>
      <c r="B91" s="8">
        <v>1</v>
      </c>
      <c r="C91" s="8">
        <v>1</v>
      </c>
      <c r="D91" s="3">
        <v>535220093</v>
      </c>
      <c r="E91" s="3"/>
      <c r="F91" s="9" t="s">
        <v>609</v>
      </c>
      <c r="G91" s="10" t="s">
        <v>20</v>
      </c>
      <c r="H91" s="78" t="s">
        <v>70</v>
      </c>
      <c r="I91" s="79"/>
      <c r="J91" s="9" t="s">
        <v>602</v>
      </c>
    </row>
    <row r="92" spans="1:11" ht="44.1" customHeight="1" x14ac:dyDescent="0.2">
      <c r="A92" s="8">
        <v>3</v>
      </c>
      <c r="B92" s="8">
        <v>1</v>
      </c>
      <c r="C92" s="8">
        <v>1</v>
      </c>
      <c r="D92" s="3">
        <v>535220095</v>
      </c>
      <c r="E92" s="3"/>
      <c r="F92" s="9" t="s">
        <v>610</v>
      </c>
      <c r="G92" s="10" t="s">
        <v>22</v>
      </c>
      <c r="H92" s="78" t="s">
        <v>70</v>
      </c>
      <c r="I92" s="79"/>
      <c r="J92" s="9" t="s">
        <v>602</v>
      </c>
    </row>
    <row r="93" spans="1:11" ht="42.95" customHeight="1" x14ac:dyDescent="0.2">
      <c r="A93" s="8">
        <v>3</v>
      </c>
      <c r="B93" s="8">
        <v>1</v>
      </c>
      <c r="C93" s="8">
        <v>1</v>
      </c>
      <c r="D93" s="3">
        <v>535220112</v>
      </c>
      <c r="E93" s="3"/>
      <c r="F93" s="9" t="s">
        <v>611</v>
      </c>
      <c r="G93" s="10" t="s">
        <v>23</v>
      </c>
      <c r="H93" s="80" t="s">
        <v>71</v>
      </c>
      <c r="I93" s="81"/>
      <c r="J93" s="9" t="s">
        <v>602</v>
      </c>
    </row>
    <row r="94" spans="1:11" ht="43.7" customHeight="1" x14ac:dyDescent="0.2">
      <c r="A94" s="8">
        <v>3</v>
      </c>
      <c r="B94" s="8">
        <v>1</v>
      </c>
      <c r="C94" s="8">
        <v>1</v>
      </c>
      <c r="D94" s="3">
        <v>535220207</v>
      </c>
      <c r="E94" s="3"/>
      <c r="F94" s="9" t="s">
        <v>612</v>
      </c>
      <c r="G94" s="10" t="s">
        <v>24</v>
      </c>
      <c r="H94" s="78" t="s">
        <v>70</v>
      </c>
      <c r="I94" s="79"/>
      <c r="J94" s="9" t="s">
        <v>602</v>
      </c>
    </row>
    <row r="95" spans="1:11" ht="43.7" customHeight="1" x14ac:dyDescent="0.2">
      <c r="A95" s="8">
        <v>3</v>
      </c>
      <c r="B95" s="8">
        <v>1</v>
      </c>
      <c r="C95" s="8">
        <v>1</v>
      </c>
      <c r="D95" s="3">
        <v>535220245</v>
      </c>
      <c r="E95" s="3"/>
      <c r="F95" s="9" t="s">
        <v>613</v>
      </c>
      <c r="G95" s="10" t="s">
        <v>25</v>
      </c>
      <c r="H95" s="78" t="s">
        <v>70</v>
      </c>
      <c r="I95" s="79"/>
      <c r="J95" s="9" t="s">
        <v>602</v>
      </c>
      <c r="K95" s="1"/>
    </row>
    <row r="96" spans="1:11" ht="42.95" customHeight="1" x14ac:dyDescent="0.2">
      <c r="A96" s="8">
        <v>4</v>
      </c>
      <c r="B96" s="8">
        <v>1</v>
      </c>
      <c r="C96" s="8">
        <v>1</v>
      </c>
      <c r="D96" s="3">
        <v>535200033</v>
      </c>
      <c r="E96" s="3"/>
      <c r="F96" s="9" t="s">
        <v>614</v>
      </c>
      <c r="G96" s="10" t="s">
        <v>26</v>
      </c>
      <c r="H96" s="80" t="s">
        <v>72</v>
      </c>
      <c r="I96" s="81"/>
      <c r="J96" s="9" t="s">
        <v>65</v>
      </c>
      <c r="K96" s="1"/>
    </row>
    <row r="97" spans="1:11" ht="44.1" customHeight="1" x14ac:dyDescent="0.2">
      <c r="A97" s="8">
        <v>4</v>
      </c>
      <c r="B97" s="8">
        <v>1</v>
      </c>
      <c r="C97" s="8">
        <v>1</v>
      </c>
      <c r="D97" s="3">
        <v>825220006</v>
      </c>
      <c r="E97" s="3"/>
      <c r="F97" s="9" t="s">
        <v>615</v>
      </c>
      <c r="G97" s="10" t="s">
        <v>29</v>
      </c>
      <c r="H97" s="80" t="s">
        <v>73</v>
      </c>
      <c r="I97" s="81"/>
      <c r="J97" s="9" t="s">
        <v>65</v>
      </c>
      <c r="K97" s="1"/>
    </row>
    <row r="98" spans="1:11" ht="42.95" customHeight="1" x14ac:dyDescent="0.2">
      <c r="A98" s="8">
        <v>4</v>
      </c>
      <c r="B98" s="8">
        <v>1</v>
      </c>
      <c r="C98" s="8">
        <v>1</v>
      </c>
      <c r="D98" s="3">
        <v>825220011</v>
      </c>
      <c r="E98" s="3"/>
      <c r="F98" s="9" t="s">
        <v>616</v>
      </c>
      <c r="G98" s="10" t="s">
        <v>31</v>
      </c>
      <c r="H98" s="80" t="s">
        <v>73</v>
      </c>
      <c r="I98" s="81"/>
      <c r="J98" s="9" t="s">
        <v>65</v>
      </c>
      <c r="K98" s="1"/>
    </row>
    <row r="99" spans="1:11" ht="44.1" customHeight="1" x14ac:dyDescent="0.2">
      <c r="A99" s="8">
        <v>4</v>
      </c>
      <c r="B99" s="8">
        <v>1</v>
      </c>
      <c r="C99" s="8">
        <v>1</v>
      </c>
      <c r="D99" s="3">
        <v>825220002</v>
      </c>
      <c r="E99" s="3"/>
      <c r="F99" s="9" t="s">
        <v>617</v>
      </c>
      <c r="G99" s="10" t="s">
        <v>32</v>
      </c>
      <c r="H99" s="80" t="s">
        <v>73</v>
      </c>
      <c r="I99" s="81"/>
      <c r="J99" s="9" t="s">
        <v>65</v>
      </c>
      <c r="K99" s="1"/>
    </row>
    <row r="100" spans="1:11" ht="43.7" customHeight="1" x14ac:dyDescent="0.2">
      <c r="A100" s="8">
        <v>4</v>
      </c>
      <c r="B100" s="8">
        <v>1</v>
      </c>
      <c r="C100" s="8">
        <v>1</v>
      </c>
      <c r="D100" s="3">
        <v>825220009</v>
      </c>
      <c r="E100" s="3"/>
      <c r="F100" s="9" t="s">
        <v>618</v>
      </c>
      <c r="G100" s="10" t="s">
        <v>33</v>
      </c>
      <c r="H100" s="80" t="s">
        <v>73</v>
      </c>
      <c r="I100" s="81"/>
      <c r="J100" s="9" t="s">
        <v>65</v>
      </c>
      <c r="K100" s="1"/>
    </row>
    <row r="101" spans="1:11" ht="43.5" customHeight="1" x14ac:dyDescent="0.2">
      <c r="A101" s="8">
        <v>5</v>
      </c>
      <c r="B101" s="8">
        <v>1</v>
      </c>
      <c r="C101" s="8">
        <v>1</v>
      </c>
      <c r="D101" s="3">
        <v>535220022</v>
      </c>
      <c r="E101" s="3"/>
      <c r="F101" s="9" t="s">
        <v>619</v>
      </c>
      <c r="G101" s="10" t="s">
        <v>34</v>
      </c>
      <c r="H101" s="78" t="s">
        <v>74</v>
      </c>
      <c r="I101" s="79"/>
      <c r="J101" s="9" t="s">
        <v>65</v>
      </c>
      <c r="K101" s="1"/>
    </row>
    <row r="102" spans="1:11" ht="44.1" customHeight="1" x14ac:dyDescent="0.2">
      <c r="A102" s="8">
        <v>5</v>
      </c>
      <c r="B102" s="8">
        <v>1</v>
      </c>
      <c r="C102" s="8">
        <v>1</v>
      </c>
      <c r="D102" s="3">
        <v>535220023</v>
      </c>
      <c r="E102" s="3"/>
      <c r="F102" s="9" t="s">
        <v>620</v>
      </c>
      <c r="G102" s="10" t="s">
        <v>37</v>
      </c>
      <c r="H102" s="78" t="s">
        <v>74</v>
      </c>
      <c r="I102" s="79"/>
      <c r="J102" s="9" t="s">
        <v>65</v>
      </c>
      <c r="K102" s="1"/>
    </row>
    <row r="103" spans="1:11" ht="42.95" customHeight="1" x14ac:dyDescent="0.2">
      <c r="A103" s="8">
        <v>5</v>
      </c>
      <c r="B103" s="8">
        <v>1</v>
      </c>
      <c r="C103" s="8">
        <v>1</v>
      </c>
      <c r="D103" s="3">
        <v>535220028</v>
      </c>
      <c r="E103" s="3"/>
      <c r="F103" s="9" t="s">
        <v>621</v>
      </c>
      <c r="G103" s="10" t="s">
        <v>39</v>
      </c>
      <c r="H103" s="80" t="s">
        <v>72</v>
      </c>
      <c r="I103" s="81"/>
      <c r="J103" s="9" t="s">
        <v>65</v>
      </c>
      <c r="K103" s="1"/>
    </row>
    <row r="104" spans="1:11" ht="44.1" customHeight="1" x14ac:dyDescent="0.2">
      <c r="A104" s="8">
        <v>5</v>
      </c>
      <c r="B104" s="8">
        <v>1</v>
      </c>
      <c r="C104" s="8">
        <v>1</v>
      </c>
      <c r="D104" s="3">
        <v>535220031</v>
      </c>
      <c r="E104" s="3"/>
      <c r="F104" s="9" t="s">
        <v>622</v>
      </c>
      <c r="G104" s="10" t="s">
        <v>40</v>
      </c>
      <c r="H104" s="78" t="s">
        <v>74</v>
      </c>
      <c r="I104" s="79"/>
      <c r="J104" s="9" t="s">
        <v>65</v>
      </c>
      <c r="K104" s="1"/>
    </row>
    <row r="105" spans="1:11" ht="33" customHeight="1" x14ac:dyDescent="0.2">
      <c r="A105" s="8">
        <v>5</v>
      </c>
      <c r="B105" s="8">
        <v>1</v>
      </c>
      <c r="C105" s="8">
        <v>1</v>
      </c>
      <c r="D105" s="4">
        <v>535220060</v>
      </c>
      <c r="E105" s="4"/>
      <c r="F105" s="12" t="s">
        <v>623</v>
      </c>
      <c r="G105" s="13" t="s">
        <v>41</v>
      </c>
      <c r="H105" s="82" t="s">
        <v>72</v>
      </c>
      <c r="I105" s="83"/>
      <c r="J105" s="12" t="s">
        <v>65</v>
      </c>
      <c r="K105" s="1"/>
    </row>
    <row r="106" spans="1:11" ht="42.6" customHeight="1" x14ac:dyDescent="0.2">
      <c r="A106" s="8">
        <v>6</v>
      </c>
      <c r="B106" s="8">
        <v>1</v>
      </c>
      <c r="C106" s="8">
        <v>1</v>
      </c>
      <c r="D106" s="3">
        <v>535220058</v>
      </c>
      <c r="E106" s="3"/>
      <c r="F106" s="9" t="s">
        <v>599</v>
      </c>
      <c r="G106" s="10" t="s">
        <v>42</v>
      </c>
      <c r="H106" s="80" t="s">
        <v>624</v>
      </c>
      <c r="I106" s="81"/>
      <c r="J106" s="9" t="s">
        <v>570</v>
      </c>
      <c r="K106" s="1"/>
    </row>
    <row r="107" spans="1:11" ht="44.1" customHeight="1" x14ac:dyDescent="0.2">
      <c r="A107" s="8">
        <v>6</v>
      </c>
      <c r="B107" s="8">
        <v>1</v>
      </c>
      <c r="C107" s="8">
        <v>1</v>
      </c>
      <c r="D107" s="3">
        <v>535220059</v>
      </c>
      <c r="E107" s="3"/>
      <c r="F107" s="9" t="s">
        <v>600</v>
      </c>
      <c r="G107" s="10" t="s">
        <v>44</v>
      </c>
      <c r="H107" s="78" t="s">
        <v>75</v>
      </c>
      <c r="I107" s="79"/>
      <c r="J107" s="9" t="s">
        <v>570</v>
      </c>
      <c r="K107" s="1"/>
    </row>
    <row r="108" spans="1:11" ht="42.95" customHeight="1" x14ac:dyDescent="0.2">
      <c r="A108" s="8">
        <v>6</v>
      </c>
      <c r="B108" s="8">
        <v>1</v>
      </c>
      <c r="C108" s="8">
        <v>1</v>
      </c>
      <c r="D108" s="3">
        <v>535220069</v>
      </c>
      <c r="E108" s="3"/>
      <c r="F108" s="9" t="s">
        <v>601</v>
      </c>
      <c r="G108" s="10" t="s">
        <v>46</v>
      </c>
      <c r="H108" s="80" t="s">
        <v>624</v>
      </c>
      <c r="I108" s="81"/>
      <c r="J108" s="9" t="s">
        <v>570</v>
      </c>
      <c r="K108" s="1"/>
    </row>
    <row r="109" spans="1:11" ht="44.1" customHeight="1" x14ac:dyDescent="0.2">
      <c r="A109" s="8">
        <v>6</v>
      </c>
      <c r="B109" s="8">
        <v>1</v>
      </c>
      <c r="C109" s="8">
        <v>1</v>
      </c>
      <c r="D109" s="3">
        <v>535220110</v>
      </c>
      <c r="E109" s="3"/>
      <c r="F109" s="9" t="s">
        <v>603</v>
      </c>
      <c r="G109" s="10" t="s">
        <v>47</v>
      </c>
      <c r="H109" s="78" t="s">
        <v>75</v>
      </c>
      <c r="I109" s="79"/>
      <c r="J109" s="9" t="s">
        <v>570</v>
      </c>
      <c r="K109" s="1"/>
    </row>
    <row r="110" spans="1:11" ht="43.7" customHeight="1" x14ac:dyDescent="0.2">
      <c r="A110" s="8">
        <v>6</v>
      </c>
      <c r="B110" s="8">
        <v>1</v>
      </c>
      <c r="C110" s="8">
        <v>1</v>
      </c>
      <c r="D110" s="3">
        <v>535220117</v>
      </c>
      <c r="E110" s="3"/>
      <c r="F110" s="9" t="s">
        <v>604</v>
      </c>
      <c r="G110" s="10" t="s">
        <v>48</v>
      </c>
      <c r="H110" s="78" t="s">
        <v>75</v>
      </c>
      <c r="I110" s="79"/>
      <c r="J110" s="9" t="s">
        <v>570</v>
      </c>
      <c r="K110" s="1"/>
    </row>
    <row r="111" spans="1:11" ht="43.7" customHeight="1" x14ac:dyDescent="0.2">
      <c r="A111" s="16"/>
      <c r="B111" s="16"/>
      <c r="C111" s="16"/>
      <c r="D111" s="20"/>
      <c r="E111" s="20"/>
      <c r="F111" s="21"/>
      <c r="G111" s="22"/>
      <c r="H111" s="21"/>
      <c r="I111" s="21"/>
      <c r="J111" s="21"/>
      <c r="K111" s="1"/>
    </row>
    <row r="112" spans="1:11" ht="75.2" customHeight="1" x14ac:dyDescent="0.2">
      <c r="A112" s="85" t="s">
        <v>625</v>
      </c>
      <c r="B112" s="85"/>
      <c r="C112" s="85"/>
      <c r="D112" s="85"/>
      <c r="E112" s="85"/>
      <c r="F112" s="85"/>
      <c r="G112" s="85"/>
      <c r="H112" s="85"/>
      <c r="I112" s="85"/>
      <c r="J112" s="85"/>
      <c r="K112" s="85"/>
    </row>
    <row r="113" spans="1:11" ht="44.1" customHeight="1" x14ac:dyDescent="0.2">
      <c r="A113" s="8">
        <v>0</v>
      </c>
      <c r="B113" s="8">
        <v>2</v>
      </c>
      <c r="C113" s="8">
        <v>0</v>
      </c>
      <c r="D113" s="3">
        <v>825220162</v>
      </c>
      <c r="E113" s="3"/>
      <c r="F113" s="9" t="s">
        <v>626</v>
      </c>
      <c r="G113" s="10" t="s">
        <v>0</v>
      </c>
      <c r="H113" s="78" t="s">
        <v>76</v>
      </c>
      <c r="I113" s="79"/>
      <c r="J113" s="9" t="s">
        <v>65</v>
      </c>
      <c r="K113" s="1"/>
    </row>
    <row r="114" spans="1:11" ht="42.95" customHeight="1" x14ac:dyDescent="0.2">
      <c r="A114" s="8">
        <v>0</v>
      </c>
      <c r="B114" s="8">
        <v>2</v>
      </c>
      <c r="C114" s="8">
        <v>0</v>
      </c>
      <c r="D114" s="3">
        <v>825220183</v>
      </c>
      <c r="E114" s="3"/>
      <c r="F114" s="9" t="s">
        <v>627</v>
      </c>
      <c r="G114" s="10" t="s">
        <v>2</v>
      </c>
      <c r="H114" s="78" t="s">
        <v>76</v>
      </c>
      <c r="I114" s="79"/>
      <c r="J114" s="9" t="s">
        <v>65</v>
      </c>
      <c r="K114" s="1"/>
    </row>
    <row r="115" spans="1:11" ht="44.1" customHeight="1" x14ac:dyDescent="0.2">
      <c r="A115" s="8">
        <v>0</v>
      </c>
      <c r="B115" s="8">
        <v>2</v>
      </c>
      <c r="C115" s="8">
        <v>0</v>
      </c>
      <c r="D115" s="3">
        <v>535220079</v>
      </c>
      <c r="E115" s="3"/>
      <c r="F115" s="9" t="s">
        <v>628</v>
      </c>
      <c r="G115" s="10" t="s">
        <v>4</v>
      </c>
      <c r="H115" s="80" t="s">
        <v>77</v>
      </c>
      <c r="I115" s="81"/>
      <c r="J115" s="9" t="s">
        <v>65</v>
      </c>
      <c r="K115" s="1"/>
    </row>
    <row r="116" spans="1:11" ht="44.1" customHeight="1" x14ac:dyDescent="0.2">
      <c r="A116" s="8">
        <v>0</v>
      </c>
      <c r="B116" s="8">
        <v>2</v>
      </c>
      <c r="C116" s="8">
        <v>0</v>
      </c>
      <c r="D116" s="3">
        <v>535220016</v>
      </c>
      <c r="E116" s="3"/>
      <c r="F116" s="9" t="s">
        <v>629</v>
      </c>
      <c r="G116" s="10" t="s">
        <v>5</v>
      </c>
      <c r="H116" s="78" t="s">
        <v>75</v>
      </c>
      <c r="I116" s="79"/>
      <c r="J116" s="9" t="s">
        <v>546</v>
      </c>
      <c r="K116" s="1"/>
    </row>
    <row r="117" spans="1:11" ht="43.5" customHeight="1" x14ac:dyDescent="0.2">
      <c r="A117" s="8">
        <v>0</v>
      </c>
      <c r="B117" s="8">
        <v>2</v>
      </c>
      <c r="C117" s="8">
        <v>0</v>
      </c>
      <c r="D117" s="3">
        <v>535220018</v>
      </c>
      <c r="E117" s="3"/>
      <c r="F117" s="9" t="s">
        <v>630</v>
      </c>
      <c r="G117" s="10" t="s">
        <v>6</v>
      </c>
      <c r="H117" s="78" t="s">
        <v>75</v>
      </c>
      <c r="I117" s="79"/>
      <c r="J117" s="9" t="s">
        <v>546</v>
      </c>
    </row>
    <row r="118" spans="1:11" ht="42.95" customHeight="1" x14ac:dyDescent="0.2">
      <c r="A118" s="8">
        <v>4</v>
      </c>
      <c r="B118" s="8">
        <v>2</v>
      </c>
      <c r="C118" s="8">
        <v>0</v>
      </c>
      <c r="D118" s="3">
        <v>535220001</v>
      </c>
      <c r="E118" s="3"/>
      <c r="F118" s="9" t="s">
        <v>631</v>
      </c>
      <c r="G118" s="10" t="s">
        <v>26</v>
      </c>
      <c r="H118" s="80" t="s">
        <v>78</v>
      </c>
      <c r="I118" s="81"/>
      <c r="J118" s="9" t="s">
        <v>632</v>
      </c>
    </row>
    <row r="119" spans="1:11" ht="44.1" customHeight="1" x14ac:dyDescent="0.2">
      <c r="A119" s="8">
        <v>4</v>
      </c>
      <c r="B119" s="8">
        <v>2</v>
      </c>
      <c r="C119" s="8">
        <v>0</v>
      </c>
      <c r="D119" s="3">
        <v>535220010</v>
      </c>
      <c r="E119" s="3"/>
      <c r="F119" s="9" t="s">
        <v>633</v>
      </c>
      <c r="G119" s="10" t="s">
        <v>29</v>
      </c>
      <c r="H119" s="78" t="s">
        <v>79</v>
      </c>
      <c r="I119" s="79"/>
      <c r="J119" s="9" t="s">
        <v>632</v>
      </c>
    </row>
    <row r="120" spans="1:11" ht="42.95" customHeight="1" x14ac:dyDescent="0.2">
      <c r="A120" s="8">
        <v>4</v>
      </c>
      <c r="B120" s="8">
        <v>2</v>
      </c>
      <c r="C120" s="8">
        <v>0</v>
      </c>
      <c r="D120" s="3">
        <v>535220017</v>
      </c>
      <c r="E120" s="3"/>
      <c r="F120" s="9" t="s">
        <v>634</v>
      </c>
      <c r="G120" s="10" t="s">
        <v>31</v>
      </c>
      <c r="H120" s="80" t="s">
        <v>78</v>
      </c>
      <c r="I120" s="81"/>
      <c r="J120" s="9" t="s">
        <v>632</v>
      </c>
    </row>
    <row r="121" spans="1:11" ht="44.1" customHeight="1" x14ac:dyDescent="0.2">
      <c r="A121" s="8">
        <v>4</v>
      </c>
      <c r="B121" s="8">
        <v>2</v>
      </c>
      <c r="C121" s="8">
        <v>0</v>
      </c>
      <c r="D121" s="3">
        <v>535220019</v>
      </c>
      <c r="E121" s="3"/>
      <c r="F121" s="9" t="s">
        <v>635</v>
      </c>
      <c r="G121" s="10" t="s">
        <v>32</v>
      </c>
      <c r="H121" s="78" t="s">
        <v>79</v>
      </c>
      <c r="I121" s="79"/>
      <c r="J121" s="9" t="s">
        <v>632</v>
      </c>
    </row>
    <row r="122" spans="1:11" ht="42.6" customHeight="1" x14ac:dyDescent="0.2">
      <c r="A122" s="8">
        <v>4</v>
      </c>
      <c r="B122" s="8">
        <v>2</v>
      </c>
      <c r="C122" s="8">
        <v>0</v>
      </c>
      <c r="D122" s="3">
        <v>535220262</v>
      </c>
      <c r="E122" s="3"/>
      <c r="F122" s="9" t="s">
        <v>636</v>
      </c>
      <c r="G122" s="10" t="s">
        <v>33</v>
      </c>
      <c r="H122" s="78" t="s">
        <v>79</v>
      </c>
      <c r="I122" s="79"/>
      <c r="J122" s="9" t="s">
        <v>632</v>
      </c>
    </row>
    <row r="123" spans="1:11" ht="44.1" customHeight="1" x14ac:dyDescent="0.2">
      <c r="A123" s="8">
        <v>5</v>
      </c>
      <c r="B123" s="8">
        <v>2</v>
      </c>
      <c r="C123" s="8">
        <v>0</v>
      </c>
      <c r="D123" s="3">
        <v>825220138</v>
      </c>
      <c r="E123" s="3"/>
      <c r="F123" s="9" t="s">
        <v>637</v>
      </c>
      <c r="G123" s="10" t="s">
        <v>34</v>
      </c>
      <c r="H123" s="78" t="s">
        <v>80</v>
      </c>
      <c r="I123" s="79"/>
      <c r="J123" s="9" t="s">
        <v>638</v>
      </c>
    </row>
    <row r="124" spans="1:11" ht="44.1" customHeight="1" x14ac:dyDescent="0.2">
      <c r="A124" s="8">
        <v>5</v>
      </c>
      <c r="B124" s="8">
        <v>2</v>
      </c>
      <c r="C124" s="8">
        <v>0</v>
      </c>
      <c r="D124" s="3">
        <v>825220139</v>
      </c>
      <c r="E124" s="3"/>
      <c r="F124" s="9" t="s">
        <v>639</v>
      </c>
      <c r="G124" s="10" t="s">
        <v>37</v>
      </c>
      <c r="H124" s="78" t="s">
        <v>80</v>
      </c>
      <c r="I124" s="79"/>
      <c r="J124" s="9" t="s">
        <v>638</v>
      </c>
    </row>
    <row r="125" spans="1:11" ht="42.95" customHeight="1" x14ac:dyDescent="0.2">
      <c r="A125" s="8">
        <v>5</v>
      </c>
      <c r="B125" s="8">
        <v>2</v>
      </c>
      <c r="C125" s="8">
        <v>0</v>
      </c>
      <c r="D125" s="3">
        <v>825220165</v>
      </c>
      <c r="E125" s="3"/>
      <c r="F125" s="9" t="s">
        <v>640</v>
      </c>
      <c r="G125" s="10" t="s">
        <v>39</v>
      </c>
      <c r="H125" s="80" t="s">
        <v>81</v>
      </c>
      <c r="I125" s="81"/>
      <c r="J125" s="9" t="s">
        <v>638</v>
      </c>
    </row>
    <row r="126" spans="1:11" ht="44.1" customHeight="1" x14ac:dyDescent="0.2">
      <c r="A126" s="8">
        <v>5</v>
      </c>
      <c r="B126" s="8">
        <v>2</v>
      </c>
      <c r="C126" s="8">
        <v>0</v>
      </c>
      <c r="D126" s="3">
        <v>535220140</v>
      </c>
      <c r="E126" s="3"/>
      <c r="F126" s="9" t="s">
        <v>641</v>
      </c>
      <c r="G126" s="10" t="s">
        <v>40</v>
      </c>
      <c r="H126" s="80" t="s">
        <v>82</v>
      </c>
      <c r="I126" s="81"/>
      <c r="J126" s="9" t="s">
        <v>638</v>
      </c>
    </row>
    <row r="127" spans="1:11" ht="33" customHeight="1" x14ac:dyDescent="0.2">
      <c r="A127" s="8">
        <v>5</v>
      </c>
      <c r="B127" s="8">
        <v>2</v>
      </c>
      <c r="C127" s="8">
        <v>0</v>
      </c>
      <c r="D127" s="4">
        <v>535220148</v>
      </c>
      <c r="E127" s="4"/>
      <c r="F127" s="12" t="s">
        <v>642</v>
      </c>
      <c r="G127" s="13" t="s">
        <v>41</v>
      </c>
      <c r="H127" s="82" t="s">
        <v>82</v>
      </c>
      <c r="I127" s="83"/>
      <c r="J127" s="12" t="s">
        <v>638</v>
      </c>
    </row>
    <row r="128" spans="1:11" ht="42.6" customHeight="1" x14ac:dyDescent="0.2">
      <c r="A128" s="8">
        <v>6</v>
      </c>
      <c r="B128" s="8">
        <v>2</v>
      </c>
      <c r="C128" s="8">
        <v>0</v>
      </c>
      <c r="D128" s="3">
        <v>535220176</v>
      </c>
      <c r="E128" s="3"/>
      <c r="F128" s="9" t="s">
        <v>643</v>
      </c>
      <c r="G128" s="10" t="s">
        <v>42</v>
      </c>
      <c r="H128" s="80" t="s">
        <v>82</v>
      </c>
      <c r="I128" s="81"/>
      <c r="J128" s="9" t="s">
        <v>638</v>
      </c>
      <c r="K128" s="1"/>
    </row>
    <row r="129" spans="1:11" ht="44.1" customHeight="1" x14ac:dyDescent="0.2">
      <c r="A129" s="8">
        <v>6</v>
      </c>
      <c r="B129" s="8">
        <v>2</v>
      </c>
      <c r="C129" s="8">
        <v>0</v>
      </c>
      <c r="D129" s="3">
        <v>535220182</v>
      </c>
      <c r="E129" s="3"/>
      <c r="F129" s="9" t="s">
        <v>644</v>
      </c>
      <c r="G129" s="10" t="s">
        <v>44</v>
      </c>
      <c r="H129" s="80" t="s">
        <v>82</v>
      </c>
      <c r="I129" s="81"/>
      <c r="J129" s="9" t="s">
        <v>638</v>
      </c>
      <c r="K129" s="1"/>
    </row>
    <row r="130" spans="1:11" ht="42.95" customHeight="1" x14ac:dyDescent="0.2">
      <c r="A130" s="8">
        <v>6</v>
      </c>
      <c r="B130" s="8">
        <v>2</v>
      </c>
      <c r="C130" s="8">
        <v>0</v>
      </c>
      <c r="D130" s="3">
        <v>535220183</v>
      </c>
      <c r="E130" s="3"/>
      <c r="F130" s="9" t="s">
        <v>645</v>
      </c>
      <c r="G130" s="10" t="s">
        <v>46</v>
      </c>
      <c r="H130" s="80" t="s">
        <v>82</v>
      </c>
      <c r="I130" s="81"/>
      <c r="J130" s="9" t="s">
        <v>638</v>
      </c>
      <c r="K130" s="1"/>
    </row>
    <row r="131" spans="1:11" ht="44.1" customHeight="1" x14ac:dyDescent="0.2">
      <c r="A131" s="8">
        <v>6</v>
      </c>
      <c r="B131" s="8">
        <v>2</v>
      </c>
      <c r="C131" s="8">
        <v>0</v>
      </c>
      <c r="D131" s="3">
        <v>535220189</v>
      </c>
      <c r="E131" s="3"/>
      <c r="F131" s="9" t="s">
        <v>646</v>
      </c>
      <c r="G131" s="10" t="s">
        <v>47</v>
      </c>
      <c r="H131" s="80" t="s">
        <v>82</v>
      </c>
      <c r="I131" s="81"/>
      <c r="J131" s="9" t="s">
        <v>638</v>
      </c>
      <c r="K131" s="1"/>
    </row>
    <row r="132" spans="1:11" ht="43.7" customHeight="1" x14ac:dyDescent="0.2">
      <c r="A132" s="8">
        <v>6</v>
      </c>
      <c r="B132" s="8">
        <v>2</v>
      </c>
      <c r="C132" s="8">
        <v>0</v>
      </c>
      <c r="D132" s="3">
        <v>535220259</v>
      </c>
      <c r="E132" s="3"/>
      <c r="F132" s="9" t="s">
        <v>647</v>
      </c>
      <c r="G132" s="10" t="s">
        <v>48</v>
      </c>
      <c r="H132" s="80" t="s">
        <v>82</v>
      </c>
      <c r="I132" s="81"/>
      <c r="J132" s="9" t="s">
        <v>638</v>
      </c>
      <c r="K132" s="1"/>
    </row>
    <row r="133" spans="1:11" ht="43.7" customHeight="1" x14ac:dyDescent="0.2">
      <c r="A133" s="16"/>
      <c r="B133" s="16"/>
      <c r="C133" s="16"/>
      <c r="D133" s="20"/>
      <c r="E133" s="20"/>
      <c r="F133" s="21"/>
      <c r="G133" s="22"/>
      <c r="H133" s="23"/>
      <c r="I133" s="23"/>
      <c r="J133" s="21"/>
      <c r="K133" s="1"/>
    </row>
    <row r="134" spans="1:11" ht="75.2" customHeight="1" x14ac:dyDescent="0.2">
      <c r="A134" s="85" t="s">
        <v>648</v>
      </c>
      <c r="B134" s="85"/>
      <c r="C134" s="85"/>
      <c r="D134" s="85"/>
      <c r="E134" s="85"/>
      <c r="F134" s="85"/>
      <c r="G134" s="85"/>
      <c r="H134" s="85"/>
      <c r="I134" s="85"/>
      <c r="J134" s="85"/>
      <c r="K134" s="85"/>
    </row>
    <row r="135" spans="1:11" ht="44.1" customHeight="1" x14ac:dyDescent="0.2">
      <c r="A135" s="8">
        <v>0</v>
      </c>
      <c r="B135" s="8">
        <v>2</v>
      </c>
      <c r="C135" s="8">
        <v>1</v>
      </c>
      <c r="D135" s="3">
        <v>535220152</v>
      </c>
      <c r="E135" s="3"/>
      <c r="F135" s="9" t="s">
        <v>649</v>
      </c>
      <c r="G135" s="10" t="s">
        <v>0</v>
      </c>
      <c r="H135" s="78" t="s">
        <v>83</v>
      </c>
      <c r="I135" s="79"/>
      <c r="J135" s="9" t="s">
        <v>650</v>
      </c>
      <c r="K135" s="1"/>
    </row>
    <row r="136" spans="1:11" ht="42.95" customHeight="1" x14ac:dyDescent="0.2">
      <c r="A136" s="8">
        <v>0</v>
      </c>
      <c r="B136" s="8">
        <v>2</v>
      </c>
      <c r="C136" s="8">
        <v>1</v>
      </c>
      <c r="D136" s="3">
        <v>535220154</v>
      </c>
      <c r="E136" s="3"/>
      <c r="F136" s="9" t="s">
        <v>651</v>
      </c>
      <c r="G136" s="10" t="s">
        <v>2</v>
      </c>
      <c r="H136" s="78" t="s">
        <v>83</v>
      </c>
      <c r="I136" s="79"/>
      <c r="J136" s="9" t="s">
        <v>650</v>
      </c>
      <c r="K136" s="1"/>
    </row>
    <row r="137" spans="1:11" ht="44.1" customHeight="1" x14ac:dyDescent="0.2">
      <c r="A137" s="8">
        <v>0</v>
      </c>
      <c r="B137" s="8">
        <v>2</v>
      </c>
      <c r="C137" s="8">
        <v>1</v>
      </c>
      <c r="D137" s="3">
        <v>535220191</v>
      </c>
      <c r="E137" s="3"/>
      <c r="F137" s="9" t="s">
        <v>652</v>
      </c>
      <c r="G137" s="10" t="s">
        <v>4</v>
      </c>
      <c r="H137" s="78" t="s">
        <v>83</v>
      </c>
      <c r="I137" s="79"/>
      <c r="J137" s="9" t="s">
        <v>650</v>
      </c>
      <c r="K137" s="1"/>
    </row>
    <row r="138" spans="1:11" ht="44.1" customHeight="1" x14ac:dyDescent="0.2">
      <c r="A138" s="8">
        <v>0</v>
      </c>
      <c r="B138" s="8">
        <v>2</v>
      </c>
      <c r="C138" s="8">
        <v>1</v>
      </c>
      <c r="D138" s="3">
        <v>535220206</v>
      </c>
      <c r="E138" s="3"/>
      <c r="F138" s="9" t="s">
        <v>653</v>
      </c>
      <c r="G138" s="10" t="s">
        <v>5</v>
      </c>
      <c r="H138" s="78" t="s">
        <v>83</v>
      </c>
      <c r="I138" s="79"/>
      <c r="J138" s="9" t="s">
        <v>650</v>
      </c>
      <c r="K138" s="1"/>
    </row>
    <row r="139" spans="1:11" ht="43.5" customHeight="1" x14ac:dyDescent="0.2">
      <c r="A139" s="8">
        <v>0</v>
      </c>
      <c r="B139" s="8">
        <v>2</v>
      </c>
      <c r="C139" s="8">
        <v>1</v>
      </c>
      <c r="D139" s="3">
        <v>535220210</v>
      </c>
      <c r="E139" s="3"/>
      <c r="F139" s="9" t="s">
        <v>654</v>
      </c>
      <c r="G139" s="10" t="s">
        <v>6</v>
      </c>
      <c r="H139" s="78" t="s">
        <v>83</v>
      </c>
      <c r="I139" s="79"/>
      <c r="J139" s="9" t="s">
        <v>650</v>
      </c>
    </row>
    <row r="140" spans="1:11" ht="42.95" customHeight="1" x14ac:dyDescent="0.2">
      <c r="A140" s="8">
        <v>1</v>
      </c>
      <c r="B140" s="8">
        <v>2</v>
      </c>
      <c r="C140" s="8">
        <v>1</v>
      </c>
      <c r="D140" s="3">
        <v>535220213</v>
      </c>
      <c r="E140" s="3"/>
      <c r="F140" s="9" t="s">
        <v>655</v>
      </c>
      <c r="G140" s="10" t="s">
        <v>7</v>
      </c>
      <c r="H140" s="80" t="s">
        <v>84</v>
      </c>
      <c r="I140" s="81"/>
      <c r="J140" s="9" t="s">
        <v>650</v>
      </c>
    </row>
    <row r="141" spans="1:11" ht="44.1" customHeight="1" x14ac:dyDescent="0.2">
      <c r="A141" s="8">
        <v>1</v>
      </c>
      <c r="B141" s="8">
        <v>2</v>
      </c>
      <c r="C141" s="8">
        <v>1</v>
      </c>
      <c r="D141" s="3">
        <v>535220247</v>
      </c>
      <c r="E141" s="3"/>
      <c r="F141" s="9" t="s">
        <v>656</v>
      </c>
      <c r="G141" s="10" t="s">
        <v>8</v>
      </c>
      <c r="H141" s="78" t="s">
        <v>83</v>
      </c>
      <c r="I141" s="79"/>
      <c r="J141" s="9" t="s">
        <v>650</v>
      </c>
    </row>
    <row r="142" spans="1:11" ht="42.95" customHeight="1" x14ac:dyDescent="0.2">
      <c r="A142" s="8">
        <v>1</v>
      </c>
      <c r="B142" s="8">
        <v>2</v>
      </c>
      <c r="C142" s="8">
        <v>1</v>
      </c>
      <c r="D142" s="3">
        <v>535220014</v>
      </c>
      <c r="E142" s="3"/>
      <c r="F142" s="9" t="s">
        <v>657</v>
      </c>
      <c r="G142" s="10" t="s">
        <v>10</v>
      </c>
      <c r="H142" s="80" t="s">
        <v>85</v>
      </c>
      <c r="I142" s="81"/>
      <c r="J142" s="9" t="s">
        <v>650</v>
      </c>
    </row>
    <row r="143" spans="1:11" ht="44.1" customHeight="1" x14ac:dyDescent="0.2">
      <c r="A143" s="8">
        <v>1</v>
      </c>
      <c r="B143" s="8">
        <v>2</v>
      </c>
      <c r="C143" s="8">
        <v>1</v>
      </c>
      <c r="D143" s="3">
        <v>535220020</v>
      </c>
      <c r="E143" s="3"/>
      <c r="F143" s="9" t="s">
        <v>658</v>
      </c>
      <c r="G143" s="10" t="s">
        <v>11</v>
      </c>
      <c r="H143" s="78" t="s">
        <v>86</v>
      </c>
      <c r="I143" s="79"/>
      <c r="J143" s="9" t="s">
        <v>650</v>
      </c>
    </row>
    <row r="144" spans="1:11" ht="42.6" customHeight="1" x14ac:dyDescent="0.2">
      <c r="A144" s="8">
        <v>1</v>
      </c>
      <c r="B144" s="8">
        <v>2</v>
      </c>
      <c r="C144" s="8">
        <v>1</v>
      </c>
      <c r="D144" s="3">
        <v>535220121</v>
      </c>
      <c r="E144" s="3"/>
      <c r="F144" s="9" t="s">
        <v>659</v>
      </c>
      <c r="G144" s="10" t="s">
        <v>12</v>
      </c>
      <c r="H144" s="78" t="s">
        <v>86</v>
      </c>
      <c r="I144" s="79"/>
      <c r="J144" s="9" t="s">
        <v>650</v>
      </c>
    </row>
    <row r="145" spans="1:11" ht="44.1" customHeight="1" x14ac:dyDescent="0.2">
      <c r="A145" s="8">
        <v>2</v>
      </c>
      <c r="B145" s="8">
        <v>2</v>
      </c>
      <c r="C145" s="8">
        <v>1</v>
      </c>
      <c r="D145" s="3">
        <v>535220021</v>
      </c>
      <c r="E145" s="3"/>
      <c r="F145" s="9" t="s">
        <v>660</v>
      </c>
      <c r="G145" s="10" t="s">
        <v>14</v>
      </c>
      <c r="H145" s="78" t="s">
        <v>87</v>
      </c>
      <c r="I145" s="79"/>
      <c r="J145" s="9" t="s">
        <v>661</v>
      </c>
    </row>
    <row r="146" spans="1:11" ht="44.1" customHeight="1" x14ac:dyDescent="0.2">
      <c r="A146" s="8">
        <v>2</v>
      </c>
      <c r="B146" s="8">
        <v>2</v>
      </c>
      <c r="C146" s="8">
        <v>1</v>
      </c>
      <c r="D146" s="3">
        <v>535220050</v>
      </c>
      <c r="E146" s="3"/>
      <c r="F146" s="9" t="s">
        <v>662</v>
      </c>
      <c r="G146" s="10" t="s">
        <v>16</v>
      </c>
      <c r="H146" s="78" t="s">
        <v>87</v>
      </c>
      <c r="I146" s="79"/>
      <c r="J146" s="9" t="s">
        <v>661</v>
      </c>
    </row>
    <row r="147" spans="1:11" ht="42.95" customHeight="1" x14ac:dyDescent="0.2">
      <c r="A147" s="8">
        <v>2</v>
      </c>
      <c r="B147" s="8">
        <v>2</v>
      </c>
      <c r="C147" s="8">
        <v>1</v>
      </c>
      <c r="D147" s="3">
        <v>535220076</v>
      </c>
      <c r="E147" s="3"/>
      <c r="F147" s="9" t="s">
        <v>663</v>
      </c>
      <c r="G147" s="10" t="s">
        <v>17</v>
      </c>
      <c r="H147" s="80" t="s">
        <v>88</v>
      </c>
      <c r="I147" s="81"/>
      <c r="J147" s="9" t="s">
        <v>661</v>
      </c>
    </row>
    <row r="148" spans="1:11" ht="44.1" customHeight="1" x14ac:dyDescent="0.2">
      <c r="A148" s="8">
        <v>2</v>
      </c>
      <c r="B148" s="8">
        <v>2</v>
      </c>
      <c r="C148" s="8">
        <v>1</v>
      </c>
      <c r="D148" s="3">
        <v>535220172</v>
      </c>
      <c r="E148" s="3"/>
      <c r="F148" s="9" t="s">
        <v>664</v>
      </c>
      <c r="G148" s="10" t="s">
        <v>18</v>
      </c>
      <c r="H148" s="78" t="s">
        <v>87</v>
      </c>
      <c r="I148" s="79"/>
      <c r="J148" s="9" t="s">
        <v>661</v>
      </c>
    </row>
    <row r="149" spans="1:11" ht="33" customHeight="1" x14ac:dyDescent="0.2">
      <c r="A149" s="8">
        <v>2</v>
      </c>
      <c r="B149" s="8">
        <v>2</v>
      </c>
      <c r="C149" s="8">
        <v>1</v>
      </c>
      <c r="D149" s="4">
        <v>535220173</v>
      </c>
      <c r="E149" s="4"/>
      <c r="F149" s="12" t="s">
        <v>665</v>
      </c>
      <c r="G149" s="13" t="s">
        <v>19</v>
      </c>
      <c r="H149" s="82" t="s">
        <v>88</v>
      </c>
      <c r="I149" s="83"/>
      <c r="J149" s="12" t="s">
        <v>661</v>
      </c>
    </row>
    <row r="150" spans="1:11" ht="42.6" customHeight="1" x14ac:dyDescent="0.2">
      <c r="A150" s="8">
        <v>3</v>
      </c>
      <c r="B150" s="8">
        <v>2</v>
      </c>
      <c r="C150" s="8">
        <v>1</v>
      </c>
      <c r="D150" s="3">
        <v>535220013</v>
      </c>
      <c r="E150" s="3"/>
      <c r="F150" s="9" t="s">
        <v>666</v>
      </c>
      <c r="G150" s="10" t="s">
        <v>20</v>
      </c>
      <c r="H150" s="80" t="s">
        <v>89</v>
      </c>
      <c r="I150" s="81"/>
      <c r="J150" s="9" t="s">
        <v>661</v>
      </c>
      <c r="K150" s="1"/>
    </row>
    <row r="151" spans="1:11" ht="44.1" customHeight="1" x14ac:dyDescent="0.2">
      <c r="A151" s="8">
        <v>3</v>
      </c>
      <c r="B151" s="8">
        <v>2</v>
      </c>
      <c r="C151" s="8">
        <v>1</v>
      </c>
      <c r="D151" s="3">
        <v>535220033</v>
      </c>
      <c r="E151" s="3"/>
      <c r="F151" s="9" t="s">
        <v>667</v>
      </c>
      <c r="G151" s="10" t="s">
        <v>22</v>
      </c>
      <c r="H151" s="78" t="s">
        <v>90</v>
      </c>
      <c r="I151" s="79"/>
      <c r="J151" s="9" t="s">
        <v>661</v>
      </c>
      <c r="K151" s="1"/>
    </row>
    <row r="152" spans="1:11" ht="42.95" customHeight="1" x14ac:dyDescent="0.2">
      <c r="A152" s="8">
        <v>3</v>
      </c>
      <c r="B152" s="8">
        <v>2</v>
      </c>
      <c r="C152" s="8">
        <v>1</v>
      </c>
      <c r="D152" s="3">
        <v>535220044</v>
      </c>
      <c r="E152" s="3"/>
      <c r="F152" s="9" t="s">
        <v>668</v>
      </c>
      <c r="G152" s="10" t="s">
        <v>23</v>
      </c>
      <c r="H152" s="80" t="s">
        <v>89</v>
      </c>
      <c r="I152" s="81"/>
      <c r="J152" s="9" t="s">
        <v>661</v>
      </c>
      <c r="K152" s="1"/>
    </row>
    <row r="153" spans="1:11" ht="44.1" customHeight="1" x14ac:dyDescent="0.2">
      <c r="A153" s="8">
        <v>3</v>
      </c>
      <c r="B153" s="8">
        <v>2</v>
      </c>
      <c r="C153" s="8">
        <v>1</v>
      </c>
      <c r="D153" s="3">
        <v>535220075</v>
      </c>
      <c r="E153" s="3"/>
      <c r="F153" s="9" t="s">
        <v>669</v>
      </c>
      <c r="G153" s="10" t="s">
        <v>24</v>
      </c>
      <c r="H153" s="78" t="s">
        <v>90</v>
      </c>
      <c r="I153" s="79"/>
      <c r="J153" s="9" t="s">
        <v>661</v>
      </c>
      <c r="K153" s="1"/>
    </row>
    <row r="154" spans="1:11" ht="43.7" customHeight="1" x14ac:dyDescent="0.2">
      <c r="A154" s="8">
        <v>3</v>
      </c>
      <c r="B154" s="8">
        <v>2</v>
      </c>
      <c r="C154" s="8">
        <v>1</v>
      </c>
      <c r="D154" s="3">
        <v>535220090</v>
      </c>
      <c r="E154" s="3"/>
      <c r="F154" s="9" t="s">
        <v>670</v>
      </c>
      <c r="G154" s="10" t="s">
        <v>25</v>
      </c>
      <c r="H154" s="78" t="s">
        <v>90</v>
      </c>
      <c r="I154" s="79"/>
      <c r="J154" s="9" t="s">
        <v>661</v>
      </c>
      <c r="K154" s="1"/>
    </row>
    <row r="155" spans="1:11" ht="43.7" customHeight="1" x14ac:dyDescent="0.2">
      <c r="A155" s="16"/>
      <c r="B155" s="16"/>
      <c r="C155" s="16"/>
      <c r="D155" s="20"/>
      <c r="E155" s="20"/>
      <c r="F155" s="21"/>
      <c r="G155" s="22"/>
      <c r="H155" s="21"/>
      <c r="I155" s="21"/>
      <c r="J155" s="21"/>
      <c r="K155" s="1"/>
    </row>
    <row r="156" spans="1:11" ht="75.2" customHeight="1" x14ac:dyDescent="0.2">
      <c r="A156" s="85" t="s">
        <v>671</v>
      </c>
      <c r="B156" s="85"/>
      <c r="C156" s="85"/>
      <c r="D156" s="85"/>
      <c r="E156" s="85"/>
      <c r="F156" s="85"/>
      <c r="G156" s="85"/>
      <c r="H156" s="85"/>
      <c r="I156" s="85"/>
      <c r="J156" s="85"/>
      <c r="K156" s="85"/>
    </row>
    <row r="157" spans="1:11" ht="44.1" customHeight="1" x14ac:dyDescent="0.2">
      <c r="A157" s="8">
        <v>0</v>
      </c>
      <c r="B157" s="8">
        <v>2</v>
      </c>
      <c r="C157" s="8">
        <v>2</v>
      </c>
      <c r="D157" s="3">
        <v>825220125</v>
      </c>
      <c r="E157" s="3"/>
      <c r="F157" s="9" t="s">
        <v>672</v>
      </c>
      <c r="G157" s="10" t="s">
        <v>0</v>
      </c>
      <c r="H157" s="78" t="s">
        <v>91</v>
      </c>
      <c r="I157" s="79"/>
      <c r="J157" s="9" t="s">
        <v>673</v>
      </c>
      <c r="K157" s="1"/>
    </row>
    <row r="158" spans="1:11" ht="42.95" customHeight="1" x14ac:dyDescent="0.2">
      <c r="A158" s="8">
        <v>0</v>
      </c>
      <c r="B158" s="8">
        <v>2</v>
      </c>
      <c r="C158" s="8">
        <v>2</v>
      </c>
      <c r="D158" s="3">
        <v>825220135</v>
      </c>
      <c r="E158" s="3"/>
      <c r="F158" s="9" t="s">
        <v>674</v>
      </c>
      <c r="G158" s="10" t="s">
        <v>2</v>
      </c>
      <c r="H158" s="78" t="s">
        <v>91</v>
      </c>
      <c r="I158" s="79"/>
      <c r="J158" s="9" t="s">
        <v>673</v>
      </c>
      <c r="K158" s="1"/>
    </row>
    <row r="159" spans="1:11" ht="44.1" customHeight="1" x14ac:dyDescent="0.2">
      <c r="A159" s="8">
        <v>0</v>
      </c>
      <c r="B159" s="8">
        <v>2</v>
      </c>
      <c r="C159" s="8">
        <v>2</v>
      </c>
      <c r="D159" s="3">
        <v>825220136</v>
      </c>
      <c r="E159" s="3"/>
      <c r="F159" s="9" t="s">
        <v>675</v>
      </c>
      <c r="G159" s="10" t="s">
        <v>4</v>
      </c>
      <c r="H159" s="78" t="s">
        <v>91</v>
      </c>
      <c r="I159" s="79"/>
      <c r="J159" s="9" t="s">
        <v>673</v>
      </c>
      <c r="K159" s="1"/>
    </row>
    <row r="160" spans="1:11" ht="44.1" customHeight="1" x14ac:dyDescent="0.2">
      <c r="A160" s="8">
        <v>0</v>
      </c>
      <c r="B160" s="8">
        <v>2</v>
      </c>
      <c r="C160" s="8">
        <v>2</v>
      </c>
      <c r="D160" s="3">
        <v>825220003</v>
      </c>
      <c r="E160" s="3"/>
      <c r="F160" s="9" t="s">
        <v>676</v>
      </c>
      <c r="G160" s="10" t="s">
        <v>5</v>
      </c>
      <c r="H160" s="80" t="s">
        <v>92</v>
      </c>
      <c r="I160" s="81"/>
      <c r="J160" s="9" t="s">
        <v>673</v>
      </c>
      <c r="K160" s="1"/>
    </row>
    <row r="161" spans="1:11" ht="43.5" customHeight="1" x14ac:dyDescent="0.2">
      <c r="A161" s="8">
        <v>0</v>
      </c>
      <c r="B161" s="8">
        <v>2</v>
      </c>
      <c r="C161" s="8">
        <v>2</v>
      </c>
      <c r="D161" s="3">
        <v>825220014</v>
      </c>
      <c r="E161" s="3"/>
      <c r="F161" s="9" t="s">
        <v>677</v>
      </c>
      <c r="G161" s="10" t="s">
        <v>6</v>
      </c>
      <c r="H161" s="80" t="s">
        <v>92</v>
      </c>
      <c r="I161" s="81"/>
      <c r="J161" s="9" t="s">
        <v>673</v>
      </c>
    </row>
    <row r="162" spans="1:11" ht="42.95" customHeight="1" x14ac:dyDescent="0.2">
      <c r="A162" s="8">
        <v>1</v>
      </c>
      <c r="B162" s="8">
        <v>2</v>
      </c>
      <c r="C162" s="8">
        <v>2</v>
      </c>
      <c r="D162" s="3">
        <v>825220019</v>
      </c>
      <c r="E162" s="3"/>
      <c r="F162" s="9" t="s">
        <v>678</v>
      </c>
      <c r="G162" s="10" t="s">
        <v>7</v>
      </c>
      <c r="H162" s="80" t="s">
        <v>92</v>
      </c>
      <c r="I162" s="81"/>
      <c r="J162" s="9" t="s">
        <v>546</v>
      </c>
    </row>
    <row r="163" spans="1:11" ht="44.1" customHeight="1" x14ac:dyDescent="0.2">
      <c r="A163" s="8">
        <v>1</v>
      </c>
      <c r="B163" s="8">
        <v>2</v>
      </c>
      <c r="C163" s="8">
        <v>2</v>
      </c>
      <c r="D163" s="3">
        <v>825220036</v>
      </c>
      <c r="E163" s="3"/>
      <c r="F163" s="9" t="s">
        <v>679</v>
      </c>
      <c r="G163" s="10" t="s">
        <v>8</v>
      </c>
      <c r="H163" s="80" t="s">
        <v>92</v>
      </c>
      <c r="I163" s="81"/>
      <c r="J163" s="9" t="s">
        <v>546</v>
      </c>
    </row>
    <row r="164" spans="1:11" ht="42.95" customHeight="1" x14ac:dyDescent="0.2">
      <c r="A164" s="8">
        <v>1</v>
      </c>
      <c r="B164" s="8">
        <v>2</v>
      </c>
      <c r="C164" s="8">
        <v>2</v>
      </c>
      <c r="D164" s="3">
        <v>825220062</v>
      </c>
      <c r="E164" s="3"/>
      <c r="F164" s="9" t="s">
        <v>680</v>
      </c>
      <c r="G164" s="10" t="s">
        <v>10</v>
      </c>
      <c r="H164" s="80" t="s">
        <v>92</v>
      </c>
      <c r="I164" s="81"/>
      <c r="J164" s="9" t="s">
        <v>546</v>
      </c>
    </row>
    <row r="165" spans="1:11" ht="44.1" customHeight="1" x14ac:dyDescent="0.2">
      <c r="A165" s="8">
        <v>1</v>
      </c>
      <c r="B165" s="8">
        <v>2</v>
      </c>
      <c r="C165" s="8">
        <v>2</v>
      </c>
      <c r="D165" s="3">
        <v>825220120</v>
      </c>
      <c r="E165" s="3"/>
      <c r="F165" s="9" t="s">
        <v>681</v>
      </c>
      <c r="G165" s="10" t="s">
        <v>11</v>
      </c>
      <c r="H165" s="80" t="s">
        <v>92</v>
      </c>
      <c r="I165" s="81"/>
      <c r="J165" s="9" t="s">
        <v>546</v>
      </c>
    </row>
    <row r="166" spans="1:11" ht="42.6" customHeight="1" x14ac:dyDescent="0.2">
      <c r="A166" s="8">
        <v>1</v>
      </c>
      <c r="B166" s="8">
        <v>2</v>
      </c>
      <c r="C166" s="8">
        <v>2</v>
      </c>
      <c r="D166" s="3">
        <v>825220134</v>
      </c>
      <c r="E166" s="3"/>
      <c r="F166" s="9" t="s">
        <v>682</v>
      </c>
      <c r="G166" s="10" t="s">
        <v>12</v>
      </c>
      <c r="H166" s="80" t="s">
        <v>92</v>
      </c>
      <c r="I166" s="81"/>
      <c r="J166" s="9" t="s">
        <v>546</v>
      </c>
    </row>
    <row r="167" spans="1:11" ht="44.1" customHeight="1" x14ac:dyDescent="0.2">
      <c r="A167" s="8">
        <v>2</v>
      </c>
      <c r="B167" s="8">
        <v>2</v>
      </c>
      <c r="C167" s="8">
        <v>2</v>
      </c>
      <c r="D167" s="3">
        <v>825220155</v>
      </c>
      <c r="E167" s="3"/>
      <c r="F167" s="9" t="s">
        <v>683</v>
      </c>
      <c r="G167" s="10" t="s">
        <v>14</v>
      </c>
      <c r="H167" s="78" t="s">
        <v>93</v>
      </c>
      <c r="I167" s="79"/>
      <c r="J167" s="9" t="s">
        <v>632</v>
      </c>
    </row>
    <row r="168" spans="1:11" ht="44.1" customHeight="1" x14ac:dyDescent="0.2">
      <c r="A168" s="8">
        <v>2</v>
      </c>
      <c r="B168" s="8">
        <v>2</v>
      </c>
      <c r="C168" s="8">
        <v>2</v>
      </c>
      <c r="D168" s="3">
        <v>825220182</v>
      </c>
      <c r="E168" s="3"/>
      <c r="F168" s="9" t="s">
        <v>684</v>
      </c>
      <c r="G168" s="10" t="s">
        <v>16</v>
      </c>
      <c r="H168" s="78" t="s">
        <v>93</v>
      </c>
      <c r="I168" s="79"/>
      <c r="J168" s="9" t="s">
        <v>632</v>
      </c>
    </row>
    <row r="169" spans="1:11" ht="42.95" customHeight="1" x14ac:dyDescent="0.2">
      <c r="A169" s="8">
        <v>2</v>
      </c>
      <c r="B169" s="8">
        <v>2</v>
      </c>
      <c r="C169" s="8">
        <v>2</v>
      </c>
      <c r="D169" s="3">
        <v>825249102</v>
      </c>
      <c r="E169" s="3"/>
      <c r="F169" s="9" t="s">
        <v>685</v>
      </c>
      <c r="G169" s="10" t="s">
        <v>17</v>
      </c>
      <c r="H169" s="80" t="s">
        <v>94</v>
      </c>
      <c r="I169" s="81"/>
      <c r="J169" s="9" t="s">
        <v>632</v>
      </c>
    </row>
    <row r="170" spans="1:11" ht="44.1" customHeight="1" x14ac:dyDescent="0.2">
      <c r="A170" s="8">
        <v>2</v>
      </c>
      <c r="B170" s="8">
        <v>2</v>
      </c>
      <c r="C170" s="8">
        <v>2</v>
      </c>
      <c r="D170" s="3">
        <v>535220104</v>
      </c>
      <c r="E170" s="3"/>
      <c r="F170" s="9" t="s">
        <v>686</v>
      </c>
      <c r="G170" s="10" t="s">
        <v>18</v>
      </c>
      <c r="H170" s="80" t="s">
        <v>95</v>
      </c>
      <c r="I170" s="81"/>
      <c r="J170" s="9" t="s">
        <v>632</v>
      </c>
    </row>
    <row r="171" spans="1:11" ht="33" customHeight="1" x14ac:dyDescent="0.2">
      <c r="A171" s="17">
        <v>2</v>
      </c>
      <c r="B171" s="8">
        <v>2</v>
      </c>
      <c r="C171" s="8">
        <v>2</v>
      </c>
      <c r="D171" s="6">
        <v>535220164</v>
      </c>
      <c r="E171" s="6"/>
      <c r="F171" s="18" t="s">
        <v>687</v>
      </c>
      <c r="G171" s="19" t="s">
        <v>19</v>
      </c>
      <c r="H171" s="86" t="s">
        <v>95</v>
      </c>
      <c r="I171" s="87"/>
      <c r="J171" s="18" t="s">
        <v>632</v>
      </c>
    </row>
    <row r="172" spans="1:11" ht="42.6" customHeight="1" x14ac:dyDescent="0.2">
      <c r="A172" s="8">
        <v>3</v>
      </c>
      <c r="B172" s="8">
        <v>2</v>
      </c>
      <c r="C172" s="8">
        <v>2</v>
      </c>
      <c r="D172" s="3">
        <v>535220165</v>
      </c>
      <c r="E172" s="3"/>
      <c r="F172" s="9" t="s">
        <v>688</v>
      </c>
      <c r="G172" s="10" t="s">
        <v>20</v>
      </c>
      <c r="H172" s="80" t="s">
        <v>95</v>
      </c>
      <c r="I172" s="81"/>
      <c r="J172" s="9" t="s">
        <v>632</v>
      </c>
      <c r="K172" s="1"/>
    </row>
    <row r="173" spans="1:11" ht="44.1" customHeight="1" x14ac:dyDescent="0.2">
      <c r="A173" s="8">
        <v>3</v>
      </c>
      <c r="B173" s="8">
        <v>2</v>
      </c>
      <c r="C173" s="8">
        <v>2</v>
      </c>
      <c r="D173" s="3">
        <v>535220197</v>
      </c>
      <c r="E173" s="3"/>
      <c r="F173" s="9" t="s">
        <v>689</v>
      </c>
      <c r="G173" s="10" t="s">
        <v>22</v>
      </c>
      <c r="H173" s="80" t="s">
        <v>95</v>
      </c>
      <c r="I173" s="81"/>
      <c r="J173" s="9" t="s">
        <v>632</v>
      </c>
      <c r="K173" s="1"/>
    </row>
    <row r="174" spans="1:11" ht="42.95" customHeight="1" x14ac:dyDescent="0.2">
      <c r="A174" s="8">
        <v>3</v>
      </c>
      <c r="B174" s="8">
        <v>2</v>
      </c>
      <c r="C174" s="8">
        <v>2</v>
      </c>
      <c r="D174" s="3">
        <v>535220201</v>
      </c>
      <c r="E174" s="3"/>
      <c r="F174" s="9" t="s">
        <v>690</v>
      </c>
      <c r="G174" s="10" t="s">
        <v>23</v>
      </c>
      <c r="H174" s="80" t="s">
        <v>95</v>
      </c>
      <c r="I174" s="81"/>
      <c r="J174" s="9" t="s">
        <v>632</v>
      </c>
      <c r="K174" s="1"/>
    </row>
    <row r="175" spans="1:11" ht="44.1" customHeight="1" x14ac:dyDescent="0.2">
      <c r="A175" s="8">
        <v>3</v>
      </c>
      <c r="B175" s="8">
        <v>2</v>
      </c>
      <c r="C175" s="8">
        <v>2</v>
      </c>
      <c r="D175" s="3">
        <v>535229202</v>
      </c>
      <c r="E175" s="3"/>
      <c r="F175" s="9" t="s">
        <v>691</v>
      </c>
      <c r="G175" s="10" t="s">
        <v>24</v>
      </c>
      <c r="H175" s="80" t="s">
        <v>95</v>
      </c>
      <c r="I175" s="81"/>
      <c r="J175" s="9" t="s">
        <v>632</v>
      </c>
      <c r="K175" s="1"/>
    </row>
    <row r="176" spans="1:11" ht="43.7" customHeight="1" x14ac:dyDescent="0.2">
      <c r="A176" s="8">
        <v>3</v>
      </c>
      <c r="B176" s="8">
        <v>2</v>
      </c>
      <c r="C176" s="8">
        <v>2</v>
      </c>
      <c r="D176" s="3">
        <v>825220051</v>
      </c>
      <c r="E176" s="3"/>
      <c r="F176" s="9" t="s">
        <v>692</v>
      </c>
      <c r="G176" s="10" t="s">
        <v>25</v>
      </c>
      <c r="H176" s="80" t="s">
        <v>95</v>
      </c>
      <c r="I176" s="81"/>
      <c r="J176" s="9" t="s">
        <v>632</v>
      </c>
      <c r="K176" s="1"/>
    </row>
    <row r="177" spans="1:11" ht="43.7" customHeight="1" x14ac:dyDescent="0.2">
      <c r="A177" s="16"/>
      <c r="B177" s="16"/>
      <c r="C177" s="16"/>
      <c r="D177" s="20"/>
      <c r="E177" s="20"/>
      <c r="F177" s="21"/>
      <c r="G177" s="22"/>
      <c r="H177" s="23"/>
      <c r="I177" s="23"/>
      <c r="J177" s="21"/>
      <c r="K177" s="1"/>
    </row>
    <row r="178" spans="1:11" ht="75.2" customHeight="1" x14ac:dyDescent="0.2">
      <c r="A178" s="85" t="s">
        <v>693</v>
      </c>
      <c r="B178" s="85"/>
      <c r="C178" s="85"/>
      <c r="D178" s="85"/>
      <c r="E178" s="85"/>
      <c r="F178" s="85"/>
      <c r="G178" s="85"/>
      <c r="H178" s="85"/>
      <c r="I178" s="85"/>
      <c r="J178" s="85"/>
      <c r="K178" s="85"/>
    </row>
    <row r="179" spans="1:11" ht="44.1" customHeight="1" x14ac:dyDescent="0.2">
      <c r="A179" s="8">
        <v>0</v>
      </c>
      <c r="B179" s="8">
        <v>3</v>
      </c>
      <c r="C179" s="8">
        <v>0</v>
      </c>
      <c r="D179" s="3">
        <v>535220221</v>
      </c>
      <c r="E179" s="3"/>
      <c r="F179" s="9" t="s">
        <v>694</v>
      </c>
      <c r="G179" s="10" t="s">
        <v>0</v>
      </c>
      <c r="H179" s="78" t="s">
        <v>96</v>
      </c>
      <c r="I179" s="79"/>
      <c r="J179" s="9" t="s">
        <v>632</v>
      </c>
      <c r="K179" s="1"/>
    </row>
    <row r="180" spans="1:11" ht="42.95" customHeight="1" x14ac:dyDescent="0.2">
      <c r="A180" s="8">
        <v>0</v>
      </c>
      <c r="B180" s="8">
        <v>3</v>
      </c>
      <c r="C180" s="8">
        <v>0</v>
      </c>
      <c r="D180" s="3">
        <v>535220224</v>
      </c>
      <c r="E180" s="3"/>
      <c r="F180" s="9" t="s">
        <v>695</v>
      </c>
      <c r="G180" s="10" t="s">
        <v>2</v>
      </c>
      <c r="H180" s="78" t="s">
        <v>96</v>
      </c>
      <c r="I180" s="79"/>
      <c r="J180" s="9" t="s">
        <v>632</v>
      </c>
      <c r="K180" s="1"/>
    </row>
    <row r="181" spans="1:11" ht="44.1" customHeight="1" x14ac:dyDescent="0.2">
      <c r="A181" s="8">
        <v>0</v>
      </c>
      <c r="B181" s="8">
        <v>3</v>
      </c>
      <c r="C181" s="8">
        <v>0</v>
      </c>
      <c r="D181" s="3">
        <v>535220234</v>
      </c>
      <c r="E181" s="3"/>
      <c r="F181" s="9" t="s">
        <v>696</v>
      </c>
      <c r="G181" s="10" t="s">
        <v>4</v>
      </c>
      <c r="H181" s="78" t="s">
        <v>96</v>
      </c>
      <c r="I181" s="79"/>
      <c r="J181" s="9" t="s">
        <v>632</v>
      </c>
      <c r="K181" s="1"/>
    </row>
    <row r="182" spans="1:11" ht="44.1" customHeight="1" x14ac:dyDescent="0.2">
      <c r="A182" s="8">
        <v>0</v>
      </c>
      <c r="B182" s="8">
        <v>3</v>
      </c>
      <c r="C182" s="8">
        <v>0</v>
      </c>
      <c r="D182" s="3">
        <v>535220242</v>
      </c>
      <c r="E182" s="3"/>
      <c r="F182" s="9" t="s">
        <v>697</v>
      </c>
      <c r="G182" s="10" t="s">
        <v>5</v>
      </c>
      <c r="H182" s="78" t="s">
        <v>96</v>
      </c>
      <c r="I182" s="79"/>
      <c r="J182" s="9" t="s">
        <v>632</v>
      </c>
      <c r="K182" s="1"/>
    </row>
    <row r="183" spans="1:11" ht="43.5" customHeight="1" x14ac:dyDescent="0.2">
      <c r="A183" s="8">
        <v>0</v>
      </c>
      <c r="B183" s="8">
        <v>3</v>
      </c>
      <c r="C183" s="8">
        <v>0</v>
      </c>
      <c r="D183" s="3">
        <v>535220266</v>
      </c>
      <c r="E183" s="3"/>
      <c r="F183" s="9" t="s">
        <v>698</v>
      </c>
      <c r="G183" s="10" t="s">
        <v>6</v>
      </c>
      <c r="H183" s="78" t="s">
        <v>96</v>
      </c>
      <c r="I183" s="79"/>
      <c r="J183" s="9" t="s">
        <v>632</v>
      </c>
    </row>
    <row r="184" spans="1:11" ht="42.95" customHeight="1" x14ac:dyDescent="0.2">
      <c r="A184" s="8">
        <v>1</v>
      </c>
      <c r="B184" s="8">
        <v>3</v>
      </c>
      <c r="C184" s="8">
        <v>0</v>
      </c>
      <c r="D184" s="3">
        <v>825220041</v>
      </c>
      <c r="E184" s="3"/>
      <c r="F184" s="9" t="s">
        <v>699</v>
      </c>
      <c r="G184" s="10" t="s">
        <v>7</v>
      </c>
      <c r="H184" s="80" t="s">
        <v>97</v>
      </c>
      <c r="I184" s="81"/>
      <c r="J184" s="9" t="s">
        <v>650</v>
      </c>
    </row>
    <row r="185" spans="1:11" ht="44.1" customHeight="1" x14ac:dyDescent="0.2">
      <c r="A185" s="8">
        <v>1</v>
      </c>
      <c r="B185" s="8">
        <v>3</v>
      </c>
      <c r="C185" s="8">
        <v>0</v>
      </c>
      <c r="D185" s="3">
        <v>825220065</v>
      </c>
      <c r="E185" s="3"/>
      <c r="F185" s="9" t="s">
        <v>700</v>
      </c>
      <c r="G185" s="10" t="s">
        <v>8</v>
      </c>
      <c r="H185" s="78" t="s">
        <v>98</v>
      </c>
      <c r="I185" s="79"/>
      <c r="J185" s="9" t="s">
        <v>650</v>
      </c>
    </row>
    <row r="186" spans="1:11" ht="42.95" customHeight="1" x14ac:dyDescent="0.2">
      <c r="A186" s="8">
        <v>1</v>
      </c>
      <c r="B186" s="8">
        <v>3</v>
      </c>
      <c r="C186" s="8">
        <v>0</v>
      </c>
      <c r="D186" s="3">
        <v>825220067</v>
      </c>
      <c r="E186" s="3"/>
      <c r="F186" s="9" t="s">
        <v>701</v>
      </c>
      <c r="G186" s="10" t="s">
        <v>10</v>
      </c>
      <c r="H186" s="80" t="s">
        <v>97</v>
      </c>
      <c r="I186" s="81"/>
      <c r="J186" s="9" t="s">
        <v>650</v>
      </c>
    </row>
    <row r="187" spans="1:11" ht="44.1" customHeight="1" x14ac:dyDescent="0.2">
      <c r="A187" s="8">
        <v>1</v>
      </c>
      <c r="B187" s="8">
        <v>3</v>
      </c>
      <c r="C187" s="8">
        <v>0</v>
      </c>
      <c r="D187" s="3">
        <v>825220083</v>
      </c>
      <c r="E187" s="3"/>
      <c r="F187" s="9" t="s">
        <v>702</v>
      </c>
      <c r="G187" s="10" t="s">
        <v>11</v>
      </c>
      <c r="H187" s="78" t="s">
        <v>98</v>
      </c>
      <c r="I187" s="79"/>
      <c r="J187" s="9" t="s">
        <v>650</v>
      </c>
    </row>
    <row r="188" spans="1:11" ht="42.6" customHeight="1" x14ac:dyDescent="0.2">
      <c r="A188" s="8">
        <v>1</v>
      </c>
      <c r="B188" s="8">
        <v>3</v>
      </c>
      <c r="C188" s="8">
        <v>0</v>
      </c>
      <c r="D188" s="3">
        <v>825220108</v>
      </c>
      <c r="E188" s="3"/>
      <c r="F188" s="9" t="s">
        <v>703</v>
      </c>
      <c r="G188" s="10" t="s">
        <v>12</v>
      </c>
      <c r="H188" s="78" t="s">
        <v>98</v>
      </c>
      <c r="I188" s="79"/>
      <c r="J188" s="9" t="s">
        <v>650</v>
      </c>
    </row>
    <row r="189" spans="1:11" ht="44.1" customHeight="1" x14ac:dyDescent="0.2">
      <c r="A189" s="8">
        <v>2</v>
      </c>
      <c r="B189" s="8">
        <v>3</v>
      </c>
      <c r="C189" s="8">
        <v>0</v>
      </c>
      <c r="D189" s="3">
        <v>825220074</v>
      </c>
      <c r="E189" s="3"/>
      <c r="F189" s="9" t="s">
        <v>704</v>
      </c>
      <c r="G189" s="10" t="s">
        <v>14</v>
      </c>
      <c r="H189" s="78" t="s">
        <v>99</v>
      </c>
      <c r="I189" s="79"/>
      <c r="J189" s="9" t="s">
        <v>632</v>
      </c>
    </row>
    <row r="190" spans="1:11" ht="44.1" customHeight="1" x14ac:dyDescent="0.2">
      <c r="A190" s="8">
        <v>2</v>
      </c>
      <c r="B190" s="8">
        <v>3</v>
      </c>
      <c r="C190" s="8">
        <v>0</v>
      </c>
      <c r="D190" s="3">
        <v>825220159</v>
      </c>
      <c r="E190" s="3"/>
      <c r="F190" s="9" t="s">
        <v>705</v>
      </c>
      <c r="G190" s="10" t="s">
        <v>16</v>
      </c>
      <c r="H190" s="78" t="s">
        <v>99</v>
      </c>
      <c r="I190" s="79"/>
      <c r="J190" s="9" t="s">
        <v>632</v>
      </c>
    </row>
    <row r="191" spans="1:11" ht="42.95" customHeight="1" x14ac:dyDescent="0.2">
      <c r="A191" s="8">
        <v>2</v>
      </c>
      <c r="B191" s="8">
        <v>3</v>
      </c>
      <c r="C191" s="8">
        <v>0</v>
      </c>
      <c r="D191" s="3">
        <v>825220160</v>
      </c>
      <c r="E191" s="3"/>
      <c r="F191" s="9" t="s">
        <v>706</v>
      </c>
      <c r="G191" s="10" t="s">
        <v>17</v>
      </c>
      <c r="H191" s="80" t="s">
        <v>100</v>
      </c>
      <c r="I191" s="81"/>
      <c r="J191" s="9" t="s">
        <v>632</v>
      </c>
    </row>
    <row r="192" spans="1:11" ht="44.1" customHeight="1" x14ac:dyDescent="0.2">
      <c r="A192" s="8">
        <v>2</v>
      </c>
      <c r="B192" s="8">
        <v>3</v>
      </c>
      <c r="C192" s="8">
        <v>0</v>
      </c>
      <c r="D192" s="3">
        <v>825220161</v>
      </c>
      <c r="E192" s="3"/>
      <c r="F192" s="9" t="s">
        <v>707</v>
      </c>
      <c r="G192" s="10" t="s">
        <v>18</v>
      </c>
      <c r="H192" s="78" t="s">
        <v>99</v>
      </c>
      <c r="I192" s="79"/>
      <c r="J192" s="9" t="s">
        <v>632</v>
      </c>
    </row>
    <row r="193" spans="1:11" ht="33" customHeight="1" x14ac:dyDescent="0.2">
      <c r="A193" s="8">
        <v>2</v>
      </c>
      <c r="B193" s="8">
        <v>3</v>
      </c>
      <c r="C193" s="8">
        <v>0</v>
      </c>
      <c r="D193" s="4">
        <v>825220163</v>
      </c>
      <c r="E193" s="4"/>
      <c r="F193" s="12" t="s">
        <v>708</v>
      </c>
      <c r="G193" s="13" t="s">
        <v>19</v>
      </c>
      <c r="H193" s="82" t="s">
        <v>100</v>
      </c>
      <c r="I193" s="83"/>
      <c r="J193" s="12" t="s">
        <v>632</v>
      </c>
    </row>
    <row r="194" spans="1:11" ht="42.95" customHeight="1" x14ac:dyDescent="0.2">
      <c r="A194" s="8">
        <v>3</v>
      </c>
      <c r="B194" s="8">
        <v>3</v>
      </c>
      <c r="C194" s="8">
        <v>0</v>
      </c>
      <c r="D194" s="3">
        <v>825220164</v>
      </c>
      <c r="E194" s="3"/>
      <c r="F194" s="9" t="s">
        <v>709</v>
      </c>
      <c r="G194" s="10" t="s">
        <v>20</v>
      </c>
      <c r="H194" s="80" t="s">
        <v>100</v>
      </c>
      <c r="I194" s="81"/>
      <c r="J194" s="9" t="s">
        <v>632</v>
      </c>
    </row>
    <row r="195" spans="1:11" ht="44.1" customHeight="1" x14ac:dyDescent="0.2">
      <c r="A195" s="8">
        <v>3</v>
      </c>
      <c r="B195" s="8">
        <v>3</v>
      </c>
      <c r="C195" s="8">
        <v>0</v>
      </c>
      <c r="D195" s="3">
        <v>825220068</v>
      </c>
      <c r="E195" s="3"/>
      <c r="F195" s="9" t="s">
        <v>710</v>
      </c>
      <c r="G195" s="10" t="s">
        <v>22</v>
      </c>
      <c r="H195" s="78" t="s">
        <v>99</v>
      </c>
      <c r="I195" s="79"/>
      <c r="J195" s="9" t="s">
        <v>632</v>
      </c>
    </row>
    <row r="196" spans="1:11" ht="42.95" customHeight="1" x14ac:dyDescent="0.2">
      <c r="A196" s="8">
        <v>3</v>
      </c>
      <c r="B196" s="8">
        <v>3</v>
      </c>
      <c r="C196" s="8">
        <v>0</v>
      </c>
      <c r="D196" s="3">
        <v>825220071</v>
      </c>
      <c r="E196" s="3"/>
      <c r="F196" s="9" t="s">
        <v>711</v>
      </c>
      <c r="G196" s="10" t="s">
        <v>23</v>
      </c>
      <c r="H196" s="80" t="s">
        <v>100</v>
      </c>
      <c r="I196" s="81"/>
      <c r="J196" s="9" t="s">
        <v>632</v>
      </c>
    </row>
    <row r="197" spans="1:11" ht="44.1" customHeight="1" x14ac:dyDescent="0.2">
      <c r="A197" s="8">
        <v>3</v>
      </c>
      <c r="B197" s="8">
        <v>3</v>
      </c>
      <c r="C197" s="8">
        <v>0</v>
      </c>
      <c r="D197" s="3">
        <v>825220072</v>
      </c>
      <c r="E197" s="3"/>
      <c r="F197" s="9" t="s">
        <v>712</v>
      </c>
      <c r="G197" s="10" t="s">
        <v>24</v>
      </c>
      <c r="H197" s="78" t="s">
        <v>99</v>
      </c>
      <c r="I197" s="79"/>
      <c r="J197" s="9" t="s">
        <v>632</v>
      </c>
    </row>
    <row r="198" spans="1:11" ht="42.6" customHeight="1" x14ac:dyDescent="0.2">
      <c r="A198" s="8">
        <v>3</v>
      </c>
      <c r="B198" s="8">
        <v>3</v>
      </c>
      <c r="C198" s="8">
        <v>0</v>
      </c>
      <c r="D198" s="3">
        <v>825220073</v>
      </c>
      <c r="E198" s="3"/>
      <c r="F198" s="9" t="s">
        <v>713</v>
      </c>
      <c r="G198" s="10" t="s">
        <v>25</v>
      </c>
      <c r="H198" s="78" t="s">
        <v>99</v>
      </c>
      <c r="I198" s="79"/>
      <c r="J198" s="9" t="s">
        <v>632</v>
      </c>
    </row>
    <row r="199" spans="1:11" ht="44.1" customHeight="1" x14ac:dyDescent="0.2">
      <c r="A199" s="8">
        <v>4</v>
      </c>
      <c r="B199" s="8">
        <v>3</v>
      </c>
      <c r="C199" s="8">
        <v>0</v>
      </c>
      <c r="D199" s="3">
        <v>535220002</v>
      </c>
      <c r="E199" s="3"/>
      <c r="F199" s="9" t="s">
        <v>714</v>
      </c>
      <c r="G199" s="10" t="s">
        <v>26</v>
      </c>
      <c r="H199" s="78" t="s">
        <v>101</v>
      </c>
      <c r="I199" s="79"/>
      <c r="J199" s="9" t="s">
        <v>553</v>
      </c>
    </row>
    <row r="200" spans="1:11" ht="42.95" customHeight="1" x14ac:dyDescent="0.2">
      <c r="A200" s="8">
        <v>4</v>
      </c>
      <c r="B200" s="8">
        <v>3</v>
      </c>
      <c r="C200" s="8">
        <v>0</v>
      </c>
      <c r="D200" s="3">
        <v>535220004</v>
      </c>
      <c r="E200" s="3"/>
      <c r="F200" s="9" t="s">
        <v>715</v>
      </c>
      <c r="G200" s="10" t="s">
        <v>29</v>
      </c>
      <c r="H200" s="78" t="s">
        <v>101</v>
      </c>
      <c r="I200" s="79"/>
      <c r="J200" s="9" t="s">
        <v>553</v>
      </c>
    </row>
    <row r="201" spans="1:11" ht="44.1" customHeight="1" x14ac:dyDescent="0.2">
      <c r="A201" s="8">
        <v>4</v>
      </c>
      <c r="B201" s="8">
        <v>3</v>
      </c>
      <c r="C201" s="8">
        <v>0</v>
      </c>
      <c r="D201" s="3">
        <v>535220027</v>
      </c>
      <c r="E201" s="3"/>
      <c r="F201" s="9" t="s">
        <v>716</v>
      </c>
      <c r="G201" s="10" t="s">
        <v>31</v>
      </c>
      <c r="H201" s="78" t="s">
        <v>101</v>
      </c>
      <c r="I201" s="79"/>
      <c r="J201" s="9" t="s">
        <v>553</v>
      </c>
    </row>
    <row r="202" spans="1:11" ht="44.1" customHeight="1" x14ac:dyDescent="0.2">
      <c r="A202" s="8">
        <v>4</v>
      </c>
      <c r="B202" s="8">
        <v>3</v>
      </c>
      <c r="C202" s="8">
        <v>0</v>
      </c>
      <c r="D202" s="3">
        <v>535220030</v>
      </c>
      <c r="E202" s="3"/>
      <c r="F202" s="9" t="s">
        <v>717</v>
      </c>
      <c r="G202" s="10" t="s">
        <v>32</v>
      </c>
      <c r="H202" s="78" t="s">
        <v>101</v>
      </c>
      <c r="I202" s="79"/>
      <c r="J202" s="9" t="s">
        <v>553</v>
      </c>
    </row>
    <row r="203" spans="1:11" ht="43.35" customHeight="1" x14ac:dyDescent="0.2">
      <c r="A203" s="8">
        <v>4</v>
      </c>
      <c r="B203" s="8">
        <v>3</v>
      </c>
      <c r="C203" s="8">
        <v>0</v>
      </c>
      <c r="D203" s="3">
        <v>535220038</v>
      </c>
      <c r="E203" s="3"/>
      <c r="F203" s="9" t="s">
        <v>718</v>
      </c>
      <c r="G203" s="10" t="s">
        <v>33</v>
      </c>
      <c r="H203" s="80" t="s">
        <v>102</v>
      </c>
      <c r="I203" s="81"/>
      <c r="J203" s="9" t="s">
        <v>553</v>
      </c>
    </row>
    <row r="204" spans="1:11" ht="43.5" customHeight="1" x14ac:dyDescent="0.2">
      <c r="A204" s="8">
        <v>5</v>
      </c>
      <c r="B204" s="8">
        <v>3</v>
      </c>
      <c r="C204" s="8">
        <v>0</v>
      </c>
      <c r="D204" s="3">
        <v>535220053</v>
      </c>
      <c r="E204" s="3"/>
      <c r="F204" s="9" t="s">
        <v>719</v>
      </c>
      <c r="G204" s="10" t="s">
        <v>34</v>
      </c>
      <c r="H204" s="78" t="s">
        <v>101</v>
      </c>
      <c r="I204" s="79"/>
      <c r="J204" s="9" t="s">
        <v>553</v>
      </c>
      <c r="K204" s="1"/>
    </row>
    <row r="205" spans="1:11" ht="44.1" customHeight="1" x14ac:dyDescent="0.2">
      <c r="A205" s="8">
        <v>5</v>
      </c>
      <c r="B205" s="8">
        <v>3</v>
      </c>
      <c r="C205" s="8">
        <v>0</v>
      </c>
      <c r="D205" s="3">
        <v>535220024</v>
      </c>
      <c r="E205" s="3"/>
      <c r="F205" s="9" t="s">
        <v>720</v>
      </c>
      <c r="G205" s="10" t="s">
        <v>37</v>
      </c>
      <c r="H205" s="80" t="s">
        <v>103</v>
      </c>
      <c r="I205" s="81"/>
      <c r="J205" s="9" t="s">
        <v>553</v>
      </c>
      <c r="K205" s="1"/>
    </row>
    <row r="206" spans="1:11" ht="42.95" customHeight="1" x14ac:dyDescent="0.2">
      <c r="A206" s="8">
        <v>5</v>
      </c>
      <c r="B206" s="8">
        <v>3</v>
      </c>
      <c r="C206" s="8">
        <v>0</v>
      </c>
      <c r="D206" s="3">
        <v>535220175</v>
      </c>
      <c r="E206" s="3"/>
      <c r="F206" s="9" t="s">
        <v>721</v>
      </c>
      <c r="G206" s="10" t="s">
        <v>39</v>
      </c>
      <c r="H206" s="80" t="s">
        <v>103</v>
      </c>
      <c r="I206" s="81"/>
      <c r="J206" s="9" t="s">
        <v>553</v>
      </c>
      <c r="K206" s="1"/>
    </row>
    <row r="207" spans="1:11" ht="44.1" customHeight="1" x14ac:dyDescent="0.2">
      <c r="A207" s="8">
        <v>5</v>
      </c>
      <c r="B207" s="8">
        <v>3</v>
      </c>
      <c r="C207" s="8">
        <v>0</v>
      </c>
      <c r="D207" s="3">
        <v>535220212</v>
      </c>
      <c r="E207" s="3"/>
      <c r="F207" s="9" t="s">
        <v>722</v>
      </c>
      <c r="G207" s="10" t="s">
        <v>40</v>
      </c>
      <c r="H207" s="80" t="s">
        <v>103</v>
      </c>
      <c r="I207" s="81"/>
      <c r="J207" s="9" t="s">
        <v>553</v>
      </c>
      <c r="K207" s="1"/>
    </row>
    <row r="208" spans="1:11" ht="43.5" customHeight="1" x14ac:dyDescent="0.2">
      <c r="A208" s="8">
        <v>5</v>
      </c>
      <c r="B208" s="8">
        <v>3</v>
      </c>
      <c r="C208" s="8">
        <v>0</v>
      </c>
      <c r="D208" s="3">
        <v>535220045</v>
      </c>
      <c r="E208" s="3"/>
      <c r="F208" s="9" t="s">
        <v>723</v>
      </c>
      <c r="G208" s="10" t="s">
        <v>41</v>
      </c>
      <c r="H208" s="80" t="s">
        <v>103</v>
      </c>
      <c r="I208" s="81"/>
      <c r="J208" s="9" t="s">
        <v>553</v>
      </c>
      <c r="K208" s="1"/>
    </row>
    <row r="209" spans="1:11" ht="43.5" customHeight="1" x14ac:dyDescent="0.2">
      <c r="A209" s="8">
        <v>6</v>
      </c>
      <c r="B209" s="8">
        <v>3</v>
      </c>
      <c r="C209" s="8">
        <v>0</v>
      </c>
      <c r="D209" s="3">
        <v>535220077</v>
      </c>
      <c r="E209" s="3"/>
      <c r="F209" s="9" t="s">
        <v>724</v>
      </c>
      <c r="G209" s="10" t="s">
        <v>42</v>
      </c>
      <c r="H209" s="78" t="s">
        <v>104</v>
      </c>
      <c r="I209" s="79"/>
      <c r="J209" s="9" t="s">
        <v>638</v>
      </c>
      <c r="K209" s="1"/>
    </row>
    <row r="210" spans="1:11" ht="42.95" customHeight="1" x14ac:dyDescent="0.2">
      <c r="A210" s="8">
        <v>6</v>
      </c>
      <c r="B210" s="8">
        <v>3</v>
      </c>
      <c r="C210" s="8">
        <v>0</v>
      </c>
      <c r="D210" s="3">
        <v>535220084</v>
      </c>
      <c r="E210" s="3"/>
      <c r="F210" s="9" t="s">
        <v>725</v>
      </c>
      <c r="G210" s="10" t="s">
        <v>44</v>
      </c>
      <c r="H210" s="78" t="s">
        <v>104</v>
      </c>
      <c r="I210" s="79"/>
      <c r="J210" s="9" t="s">
        <v>638</v>
      </c>
      <c r="K210" s="1"/>
    </row>
    <row r="211" spans="1:11" ht="44.1" customHeight="1" x14ac:dyDescent="0.2">
      <c r="A211" s="8">
        <v>6</v>
      </c>
      <c r="B211" s="8">
        <v>3</v>
      </c>
      <c r="C211" s="8">
        <v>0</v>
      </c>
      <c r="D211" s="3">
        <v>535220034</v>
      </c>
      <c r="E211" s="3"/>
      <c r="F211" s="9" t="s">
        <v>726</v>
      </c>
      <c r="G211" s="10" t="s">
        <v>46</v>
      </c>
      <c r="H211" s="80" t="s">
        <v>105</v>
      </c>
      <c r="I211" s="81"/>
      <c r="J211" s="9" t="s">
        <v>638</v>
      </c>
      <c r="K211" s="1"/>
    </row>
    <row r="212" spans="1:11" ht="44.1" customHeight="1" x14ac:dyDescent="0.2">
      <c r="A212" s="8">
        <v>6</v>
      </c>
      <c r="B212" s="8">
        <v>3</v>
      </c>
      <c r="C212" s="8">
        <v>0</v>
      </c>
      <c r="D212" s="3">
        <v>535220035</v>
      </c>
      <c r="E212" s="3"/>
      <c r="F212" s="9" t="s">
        <v>727</v>
      </c>
      <c r="G212" s="10" t="s">
        <v>47</v>
      </c>
      <c r="H212" s="80" t="s">
        <v>105</v>
      </c>
      <c r="I212" s="81"/>
      <c r="J212" s="9" t="s">
        <v>638</v>
      </c>
      <c r="K212" s="1"/>
    </row>
    <row r="213" spans="1:11" ht="43.5" customHeight="1" x14ac:dyDescent="0.2">
      <c r="A213" s="8">
        <v>6</v>
      </c>
      <c r="B213" s="8">
        <v>3</v>
      </c>
      <c r="C213" s="8">
        <v>0</v>
      </c>
      <c r="D213" s="3">
        <v>535220128</v>
      </c>
      <c r="E213" s="3"/>
      <c r="F213" s="9" t="s">
        <v>728</v>
      </c>
      <c r="G213" s="10" t="s">
        <v>48</v>
      </c>
      <c r="H213" s="80" t="s">
        <v>78</v>
      </c>
      <c r="I213" s="81"/>
      <c r="J213" s="9" t="s">
        <v>729</v>
      </c>
      <c r="K213" s="1"/>
    </row>
    <row r="214" spans="1:11" ht="43.5" customHeight="1" x14ac:dyDescent="0.2">
      <c r="A214" s="16"/>
      <c r="B214" s="16"/>
      <c r="C214" s="16"/>
      <c r="D214" s="20"/>
      <c r="E214" s="20"/>
      <c r="F214" s="21"/>
      <c r="G214" s="22"/>
      <c r="H214" s="23"/>
      <c r="I214" s="23"/>
      <c r="J214" s="21"/>
      <c r="K214" s="1"/>
    </row>
    <row r="215" spans="1:11" ht="52.5" customHeight="1" x14ac:dyDescent="0.2">
      <c r="A215" s="88" t="s">
        <v>875</v>
      </c>
      <c r="B215" s="88"/>
      <c r="C215" s="88"/>
      <c r="D215" s="85"/>
      <c r="E215" s="85"/>
      <c r="F215" s="85"/>
      <c r="G215" s="85"/>
      <c r="H215" s="85"/>
      <c r="I215" s="85"/>
      <c r="J215" s="85"/>
      <c r="K215" s="85"/>
    </row>
    <row r="216" spans="1:11" ht="44.1" customHeight="1" x14ac:dyDescent="0.2">
      <c r="A216" s="8">
        <v>0</v>
      </c>
      <c r="B216" s="8">
        <v>6</v>
      </c>
      <c r="C216" s="8">
        <v>0</v>
      </c>
      <c r="D216" s="3">
        <v>825220039</v>
      </c>
      <c r="E216" s="3"/>
      <c r="F216" s="9" t="s">
        <v>730</v>
      </c>
      <c r="G216" s="10" t="s">
        <v>0</v>
      </c>
      <c r="H216" s="80" t="s">
        <v>106</v>
      </c>
      <c r="I216" s="81"/>
      <c r="J216" s="9" t="s">
        <v>731</v>
      </c>
      <c r="K216" s="1"/>
    </row>
    <row r="217" spans="1:11" ht="42.95" customHeight="1" x14ac:dyDescent="0.2">
      <c r="A217" s="8">
        <v>0</v>
      </c>
      <c r="B217" s="8">
        <v>6</v>
      </c>
      <c r="C217" s="8">
        <v>0</v>
      </c>
      <c r="D217" s="3">
        <v>825220050</v>
      </c>
      <c r="E217" s="3"/>
      <c r="F217" s="9" t="s">
        <v>732</v>
      </c>
      <c r="G217" s="10" t="s">
        <v>2</v>
      </c>
      <c r="H217" s="80" t="s">
        <v>106</v>
      </c>
      <c r="I217" s="81"/>
      <c r="J217" s="9" t="s">
        <v>731</v>
      </c>
      <c r="K217" s="1"/>
    </row>
    <row r="218" spans="1:11" ht="44.1" customHeight="1" x14ac:dyDescent="0.2">
      <c r="A218" s="8">
        <v>0</v>
      </c>
      <c r="B218" s="8">
        <v>6</v>
      </c>
      <c r="C218" s="8">
        <v>0</v>
      </c>
      <c r="D218" s="3">
        <v>825220052</v>
      </c>
      <c r="E218" s="3"/>
      <c r="F218" s="9" t="s">
        <v>733</v>
      </c>
      <c r="G218" s="10" t="s">
        <v>4</v>
      </c>
      <c r="H218" s="80" t="s">
        <v>106</v>
      </c>
      <c r="I218" s="81"/>
      <c r="J218" s="9" t="s">
        <v>731</v>
      </c>
      <c r="K218" s="1"/>
    </row>
    <row r="219" spans="1:11" ht="42.95" customHeight="1" x14ac:dyDescent="0.2">
      <c r="A219" s="8">
        <v>0</v>
      </c>
      <c r="B219" s="8">
        <v>6</v>
      </c>
      <c r="C219" s="8">
        <v>0</v>
      </c>
      <c r="D219" s="3">
        <v>825220066</v>
      </c>
      <c r="E219" s="3"/>
      <c r="F219" s="9" t="s">
        <v>734</v>
      </c>
      <c r="G219" s="10" t="s">
        <v>5</v>
      </c>
      <c r="H219" s="80" t="s">
        <v>106</v>
      </c>
      <c r="I219" s="81"/>
      <c r="J219" s="9" t="s">
        <v>731</v>
      </c>
      <c r="K219" s="1"/>
    </row>
    <row r="220" spans="1:11" ht="43.7" customHeight="1" x14ac:dyDescent="0.2">
      <c r="A220" s="8">
        <v>0</v>
      </c>
      <c r="B220" s="8">
        <v>6</v>
      </c>
      <c r="C220" s="8">
        <v>0</v>
      </c>
      <c r="D220" s="3">
        <v>825220170</v>
      </c>
      <c r="E220" s="3"/>
      <c r="F220" s="9" t="s">
        <v>735</v>
      </c>
      <c r="G220" s="10" t="s">
        <v>6</v>
      </c>
      <c r="H220" s="80" t="s">
        <v>106</v>
      </c>
      <c r="I220" s="81"/>
      <c r="J220" s="9" t="s">
        <v>731</v>
      </c>
      <c r="K220" s="1"/>
    </row>
    <row r="221" spans="1:11" ht="42.6" customHeight="1" x14ac:dyDescent="0.2">
      <c r="A221" s="8">
        <v>1</v>
      </c>
      <c r="B221" s="8">
        <v>6</v>
      </c>
      <c r="C221" s="8">
        <v>0</v>
      </c>
      <c r="D221" s="3">
        <v>825200094</v>
      </c>
      <c r="E221" s="3"/>
      <c r="F221" s="9" t="s">
        <v>736</v>
      </c>
      <c r="G221" s="10" t="s">
        <v>7</v>
      </c>
      <c r="H221" s="80" t="s">
        <v>106</v>
      </c>
      <c r="I221" s="81"/>
      <c r="J221" s="9" t="s">
        <v>731</v>
      </c>
      <c r="K221" s="1"/>
    </row>
    <row r="222" spans="1:11" ht="44.1" customHeight="1" x14ac:dyDescent="0.2">
      <c r="A222" s="8">
        <v>1</v>
      </c>
      <c r="B222" s="8">
        <v>6</v>
      </c>
      <c r="C222" s="8">
        <v>0</v>
      </c>
      <c r="D222" s="3">
        <v>825220096</v>
      </c>
      <c r="E222" s="3"/>
      <c r="F222" s="9" t="s">
        <v>737</v>
      </c>
      <c r="G222" s="10" t="s">
        <v>8</v>
      </c>
      <c r="H222" s="80" t="s">
        <v>106</v>
      </c>
      <c r="I222" s="81"/>
      <c r="J222" s="9" t="s">
        <v>731</v>
      </c>
      <c r="K222" s="1"/>
    </row>
    <row r="223" spans="1:11" ht="42.95" customHeight="1" x14ac:dyDescent="0.2">
      <c r="A223" s="8">
        <v>1</v>
      </c>
      <c r="B223" s="8">
        <v>6</v>
      </c>
      <c r="C223" s="8">
        <v>0</v>
      </c>
      <c r="D223" s="3">
        <v>535220185</v>
      </c>
      <c r="E223" s="3"/>
      <c r="F223" s="9" t="s">
        <v>738</v>
      </c>
      <c r="G223" s="10" t="s">
        <v>10</v>
      </c>
      <c r="H223" s="78" t="s">
        <v>107</v>
      </c>
      <c r="I223" s="79"/>
      <c r="J223" s="9" t="s">
        <v>731</v>
      </c>
      <c r="K223" s="1"/>
    </row>
    <row r="224" spans="1:11" ht="44.1" customHeight="1" x14ac:dyDescent="0.2">
      <c r="A224" s="8">
        <v>1</v>
      </c>
      <c r="B224" s="8">
        <v>6</v>
      </c>
      <c r="C224" s="8">
        <v>0</v>
      </c>
      <c r="D224" s="3">
        <v>535220190</v>
      </c>
      <c r="E224" s="3"/>
      <c r="F224" s="9" t="s">
        <v>739</v>
      </c>
      <c r="G224" s="10" t="s">
        <v>11</v>
      </c>
      <c r="H224" s="78" t="s">
        <v>107</v>
      </c>
      <c r="I224" s="79"/>
      <c r="J224" s="9" t="s">
        <v>731</v>
      </c>
      <c r="K224" s="1"/>
    </row>
    <row r="225" spans="1:11" ht="44.1" customHeight="1" x14ac:dyDescent="0.2">
      <c r="A225" s="8">
        <v>1</v>
      </c>
      <c r="B225" s="8">
        <v>6</v>
      </c>
      <c r="C225" s="8">
        <v>0</v>
      </c>
      <c r="D225" s="3">
        <v>535220192</v>
      </c>
      <c r="E225" s="3"/>
      <c r="F225" s="9" t="s">
        <v>740</v>
      </c>
      <c r="G225" s="10" t="s">
        <v>12</v>
      </c>
      <c r="H225" s="78" t="s">
        <v>107</v>
      </c>
      <c r="I225" s="79"/>
      <c r="J225" s="9" t="s">
        <v>731</v>
      </c>
      <c r="K225" s="1"/>
    </row>
    <row r="226" spans="1:11" ht="43.5" customHeight="1" x14ac:dyDescent="0.2">
      <c r="A226" s="8">
        <v>2</v>
      </c>
      <c r="B226" s="8">
        <v>6</v>
      </c>
      <c r="C226" s="8">
        <v>0</v>
      </c>
      <c r="D226" s="3">
        <v>535220227</v>
      </c>
      <c r="E226" s="3"/>
      <c r="F226" s="9" t="s">
        <v>741</v>
      </c>
      <c r="G226" s="10" t="s">
        <v>14</v>
      </c>
      <c r="H226" s="78" t="s">
        <v>108</v>
      </c>
      <c r="I226" s="79"/>
      <c r="J226" s="9" t="s">
        <v>742</v>
      </c>
      <c r="K226" s="1"/>
    </row>
    <row r="227" spans="1:11" ht="44.1" customHeight="1" x14ac:dyDescent="0.2">
      <c r="A227" s="8">
        <v>2</v>
      </c>
      <c r="B227" s="8">
        <v>6</v>
      </c>
      <c r="C227" s="8">
        <v>0</v>
      </c>
      <c r="D227" s="3">
        <v>825220001</v>
      </c>
      <c r="E227" s="3"/>
      <c r="F227" s="9" t="s">
        <v>743</v>
      </c>
      <c r="G227" s="10" t="s">
        <v>16</v>
      </c>
      <c r="H227" s="78" t="s">
        <v>108</v>
      </c>
      <c r="I227" s="79"/>
      <c r="J227" s="9" t="s">
        <v>742</v>
      </c>
      <c r="K227" s="1"/>
    </row>
    <row r="228" spans="1:11" ht="42.95" customHeight="1" x14ac:dyDescent="0.2">
      <c r="A228" s="8">
        <v>2</v>
      </c>
      <c r="B228" s="8">
        <v>6</v>
      </c>
      <c r="C228" s="8">
        <v>0</v>
      </c>
      <c r="D228" s="3">
        <v>825220029</v>
      </c>
      <c r="E228" s="3"/>
      <c r="F228" s="9" t="s">
        <v>744</v>
      </c>
      <c r="G228" s="10" t="s">
        <v>17</v>
      </c>
      <c r="H228" s="80" t="s">
        <v>109</v>
      </c>
      <c r="I228" s="81"/>
      <c r="J228" s="9" t="s">
        <v>742</v>
      </c>
      <c r="K228" s="1"/>
    </row>
    <row r="229" spans="1:11" ht="44.1" customHeight="1" x14ac:dyDescent="0.2">
      <c r="A229" s="8">
        <v>2</v>
      </c>
      <c r="B229" s="8">
        <v>6</v>
      </c>
      <c r="C229" s="8">
        <v>0</v>
      </c>
      <c r="D229" s="3">
        <v>825220030</v>
      </c>
      <c r="E229" s="3"/>
      <c r="F229" s="9" t="s">
        <v>745</v>
      </c>
      <c r="G229" s="10" t="s">
        <v>18</v>
      </c>
      <c r="H229" s="78" t="s">
        <v>108</v>
      </c>
      <c r="I229" s="79"/>
      <c r="J229" s="9" t="s">
        <v>742</v>
      </c>
      <c r="K229" s="1"/>
    </row>
    <row r="230" spans="1:11" ht="43.5" customHeight="1" x14ac:dyDescent="0.2">
      <c r="A230" s="8">
        <v>2</v>
      </c>
      <c r="B230" s="8">
        <v>6</v>
      </c>
      <c r="C230" s="8">
        <v>0</v>
      </c>
      <c r="D230" s="3">
        <v>825220069</v>
      </c>
      <c r="E230" s="3"/>
      <c r="F230" s="9" t="s">
        <v>746</v>
      </c>
      <c r="G230" s="10" t="s">
        <v>19</v>
      </c>
      <c r="H230" s="80" t="s">
        <v>109</v>
      </c>
      <c r="I230" s="81"/>
      <c r="J230" s="9" t="s">
        <v>742</v>
      </c>
      <c r="K230" s="1"/>
    </row>
    <row r="231" spans="1:11" ht="43.5" customHeight="1" x14ac:dyDescent="0.2">
      <c r="A231" s="8">
        <v>3</v>
      </c>
      <c r="B231" s="8">
        <v>6</v>
      </c>
      <c r="C231" s="8">
        <v>0</v>
      </c>
      <c r="D231" s="3">
        <v>825220112</v>
      </c>
      <c r="E231" s="3"/>
      <c r="F231" s="9" t="s">
        <v>747</v>
      </c>
      <c r="G231" s="10" t="s">
        <v>20</v>
      </c>
      <c r="H231" s="78" t="s">
        <v>110</v>
      </c>
      <c r="I231" s="79"/>
      <c r="J231" s="9" t="s">
        <v>742</v>
      </c>
      <c r="K231" s="1"/>
    </row>
    <row r="232" spans="1:11" ht="42.95" customHeight="1" x14ac:dyDescent="0.2">
      <c r="A232" s="8">
        <v>3</v>
      </c>
      <c r="B232" s="8">
        <v>6</v>
      </c>
      <c r="C232" s="8">
        <v>0</v>
      </c>
      <c r="D232" s="3">
        <v>535220145</v>
      </c>
      <c r="E232" s="3"/>
      <c r="F232" s="9" t="s">
        <v>748</v>
      </c>
      <c r="G232" s="10" t="s">
        <v>22</v>
      </c>
      <c r="H232" s="78" t="s">
        <v>111</v>
      </c>
      <c r="I232" s="79"/>
      <c r="J232" s="9" t="s">
        <v>742</v>
      </c>
      <c r="K232" s="1"/>
    </row>
    <row r="233" spans="1:11" ht="44.1" customHeight="1" x14ac:dyDescent="0.2">
      <c r="A233" s="8">
        <v>3</v>
      </c>
      <c r="B233" s="8">
        <v>6</v>
      </c>
      <c r="C233" s="8">
        <v>0</v>
      </c>
      <c r="D233" s="3">
        <v>535220228</v>
      </c>
      <c r="E233" s="3"/>
      <c r="F233" s="9" t="s">
        <v>749</v>
      </c>
      <c r="G233" s="10" t="s">
        <v>23</v>
      </c>
      <c r="H233" s="78" t="s">
        <v>111</v>
      </c>
      <c r="I233" s="79"/>
      <c r="J233" s="9" t="s">
        <v>742</v>
      </c>
      <c r="K233" s="1"/>
    </row>
    <row r="234" spans="1:11" ht="44.1" customHeight="1" x14ac:dyDescent="0.2">
      <c r="A234" s="8">
        <v>3</v>
      </c>
      <c r="B234" s="8">
        <v>6</v>
      </c>
      <c r="C234" s="8">
        <v>0</v>
      </c>
      <c r="D234" s="3">
        <v>535220229</v>
      </c>
      <c r="E234" s="3"/>
      <c r="F234" s="9" t="s">
        <v>750</v>
      </c>
      <c r="G234" s="10" t="s">
        <v>24</v>
      </c>
      <c r="H234" s="78" t="s">
        <v>111</v>
      </c>
      <c r="I234" s="79"/>
      <c r="J234" s="9" t="s">
        <v>742</v>
      </c>
      <c r="K234" s="1"/>
    </row>
    <row r="235" spans="1:11" ht="43.5" customHeight="1" x14ac:dyDescent="0.2">
      <c r="A235" s="8">
        <v>3</v>
      </c>
      <c r="B235" s="8">
        <v>6</v>
      </c>
      <c r="C235" s="8">
        <v>0</v>
      </c>
      <c r="D235" s="3">
        <v>825220022</v>
      </c>
      <c r="E235" s="3"/>
      <c r="F235" s="9" t="s">
        <v>751</v>
      </c>
      <c r="G235" s="10" t="s">
        <v>25</v>
      </c>
      <c r="H235" s="80" t="s">
        <v>112</v>
      </c>
      <c r="I235" s="81"/>
      <c r="J235" s="9" t="s">
        <v>742</v>
      </c>
      <c r="K235" s="1"/>
    </row>
    <row r="236" spans="1:11" ht="43.5" customHeight="1" x14ac:dyDescent="0.2">
      <c r="A236" s="16"/>
      <c r="B236" s="16"/>
      <c r="C236" s="16"/>
      <c r="D236" s="20"/>
      <c r="E236" s="20"/>
      <c r="F236" s="21"/>
      <c r="G236" s="22"/>
      <c r="H236" s="23"/>
      <c r="I236" s="23"/>
      <c r="J236" s="21"/>
      <c r="K236" s="1"/>
    </row>
    <row r="237" spans="1:11" ht="52.5" customHeight="1" x14ac:dyDescent="0.2">
      <c r="A237" s="88" t="s">
        <v>876</v>
      </c>
      <c r="B237" s="88"/>
      <c r="C237" s="88"/>
      <c r="D237" s="85"/>
      <c r="E237" s="85"/>
      <c r="F237" s="85"/>
      <c r="G237" s="85"/>
      <c r="H237" s="85"/>
      <c r="I237" s="85"/>
      <c r="J237" s="85"/>
      <c r="K237" s="85"/>
    </row>
    <row r="238" spans="1:11" ht="44.1" customHeight="1" x14ac:dyDescent="0.2">
      <c r="A238" s="8">
        <v>0</v>
      </c>
      <c r="B238" s="8">
        <v>6</v>
      </c>
      <c r="C238" s="8">
        <v>1</v>
      </c>
      <c r="D238" s="3">
        <v>825210038</v>
      </c>
      <c r="E238" s="3"/>
      <c r="F238" s="9" t="s">
        <v>752</v>
      </c>
      <c r="G238" s="10" t="s">
        <v>0</v>
      </c>
      <c r="H238" s="78" t="s">
        <v>113</v>
      </c>
      <c r="I238" s="79"/>
      <c r="J238" s="9" t="s">
        <v>36</v>
      </c>
      <c r="K238" s="1"/>
    </row>
    <row r="239" spans="1:11" ht="42.95" customHeight="1" x14ac:dyDescent="0.2">
      <c r="A239" s="8">
        <v>0</v>
      </c>
      <c r="B239" s="8">
        <v>6</v>
      </c>
      <c r="C239" s="8">
        <v>1</v>
      </c>
      <c r="D239" s="3">
        <v>825220080</v>
      </c>
      <c r="E239" s="3"/>
      <c r="F239" s="9" t="s">
        <v>753</v>
      </c>
      <c r="G239" s="10" t="s">
        <v>2</v>
      </c>
      <c r="H239" s="80" t="s">
        <v>114</v>
      </c>
      <c r="I239" s="81"/>
      <c r="J239" s="9" t="s">
        <v>36</v>
      </c>
      <c r="K239" s="1"/>
    </row>
    <row r="240" spans="1:11" ht="44.1" customHeight="1" x14ac:dyDescent="0.2">
      <c r="A240" s="8">
        <v>0</v>
      </c>
      <c r="B240" s="8">
        <v>6</v>
      </c>
      <c r="C240" s="8">
        <v>1</v>
      </c>
      <c r="D240" s="3">
        <v>825220082</v>
      </c>
      <c r="E240" s="3"/>
      <c r="F240" s="9" t="s">
        <v>754</v>
      </c>
      <c r="G240" s="10" t="s">
        <v>4</v>
      </c>
      <c r="H240" s="78" t="s">
        <v>113</v>
      </c>
      <c r="I240" s="79"/>
      <c r="J240" s="9" t="s">
        <v>36</v>
      </c>
      <c r="K240" s="1"/>
    </row>
    <row r="241" spans="1:11" ht="42.95" customHeight="1" x14ac:dyDescent="0.2">
      <c r="A241" s="8">
        <v>0</v>
      </c>
      <c r="B241" s="8">
        <v>6</v>
      </c>
      <c r="C241" s="8">
        <v>1</v>
      </c>
      <c r="D241" s="3">
        <v>825220085</v>
      </c>
      <c r="E241" s="3"/>
      <c r="F241" s="9" t="s">
        <v>755</v>
      </c>
      <c r="G241" s="10" t="s">
        <v>5</v>
      </c>
      <c r="H241" s="80" t="s">
        <v>114</v>
      </c>
      <c r="I241" s="81"/>
      <c r="J241" s="9" t="s">
        <v>36</v>
      </c>
      <c r="K241" s="1"/>
    </row>
    <row r="242" spans="1:11" ht="43.7" customHeight="1" x14ac:dyDescent="0.2">
      <c r="A242" s="8">
        <v>0</v>
      </c>
      <c r="B242" s="8">
        <v>6</v>
      </c>
      <c r="C242" s="8">
        <v>1</v>
      </c>
      <c r="D242" s="3">
        <v>825220086</v>
      </c>
      <c r="E242" s="3"/>
      <c r="F242" s="9" t="s">
        <v>756</v>
      </c>
      <c r="G242" s="10" t="s">
        <v>6</v>
      </c>
      <c r="H242" s="78" t="s">
        <v>113</v>
      </c>
      <c r="I242" s="79"/>
      <c r="J242" s="9" t="s">
        <v>36</v>
      </c>
      <c r="K242" s="1"/>
    </row>
    <row r="243" spans="1:11" ht="42.6" customHeight="1" x14ac:dyDescent="0.2">
      <c r="A243" s="8">
        <v>1</v>
      </c>
      <c r="B243" s="8">
        <v>6</v>
      </c>
      <c r="C243" s="8">
        <v>1</v>
      </c>
      <c r="D243" s="3">
        <v>825220026</v>
      </c>
      <c r="E243" s="3"/>
      <c r="F243" s="9" t="s">
        <v>757</v>
      </c>
      <c r="G243" s="10" t="s">
        <v>7</v>
      </c>
      <c r="H243" s="78" t="s">
        <v>115</v>
      </c>
      <c r="I243" s="79"/>
      <c r="J243" s="9" t="s">
        <v>758</v>
      </c>
      <c r="K243" s="1"/>
    </row>
    <row r="244" spans="1:11" ht="44.1" customHeight="1" x14ac:dyDescent="0.2">
      <c r="A244" s="8">
        <v>1</v>
      </c>
      <c r="B244" s="8">
        <v>6</v>
      </c>
      <c r="C244" s="8">
        <v>1</v>
      </c>
      <c r="D244" s="3">
        <v>825220042</v>
      </c>
      <c r="E244" s="3"/>
      <c r="F244" s="9" t="s">
        <v>759</v>
      </c>
      <c r="G244" s="10" t="s">
        <v>8</v>
      </c>
      <c r="H244" s="78" t="s">
        <v>115</v>
      </c>
      <c r="I244" s="79"/>
      <c r="J244" s="9" t="s">
        <v>758</v>
      </c>
      <c r="K244" s="1"/>
    </row>
    <row r="245" spans="1:11" ht="42.95" customHeight="1" x14ac:dyDescent="0.2">
      <c r="A245" s="8">
        <v>1</v>
      </c>
      <c r="B245" s="8">
        <v>6</v>
      </c>
      <c r="C245" s="8">
        <v>1</v>
      </c>
      <c r="D245" s="3">
        <v>825220043</v>
      </c>
      <c r="E245" s="3"/>
      <c r="F245" s="9" t="s">
        <v>760</v>
      </c>
      <c r="G245" s="10" t="s">
        <v>10</v>
      </c>
      <c r="H245" s="78" t="s">
        <v>115</v>
      </c>
      <c r="I245" s="79"/>
      <c r="J245" s="9" t="s">
        <v>758</v>
      </c>
      <c r="K245" s="1"/>
    </row>
    <row r="246" spans="1:11" ht="44.1" customHeight="1" x14ac:dyDescent="0.2">
      <c r="A246" s="8">
        <v>1</v>
      </c>
      <c r="B246" s="8">
        <v>6</v>
      </c>
      <c r="C246" s="8">
        <v>1</v>
      </c>
      <c r="D246" s="3">
        <v>825220044</v>
      </c>
      <c r="E246" s="3"/>
      <c r="F246" s="9" t="s">
        <v>761</v>
      </c>
      <c r="G246" s="10" t="s">
        <v>11</v>
      </c>
      <c r="H246" s="78" t="s">
        <v>115</v>
      </c>
      <c r="I246" s="79"/>
      <c r="J246" s="9" t="s">
        <v>758</v>
      </c>
      <c r="K246" s="1"/>
    </row>
    <row r="247" spans="1:11" ht="44.1" customHeight="1" x14ac:dyDescent="0.2">
      <c r="A247" s="8">
        <v>1</v>
      </c>
      <c r="B247" s="8">
        <v>6</v>
      </c>
      <c r="C247" s="8">
        <v>1</v>
      </c>
      <c r="D247" s="3">
        <v>825220053</v>
      </c>
      <c r="E247" s="3"/>
      <c r="F247" s="9" t="s">
        <v>762</v>
      </c>
      <c r="G247" s="10" t="s">
        <v>12</v>
      </c>
      <c r="H247" s="78" t="s">
        <v>115</v>
      </c>
      <c r="I247" s="79"/>
      <c r="J247" s="9" t="s">
        <v>758</v>
      </c>
      <c r="K247" s="1"/>
    </row>
    <row r="248" spans="1:11" ht="43.5" customHeight="1" x14ac:dyDescent="0.2">
      <c r="A248" s="8">
        <v>2</v>
      </c>
      <c r="B248" s="8">
        <v>6</v>
      </c>
      <c r="C248" s="8">
        <v>1</v>
      </c>
      <c r="D248" s="3">
        <v>535220052</v>
      </c>
      <c r="E248" s="3"/>
      <c r="F248" s="9" t="s">
        <v>763</v>
      </c>
      <c r="G248" s="10" t="s">
        <v>14</v>
      </c>
      <c r="H248" s="80" t="s">
        <v>116</v>
      </c>
      <c r="I248" s="81"/>
      <c r="J248" s="9" t="s">
        <v>117</v>
      </c>
      <c r="K248" s="1"/>
    </row>
    <row r="249" spans="1:11" ht="44.1" customHeight="1" x14ac:dyDescent="0.2">
      <c r="A249" s="8">
        <v>2</v>
      </c>
      <c r="B249" s="8">
        <v>6</v>
      </c>
      <c r="C249" s="8">
        <v>1</v>
      </c>
      <c r="D249" s="3">
        <v>535220085</v>
      </c>
      <c r="E249" s="3"/>
      <c r="F249" s="9" t="s">
        <v>764</v>
      </c>
      <c r="G249" s="10" t="s">
        <v>16</v>
      </c>
      <c r="H249" s="80" t="s">
        <v>116</v>
      </c>
      <c r="I249" s="81"/>
      <c r="J249" s="9" t="s">
        <v>117</v>
      </c>
      <c r="K249" s="1"/>
    </row>
    <row r="250" spans="1:11" ht="42.95" customHeight="1" x14ac:dyDescent="0.2">
      <c r="A250" s="8">
        <v>2</v>
      </c>
      <c r="B250" s="8">
        <v>6</v>
      </c>
      <c r="C250" s="8">
        <v>1</v>
      </c>
      <c r="D250" s="3">
        <v>535220087</v>
      </c>
      <c r="E250" s="3"/>
      <c r="F250" s="9" t="s">
        <v>765</v>
      </c>
      <c r="G250" s="10" t="s">
        <v>17</v>
      </c>
      <c r="H250" s="80" t="s">
        <v>116</v>
      </c>
      <c r="I250" s="81"/>
      <c r="J250" s="9" t="s">
        <v>117</v>
      </c>
      <c r="K250" s="1"/>
    </row>
    <row r="251" spans="1:11" ht="44.1" customHeight="1" x14ac:dyDescent="0.2">
      <c r="A251" s="8">
        <v>2</v>
      </c>
      <c r="B251" s="8">
        <v>6</v>
      </c>
      <c r="C251" s="8">
        <v>1</v>
      </c>
      <c r="D251" s="3">
        <v>535220089</v>
      </c>
      <c r="E251" s="3"/>
      <c r="F251" s="9" t="s">
        <v>766</v>
      </c>
      <c r="G251" s="10" t="s">
        <v>18</v>
      </c>
      <c r="H251" s="80" t="s">
        <v>116</v>
      </c>
      <c r="I251" s="81"/>
      <c r="J251" s="9" t="s">
        <v>117</v>
      </c>
      <c r="K251" s="1"/>
    </row>
    <row r="252" spans="1:11" ht="43.5" customHeight="1" x14ac:dyDescent="0.2">
      <c r="A252" s="8">
        <v>2</v>
      </c>
      <c r="B252" s="8">
        <v>6</v>
      </c>
      <c r="C252" s="8">
        <v>1</v>
      </c>
      <c r="D252" s="3">
        <v>535220091</v>
      </c>
      <c r="E252" s="3"/>
      <c r="F252" s="9" t="s">
        <v>767</v>
      </c>
      <c r="G252" s="10" t="s">
        <v>19</v>
      </c>
      <c r="H252" s="80" t="s">
        <v>116</v>
      </c>
      <c r="I252" s="81"/>
      <c r="J252" s="9" t="s">
        <v>117</v>
      </c>
      <c r="K252" s="1"/>
    </row>
    <row r="253" spans="1:11" ht="43.5" customHeight="1" x14ac:dyDescent="0.2">
      <c r="A253" s="8">
        <v>3</v>
      </c>
      <c r="B253" s="8">
        <v>6</v>
      </c>
      <c r="C253" s="8">
        <v>1</v>
      </c>
      <c r="D253" s="3">
        <v>825220076</v>
      </c>
      <c r="E253" s="3"/>
      <c r="F253" s="9" t="s">
        <v>768</v>
      </c>
      <c r="G253" s="10" t="s">
        <v>20</v>
      </c>
      <c r="H253" s="80" t="s">
        <v>118</v>
      </c>
      <c r="I253" s="81"/>
      <c r="J253" s="9" t="s">
        <v>36</v>
      </c>
      <c r="K253" s="1"/>
    </row>
    <row r="254" spans="1:11" ht="42.95" customHeight="1" x14ac:dyDescent="0.2">
      <c r="A254" s="8">
        <v>3</v>
      </c>
      <c r="B254" s="8">
        <v>6</v>
      </c>
      <c r="C254" s="8">
        <v>1</v>
      </c>
      <c r="D254" s="3">
        <v>825220077</v>
      </c>
      <c r="E254" s="3"/>
      <c r="F254" s="9" t="s">
        <v>769</v>
      </c>
      <c r="G254" s="10" t="s">
        <v>22</v>
      </c>
      <c r="H254" s="80" t="s">
        <v>118</v>
      </c>
      <c r="I254" s="81"/>
      <c r="J254" s="9" t="s">
        <v>36</v>
      </c>
      <c r="K254" s="1"/>
    </row>
    <row r="255" spans="1:11" ht="44.1" customHeight="1" x14ac:dyDescent="0.2">
      <c r="A255" s="8">
        <v>3</v>
      </c>
      <c r="B255" s="8">
        <v>6</v>
      </c>
      <c r="C255" s="8">
        <v>1</v>
      </c>
      <c r="D255" s="3">
        <v>825220078</v>
      </c>
      <c r="E255" s="3"/>
      <c r="F255" s="9" t="s">
        <v>770</v>
      </c>
      <c r="G255" s="10" t="s">
        <v>23</v>
      </c>
      <c r="H255" s="80" t="s">
        <v>118</v>
      </c>
      <c r="I255" s="81"/>
      <c r="J255" s="9" t="s">
        <v>36</v>
      </c>
      <c r="K255" s="1"/>
    </row>
    <row r="256" spans="1:11" ht="44.1" customHeight="1" x14ac:dyDescent="0.2">
      <c r="A256" s="8">
        <v>3</v>
      </c>
      <c r="B256" s="8">
        <v>6</v>
      </c>
      <c r="C256" s="8">
        <v>1</v>
      </c>
      <c r="D256" s="3">
        <v>825220079</v>
      </c>
      <c r="E256" s="3"/>
      <c r="F256" s="9" t="s">
        <v>771</v>
      </c>
      <c r="G256" s="10" t="s">
        <v>24</v>
      </c>
      <c r="H256" s="80" t="s">
        <v>118</v>
      </c>
      <c r="I256" s="81"/>
      <c r="J256" s="9" t="s">
        <v>36</v>
      </c>
      <c r="K256" s="1"/>
    </row>
    <row r="257" spans="1:11" ht="43.5" customHeight="1" x14ac:dyDescent="0.2">
      <c r="A257" s="8">
        <v>3</v>
      </c>
      <c r="B257" s="8">
        <v>6</v>
      </c>
      <c r="C257" s="8">
        <v>1</v>
      </c>
      <c r="D257" s="3">
        <v>825220127</v>
      </c>
      <c r="E257" s="3"/>
      <c r="F257" s="9" t="s">
        <v>772</v>
      </c>
      <c r="G257" s="10" t="s">
        <v>25</v>
      </c>
      <c r="H257" s="80" t="s">
        <v>118</v>
      </c>
      <c r="I257" s="81"/>
      <c r="J257" s="9" t="s">
        <v>36</v>
      </c>
      <c r="K257" s="1"/>
    </row>
    <row r="258" spans="1:11" ht="43.5" customHeight="1" x14ac:dyDescent="0.2">
      <c r="A258" s="16"/>
      <c r="B258" s="16"/>
      <c r="C258" s="16"/>
      <c r="D258" s="20"/>
      <c r="E258" s="20"/>
      <c r="F258" s="21"/>
      <c r="G258" s="22"/>
      <c r="H258" s="23"/>
      <c r="I258" s="23"/>
      <c r="J258" s="21"/>
      <c r="K258" s="1"/>
    </row>
    <row r="259" spans="1:11" ht="52.5" customHeight="1" x14ac:dyDescent="0.2">
      <c r="A259" s="88" t="s">
        <v>877</v>
      </c>
      <c r="B259" s="88"/>
      <c r="C259" s="88"/>
      <c r="D259" s="85"/>
      <c r="E259" s="85"/>
      <c r="F259" s="85"/>
      <c r="G259" s="85"/>
      <c r="H259" s="85"/>
      <c r="I259" s="85"/>
      <c r="J259" s="85"/>
      <c r="K259" s="85"/>
    </row>
    <row r="260" spans="1:11" ht="44.1" customHeight="1" x14ac:dyDescent="0.2">
      <c r="A260" s="8">
        <v>0</v>
      </c>
      <c r="B260" s="8">
        <v>6</v>
      </c>
      <c r="C260" s="8">
        <v>2</v>
      </c>
      <c r="D260" s="3">
        <v>535220039</v>
      </c>
      <c r="E260" s="3"/>
      <c r="F260" s="9" t="s">
        <v>773</v>
      </c>
      <c r="G260" s="10" t="s">
        <v>0</v>
      </c>
      <c r="H260" s="80" t="s">
        <v>119</v>
      </c>
      <c r="I260" s="81"/>
      <c r="J260" s="9" t="s">
        <v>602</v>
      </c>
      <c r="K260" s="1"/>
    </row>
    <row r="261" spans="1:11" ht="42.95" customHeight="1" x14ac:dyDescent="0.2">
      <c r="A261" s="8">
        <v>0</v>
      </c>
      <c r="B261" s="8">
        <v>6</v>
      </c>
      <c r="C261" s="8">
        <v>2</v>
      </c>
      <c r="D261" s="3">
        <v>535220041</v>
      </c>
      <c r="E261" s="3"/>
      <c r="F261" s="9" t="s">
        <v>774</v>
      </c>
      <c r="G261" s="10" t="s">
        <v>2</v>
      </c>
      <c r="H261" s="80" t="s">
        <v>119</v>
      </c>
      <c r="I261" s="81"/>
      <c r="J261" s="9" t="s">
        <v>602</v>
      </c>
      <c r="K261" s="1"/>
    </row>
    <row r="262" spans="1:11" ht="44.1" customHeight="1" x14ac:dyDescent="0.2">
      <c r="A262" s="8">
        <v>0</v>
      </c>
      <c r="B262" s="8">
        <v>6</v>
      </c>
      <c r="C262" s="8">
        <v>2</v>
      </c>
      <c r="D262" s="3">
        <v>535220051</v>
      </c>
      <c r="E262" s="3"/>
      <c r="F262" s="9" t="s">
        <v>775</v>
      </c>
      <c r="G262" s="10" t="s">
        <v>4</v>
      </c>
      <c r="H262" s="80" t="s">
        <v>119</v>
      </c>
      <c r="I262" s="81"/>
      <c r="J262" s="9" t="s">
        <v>602</v>
      </c>
      <c r="K262" s="1"/>
    </row>
    <row r="263" spans="1:11" ht="42.95" customHeight="1" x14ac:dyDescent="0.2">
      <c r="A263" s="8">
        <v>0</v>
      </c>
      <c r="B263" s="8">
        <v>6</v>
      </c>
      <c r="C263" s="8">
        <v>2</v>
      </c>
      <c r="D263" s="3">
        <v>535220146</v>
      </c>
      <c r="E263" s="3"/>
      <c r="F263" s="9" t="s">
        <v>776</v>
      </c>
      <c r="G263" s="10" t="s">
        <v>5</v>
      </c>
      <c r="H263" s="80" t="s">
        <v>119</v>
      </c>
      <c r="I263" s="81"/>
      <c r="J263" s="9" t="s">
        <v>602</v>
      </c>
      <c r="K263" s="1"/>
    </row>
    <row r="264" spans="1:11" ht="43.7" customHeight="1" x14ac:dyDescent="0.2">
      <c r="A264" s="8">
        <v>0</v>
      </c>
      <c r="B264" s="8">
        <v>6</v>
      </c>
      <c r="C264" s="8">
        <v>2</v>
      </c>
      <c r="D264" s="3">
        <v>535220151</v>
      </c>
      <c r="E264" s="3"/>
      <c r="F264" s="9" t="s">
        <v>777</v>
      </c>
      <c r="G264" s="10" t="s">
        <v>6</v>
      </c>
      <c r="H264" s="80" t="s">
        <v>119</v>
      </c>
      <c r="I264" s="81"/>
      <c r="J264" s="9" t="s">
        <v>602</v>
      </c>
      <c r="K264" s="1"/>
    </row>
    <row r="265" spans="1:11" ht="42.6" customHeight="1" x14ac:dyDescent="0.2">
      <c r="A265" s="8">
        <v>1</v>
      </c>
      <c r="B265" s="8">
        <v>6</v>
      </c>
      <c r="C265" s="8">
        <v>2</v>
      </c>
      <c r="D265" s="3">
        <v>535220161</v>
      </c>
      <c r="E265" s="3"/>
      <c r="F265" s="9" t="s">
        <v>778</v>
      </c>
      <c r="G265" s="10" t="s">
        <v>7</v>
      </c>
      <c r="H265" s="80" t="s">
        <v>119</v>
      </c>
      <c r="I265" s="81"/>
      <c r="J265" s="9" t="s">
        <v>602</v>
      </c>
      <c r="K265" s="1"/>
    </row>
    <row r="266" spans="1:11" ht="44.1" customHeight="1" x14ac:dyDescent="0.2">
      <c r="A266" s="8">
        <v>1</v>
      </c>
      <c r="B266" s="8">
        <v>6</v>
      </c>
      <c r="C266" s="8">
        <v>2</v>
      </c>
      <c r="D266" s="3">
        <v>535220235</v>
      </c>
      <c r="E266" s="3"/>
      <c r="F266" s="9" t="s">
        <v>779</v>
      </c>
      <c r="G266" s="10" t="s">
        <v>8</v>
      </c>
      <c r="H266" s="80" t="s">
        <v>119</v>
      </c>
      <c r="I266" s="81"/>
      <c r="J266" s="9" t="s">
        <v>602</v>
      </c>
      <c r="K266" s="1"/>
    </row>
    <row r="267" spans="1:11" ht="42.95" customHeight="1" x14ac:dyDescent="0.2">
      <c r="A267" s="8">
        <v>1</v>
      </c>
      <c r="B267" s="8">
        <v>6</v>
      </c>
      <c r="C267" s="8">
        <v>2</v>
      </c>
      <c r="D267" s="3">
        <v>535220056</v>
      </c>
      <c r="E267" s="3"/>
      <c r="F267" s="9" t="s">
        <v>780</v>
      </c>
      <c r="G267" s="10" t="s">
        <v>10</v>
      </c>
      <c r="H267" s="78" t="s">
        <v>120</v>
      </c>
      <c r="I267" s="79"/>
      <c r="J267" s="9" t="s">
        <v>602</v>
      </c>
      <c r="K267" s="1"/>
    </row>
    <row r="268" spans="1:11" ht="44.1" customHeight="1" x14ac:dyDescent="0.2">
      <c r="A268" s="8">
        <v>1</v>
      </c>
      <c r="B268" s="8">
        <v>6</v>
      </c>
      <c r="C268" s="8">
        <v>2</v>
      </c>
      <c r="D268" s="3">
        <v>535220057</v>
      </c>
      <c r="E268" s="3"/>
      <c r="F268" s="9" t="s">
        <v>781</v>
      </c>
      <c r="G268" s="10" t="s">
        <v>11</v>
      </c>
      <c r="H268" s="78" t="s">
        <v>120</v>
      </c>
      <c r="I268" s="79"/>
      <c r="J268" s="9" t="s">
        <v>602</v>
      </c>
      <c r="K268" s="1"/>
    </row>
    <row r="269" spans="1:11" ht="44.1" customHeight="1" x14ac:dyDescent="0.2">
      <c r="A269" s="8">
        <v>1</v>
      </c>
      <c r="B269" s="8">
        <v>6</v>
      </c>
      <c r="C269" s="8">
        <v>2</v>
      </c>
      <c r="D269" s="3">
        <v>535220106</v>
      </c>
      <c r="E269" s="3"/>
      <c r="F269" s="9" t="s">
        <v>782</v>
      </c>
      <c r="G269" s="10" t="s">
        <v>12</v>
      </c>
      <c r="H269" s="78" t="s">
        <v>120</v>
      </c>
      <c r="I269" s="79"/>
      <c r="J269" s="9" t="s">
        <v>602</v>
      </c>
      <c r="K269" s="1"/>
    </row>
    <row r="270" spans="1:11" ht="44.1" customHeight="1" x14ac:dyDescent="0.2">
      <c r="A270" s="8">
        <v>2</v>
      </c>
      <c r="B270" s="8">
        <v>6</v>
      </c>
      <c r="C270" s="8">
        <v>2</v>
      </c>
      <c r="D270" s="3">
        <v>535220108</v>
      </c>
      <c r="E270" s="3"/>
      <c r="F270" s="9" t="s">
        <v>783</v>
      </c>
      <c r="G270" s="10" t="s">
        <v>14</v>
      </c>
      <c r="H270" s="78" t="s">
        <v>121</v>
      </c>
      <c r="I270" s="79"/>
      <c r="J270" s="9" t="s">
        <v>638</v>
      </c>
      <c r="K270" s="1"/>
    </row>
    <row r="271" spans="1:11" ht="44.1" customHeight="1" x14ac:dyDescent="0.2">
      <c r="A271" s="8">
        <v>2</v>
      </c>
      <c r="B271" s="8">
        <v>6</v>
      </c>
      <c r="C271" s="8">
        <v>2</v>
      </c>
      <c r="D271" s="3">
        <v>535220109</v>
      </c>
      <c r="E271" s="3"/>
      <c r="F271" s="9" t="s">
        <v>784</v>
      </c>
      <c r="G271" s="10" t="s">
        <v>16</v>
      </c>
      <c r="H271" s="78" t="s">
        <v>121</v>
      </c>
      <c r="I271" s="79"/>
      <c r="J271" s="9" t="s">
        <v>638</v>
      </c>
      <c r="K271" s="1"/>
    </row>
    <row r="272" spans="1:11" ht="42.95" customHeight="1" x14ac:dyDescent="0.2">
      <c r="A272" s="8">
        <v>2</v>
      </c>
      <c r="B272" s="8">
        <v>6</v>
      </c>
      <c r="C272" s="8">
        <v>2</v>
      </c>
      <c r="D272" s="3">
        <v>535220162</v>
      </c>
      <c r="E272" s="3"/>
      <c r="F272" s="9" t="s">
        <v>785</v>
      </c>
      <c r="G272" s="10" t="s">
        <v>17</v>
      </c>
      <c r="H272" s="80" t="s">
        <v>122</v>
      </c>
      <c r="I272" s="81"/>
      <c r="J272" s="9" t="s">
        <v>638</v>
      </c>
      <c r="K272" s="1"/>
    </row>
    <row r="273" spans="1:11" ht="44.1" customHeight="1" x14ac:dyDescent="0.2">
      <c r="A273" s="8">
        <v>2</v>
      </c>
      <c r="B273" s="8">
        <v>6</v>
      </c>
      <c r="C273" s="8">
        <v>2</v>
      </c>
      <c r="D273" s="3">
        <v>535220166</v>
      </c>
      <c r="E273" s="3"/>
      <c r="F273" s="9" t="s">
        <v>786</v>
      </c>
      <c r="G273" s="10" t="s">
        <v>18</v>
      </c>
      <c r="H273" s="78" t="s">
        <v>121</v>
      </c>
      <c r="I273" s="79"/>
      <c r="J273" s="9" t="s">
        <v>638</v>
      </c>
      <c r="K273" s="1"/>
    </row>
    <row r="274" spans="1:11" ht="43.5" customHeight="1" x14ac:dyDescent="0.2">
      <c r="A274" s="8">
        <v>2</v>
      </c>
      <c r="B274" s="8">
        <v>6</v>
      </c>
      <c r="C274" s="8">
        <v>2</v>
      </c>
      <c r="D274" s="3">
        <v>535220170</v>
      </c>
      <c r="E274" s="3"/>
      <c r="F274" s="9" t="s">
        <v>787</v>
      </c>
      <c r="G274" s="10" t="s">
        <v>19</v>
      </c>
      <c r="H274" s="80" t="s">
        <v>122</v>
      </c>
      <c r="I274" s="81"/>
      <c r="J274" s="9" t="s">
        <v>638</v>
      </c>
      <c r="K274" s="1"/>
    </row>
    <row r="275" spans="1:11" ht="43.5" customHeight="1" x14ac:dyDescent="0.2">
      <c r="A275" s="16"/>
      <c r="B275" s="16"/>
      <c r="C275" s="16"/>
      <c r="D275" s="20"/>
      <c r="E275" s="20"/>
      <c r="F275" s="21"/>
      <c r="G275" s="22"/>
      <c r="H275" s="23"/>
      <c r="I275" s="23"/>
      <c r="J275" s="21"/>
      <c r="K275" s="1"/>
    </row>
    <row r="276" spans="1:11" ht="75.2" customHeight="1" x14ac:dyDescent="0.2">
      <c r="A276" s="85" t="s">
        <v>788</v>
      </c>
      <c r="B276" s="85"/>
      <c r="C276" s="85"/>
      <c r="D276" s="85"/>
      <c r="E276" s="85"/>
      <c r="F276" s="85"/>
      <c r="G276" s="85"/>
      <c r="H276" s="85"/>
      <c r="I276" s="85"/>
      <c r="J276" s="85"/>
      <c r="K276" s="85"/>
    </row>
    <row r="277" spans="1:11" ht="44.1" customHeight="1" x14ac:dyDescent="0.2">
      <c r="A277" s="8">
        <v>0</v>
      </c>
      <c r="B277" s="8">
        <v>7</v>
      </c>
      <c r="C277" s="8">
        <v>0</v>
      </c>
      <c r="D277" s="3">
        <v>825220021</v>
      </c>
      <c r="E277" s="3"/>
      <c r="F277" s="9" t="s">
        <v>789</v>
      </c>
      <c r="G277" s="10" t="s">
        <v>0</v>
      </c>
      <c r="H277" s="80" t="s">
        <v>123</v>
      </c>
      <c r="I277" s="81"/>
      <c r="J277" s="9" t="s">
        <v>65</v>
      </c>
      <c r="K277" s="1"/>
    </row>
    <row r="278" spans="1:11" ht="42.95" customHeight="1" x14ac:dyDescent="0.2">
      <c r="A278" s="8">
        <v>0</v>
      </c>
      <c r="B278" s="8">
        <v>7</v>
      </c>
      <c r="C278" s="8">
        <v>0</v>
      </c>
      <c r="D278" s="3">
        <v>825220031</v>
      </c>
      <c r="E278" s="3"/>
      <c r="F278" s="9" t="s">
        <v>790</v>
      </c>
      <c r="G278" s="10" t="s">
        <v>2</v>
      </c>
      <c r="H278" s="80" t="s">
        <v>123</v>
      </c>
      <c r="I278" s="81"/>
      <c r="J278" s="9" t="s">
        <v>65</v>
      </c>
      <c r="K278" s="1"/>
    </row>
    <row r="279" spans="1:11" ht="44.1" customHeight="1" x14ac:dyDescent="0.2">
      <c r="A279" s="8">
        <v>0</v>
      </c>
      <c r="B279" s="8">
        <v>7</v>
      </c>
      <c r="C279" s="8">
        <v>0</v>
      </c>
      <c r="D279" s="3">
        <v>825220032</v>
      </c>
      <c r="E279" s="3"/>
      <c r="F279" s="9" t="s">
        <v>791</v>
      </c>
      <c r="G279" s="10" t="s">
        <v>4</v>
      </c>
      <c r="H279" s="80" t="s">
        <v>123</v>
      </c>
      <c r="I279" s="81"/>
      <c r="J279" s="9" t="s">
        <v>65</v>
      </c>
      <c r="K279" s="1"/>
    </row>
    <row r="280" spans="1:11" ht="44.1" customHeight="1" x14ac:dyDescent="0.2">
      <c r="A280" s="8">
        <v>0</v>
      </c>
      <c r="B280" s="8">
        <v>7</v>
      </c>
      <c r="C280" s="8">
        <v>0</v>
      </c>
      <c r="D280" s="3">
        <v>825220033</v>
      </c>
      <c r="E280" s="3"/>
      <c r="F280" s="9" t="s">
        <v>792</v>
      </c>
      <c r="G280" s="10" t="s">
        <v>5</v>
      </c>
      <c r="H280" s="80" t="s">
        <v>123</v>
      </c>
      <c r="I280" s="81"/>
      <c r="J280" s="9" t="s">
        <v>65</v>
      </c>
      <c r="K280" s="1"/>
    </row>
    <row r="281" spans="1:11" ht="33" customHeight="1" x14ac:dyDescent="0.2">
      <c r="A281" s="8">
        <v>0</v>
      </c>
      <c r="B281" s="8">
        <v>7</v>
      </c>
      <c r="C281" s="8">
        <v>0</v>
      </c>
      <c r="D281" s="4">
        <v>825220035</v>
      </c>
      <c r="E281" s="4"/>
      <c r="F281" s="12" t="s">
        <v>793</v>
      </c>
      <c r="G281" s="13" t="s">
        <v>6</v>
      </c>
      <c r="H281" s="82" t="s">
        <v>124</v>
      </c>
      <c r="I281" s="83"/>
      <c r="J281" s="12" t="s">
        <v>65</v>
      </c>
      <c r="K281" s="1"/>
    </row>
    <row r="282" spans="1:11" ht="42.95" customHeight="1" x14ac:dyDescent="0.2">
      <c r="A282" s="8">
        <v>1</v>
      </c>
      <c r="B282" s="8">
        <v>7</v>
      </c>
      <c r="C282" s="8">
        <v>0</v>
      </c>
      <c r="D282" s="3">
        <v>535220160</v>
      </c>
      <c r="E282" s="3"/>
      <c r="F282" s="9" t="s">
        <v>794</v>
      </c>
      <c r="G282" s="10" t="s">
        <v>7</v>
      </c>
      <c r="H282" s="80" t="s">
        <v>124</v>
      </c>
      <c r="I282" s="81"/>
      <c r="J282" s="9" t="s">
        <v>65</v>
      </c>
    </row>
    <row r="283" spans="1:11" ht="44.1" customHeight="1" x14ac:dyDescent="0.2">
      <c r="A283" s="8">
        <v>1</v>
      </c>
      <c r="B283" s="8">
        <v>7</v>
      </c>
      <c r="C283" s="8">
        <v>0</v>
      </c>
      <c r="D283" s="3">
        <v>535220178</v>
      </c>
      <c r="E283" s="3"/>
      <c r="F283" s="9" t="s">
        <v>795</v>
      </c>
      <c r="G283" s="10" t="s">
        <v>8</v>
      </c>
      <c r="H283" s="78" t="s">
        <v>125</v>
      </c>
      <c r="I283" s="79"/>
      <c r="J283" s="9" t="s">
        <v>65</v>
      </c>
    </row>
    <row r="284" spans="1:11" ht="42.95" customHeight="1" x14ac:dyDescent="0.2">
      <c r="A284" s="8">
        <v>1</v>
      </c>
      <c r="B284" s="8">
        <v>7</v>
      </c>
      <c r="C284" s="8">
        <v>0</v>
      </c>
      <c r="D284" s="3">
        <v>535220196</v>
      </c>
      <c r="E284" s="3"/>
      <c r="F284" s="9" t="s">
        <v>796</v>
      </c>
      <c r="G284" s="10" t="s">
        <v>10</v>
      </c>
      <c r="H284" s="80" t="s">
        <v>124</v>
      </c>
      <c r="I284" s="81"/>
      <c r="J284" s="9" t="s">
        <v>65</v>
      </c>
    </row>
    <row r="285" spans="1:11" ht="44.1" customHeight="1" x14ac:dyDescent="0.2">
      <c r="A285" s="8">
        <v>1</v>
      </c>
      <c r="B285" s="8">
        <v>7</v>
      </c>
      <c r="C285" s="8">
        <v>0</v>
      </c>
      <c r="D285" s="3">
        <v>535220216</v>
      </c>
      <c r="E285" s="3"/>
      <c r="F285" s="9" t="s">
        <v>797</v>
      </c>
      <c r="G285" s="10" t="s">
        <v>11</v>
      </c>
      <c r="H285" s="78" t="s">
        <v>125</v>
      </c>
      <c r="I285" s="79"/>
      <c r="J285" s="9" t="s">
        <v>65</v>
      </c>
    </row>
    <row r="286" spans="1:11" ht="42.6" customHeight="1" x14ac:dyDescent="0.2">
      <c r="A286" s="8">
        <v>1</v>
      </c>
      <c r="B286" s="8">
        <v>7</v>
      </c>
      <c r="C286" s="8">
        <v>0</v>
      </c>
      <c r="D286" s="3">
        <v>535220219</v>
      </c>
      <c r="E286" s="3"/>
      <c r="F286" s="9" t="s">
        <v>798</v>
      </c>
      <c r="G286" s="10" t="s">
        <v>12</v>
      </c>
      <c r="H286" s="78" t="s">
        <v>125</v>
      </c>
      <c r="I286" s="79"/>
      <c r="J286" s="9" t="s">
        <v>65</v>
      </c>
    </row>
    <row r="287" spans="1:11" ht="44.1" customHeight="1" x14ac:dyDescent="0.2">
      <c r="A287" s="8">
        <v>2</v>
      </c>
      <c r="B287" s="8">
        <v>7</v>
      </c>
      <c r="C287" s="8">
        <v>0</v>
      </c>
      <c r="D287" s="3">
        <v>535220222</v>
      </c>
      <c r="E287" s="3"/>
      <c r="F287" s="9" t="s">
        <v>799</v>
      </c>
      <c r="G287" s="10" t="s">
        <v>14</v>
      </c>
      <c r="H287" s="78" t="s">
        <v>126</v>
      </c>
      <c r="I287" s="79"/>
      <c r="J287" s="9" t="s">
        <v>742</v>
      </c>
    </row>
    <row r="288" spans="1:11" ht="42.95" customHeight="1" x14ac:dyDescent="0.2">
      <c r="A288" s="8">
        <v>2</v>
      </c>
      <c r="B288" s="8">
        <v>7</v>
      </c>
      <c r="C288" s="8">
        <v>0</v>
      </c>
      <c r="D288" s="3">
        <v>535220226</v>
      </c>
      <c r="E288" s="3"/>
      <c r="F288" s="9" t="s">
        <v>800</v>
      </c>
      <c r="G288" s="10" t="s">
        <v>16</v>
      </c>
      <c r="H288" s="78" t="s">
        <v>126</v>
      </c>
      <c r="I288" s="79"/>
      <c r="J288" s="9" t="s">
        <v>742</v>
      </c>
    </row>
    <row r="289" spans="1:11" ht="44.1" customHeight="1" x14ac:dyDescent="0.2">
      <c r="A289" s="8">
        <v>2</v>
      </c>
      <c r="B289" s="8">
        <v>7</v>
      </c>
      <c r="C289" s="8">
        <v>0</v>
      </c>
      <c r="D289" s="3">
        <v>535220231</v>
      </c>
      <c r="E289" s="3"/>
      <c r="F289" s="9" t="s">
        <v>801</v>
      </c>
      <c r="G289" s="10" t="s">
        <v>17</v>
      </c>
      <c r="H289" s="78" t="s">
        <v>126</v>
      </c>
      <c r="I289" s="79"/>
      <c r="J289" s="9" t="s">
        <v>742</v>
      </c>
    </row>
    <row r="290" spans="1:11" ht="44.1" customHeight="1" x14ac:dyDescent="0.2">
      <c r="A290" s="8">
        <v>2</v>
      </c>
      <c r="B290" s="8">
        <v>7</v>
      </c>
      <c r="C290" s="8">
        <v>0</v>
      </c>
      <c r="D290" s="3">
        <v>535220237</v>
      </c>
      <c r="E290" s="3"/>
      <c r="F290" s="9" t="s">
        <v>802</v>
      </c>
      <c r="G290" s="10" t="s">
        <v>18</v>
      </c>
      <c r="H290" s="78" t="s">
        <v>126</v>
      </c>
      <c r="I290" s="79"/>
      <c r="J290" s="9" t="s">
        <v>742</v>
      </c>
    </row>
    <row r="291" spans="1:11" ht="43.35" customHeight="1" x14ac:dyDescent="0.2">
      <c r="A291" s="8">
        <v>2</v>
      </c>
      <c r="B291" s="8">
        <v>7</v>
      </c>
      <c r="C291" s="8">
        <v>0</v>
      </c>
      <c r="D291" s="3">
        <v>535220241</v>
      </c>
      <c r="E291" s="3"/>
      <c r="F291" s="9" t="s">
        <v>803</v>
      </c>
      <c r="G291" s="10" t="s">
        <v>19</v>
      </c>
      <c r="H291" s="80" t="s">
        <v>127</v>
      </c>
      <c r="I291" s="81"/>
      <c r="J291" s="9" t="s">
        <v>742</v>
      </c>
    </row>
    <row r="292" spans="1:11" ht="44.1" customHeight="1" x14ac:dyDescent="0.2">
      <c r="A292" s="8">
        <v>3</v>
      </c>
      <c r="B292" s="8">
        <v>7</v>
      </c>
      <c r="C292" s="8">
        <v>0</v>
      </c>
      <c r="D292" s="3">
        <v>535220243</v>
      </c>
      <c r="E292" s="3"/>
      <c r="F292" s="9" t="s">
        <v>804</v>
      </c>
      <c r="G292" s="10" t="s">
        <v>20</v>
      </c>
      <c r="H292" s="80" t="s">
        <v>128</v>
      </c>
      <c r="I292" s="81"/>
      <c r="J292" s="9" t="s">
        <v>742</v>
      </c>
    </row>
    <row r="293" spans="1:11" ht="44.1" customHeight="1" x14ac:dyDescent="0.2">
      <c r="A293" s="8">
        <v>3</v>
      </c>
      <c r="B293" s="8">
        <v>7</v>
      </c>
      <c r="C293" s="8">
        <v>0</v>
      </c>
      <c r="D293" s="3">
        <v>535220248</v>
      </c>
      <c r="E293" s="3"/>
      <c r="F293" s="9" t="s">
        <v>805</v>
      </c>
      <c r="G293" s="10" t="s">
        <v>22</v>
      </c>
      <c r="H293" s="80" t="s">
        <v>128</v>
      </c>
      <c r="I293" s="81"/>
      <c r="J293" s="9" t="s">
        <v>742</v>
      </c>
    </row>
    <row r="294" spans="1:11" ht="42.95" customHeight="1" x14ac:dyDescent="0.2">
      <c r="A294" s="8">
        <v>3</v>
      </c>
      <c r="B294" s="8">
        <v>7</v>
      </c>
      <c r="C294" s="8">
        <v>0</v>
      </c>
      <c r="D294" s="3">
        <v>535220252</v>
      </c>
      <c r="E294" s="3"/>
      <c r="F294" s="9" t="s">
        <v>806</v>
      </c>
      <c r="G294" s="10" t="s">
        <v>23</v>
      </c>
      <c r="H294" s="80" t="s">
        <v>128</v>
      </c>
      <c r="I294" s="81"/>
      <c r="J294" s="9" t="s">
        <v>742</v>
      </c>
    </row>
    <row r="295" spans="1:11" ht="44.1" customHeight="1" x14ac:dyDescent="0.2">
      <c r="A295" s="8">
        <v>3</v>
      </c>
      <c r="B295" s="8">
        <v>7</v>
      </c>
      <c r="C295" s="8">
        <v>0</v>
      </c>
      <c r="D295" s="3">
        <v>535220254</v>
      </c>
      <c r="E295" s="3"/>
      <c r="F295" s="9" t="s">
        <v>807</v>
      </c>
      <c r="G295" s="10" t="s">
        <v>24</v>
      </c>
      <c r="H295" s="80" t="s">
        <v>128</v>
      </c>
      <c r="I295" s="81"/>
      <c r="J295" s="9" t="s">
        <v>742</v>
      </c>
    </row>
    <row r="296" spans="1:11" ht="42.6" customHeight="1" x14ac:dyDescent="0.2">
      <c r="A296" s="8">
        <v>3</v>
      </c>
      <c r="B296" s="8">
        <v>7</v>
      </c>
      <c r="C296" s="8">
        <v>0</v>
      </c>
      <c r="D296" s="3">
        <v>535220261</v>
      </c>
      <c r="E296" s="3"/>
      <c r="F296" s="9" t="s">
        <v>679</v>
      </c>
      <c r="G296" s="10" t="s">
        <v>25</v>
      </c>
      <c r="H296" s="80" t="s">
        <v>128</v>
      </c>
      <c r="I296" s="81"/>
      <c r="J296" s="9" t="s">
        <v>742</v>
      </c>
    </row>
    <row r="297" spans="1:11" ht="44.1" customHeight="1" x14ac:dyDescent="0.2">
      <c r="A297" s="8">
        <v>4</v>
      </c>
      <c r="B297" s="8">
        <v>7</v>
      </c>
      <c r="C297" s="8">
        <v>0</v>
      </c>
      <c r="D297" s="3">
        <v>825220141</v>
      </c>
      <c r="E297" s="3"/>
      <c r="F297" s="9" t="s">
        <v>808</v>
      </c>
      <c r="G297" s="10" t="s">
        <v>26</v>
      </c>
      <c r="H297" s="78" t="s">
        <v>115</v>
      </c>
      <c r="I297" s="79"/>
      <c r="J297" s="9" t="s">
        <v>758</v>
      </c>
    </row>
    <row r="298" spans="1:11" ht="42.95" customHeight="1" x14ac:dyDescent="0.2">
      <c r="A298" s="8">
        <v>4</v>
      </c>
      <c r="B298" s="8">
        <v>7</v>
      </c>
      <c r="C298" s="8">
        <v>0</v>
      </c>
      <c r="D298" s="3">
        <v>825220143</v>
      </c>
      <c r="E298" s="3"/>
      <c r="F298" s="9" t="s">
        <v>809</v>
      </c>
      <c r="G298" s="10" t="s">
        <v>29</v>
      </c>
      <c r="H298" s="78" t="s">
        <v>115</v>
      </c>
      <c r="I298" s="79"/>
      <c r="J298" s="9" t="s">
        <v>758</v>
      </c>
    </row>
    <row r="299" spans="1:11" ht="44.1" customHeight="1" x14ac:dyDescent="0.2">
      <c r="A299" s="8">
        <v>4</v>
      </c>
      <c r="B299" s="8">
        <v>7</v>
      </c>
      <c r="C299" s="8">
        <v>0</v>
      </c>
      <c r="D299" s="3">
        <v>825220156</v>
      </c>
      <c r="E299" s="3"/>
      <c r="F299" s="9" t="s">
        <v>810</v>
      </c>
      <c r="G299" s="10" t="s">
        <v>31</v>
      </c>
      <c r="H299" s="78" t="s">
        <v>115</v>
      </c>
      <c r="I299" s="79"/>
      <c r="J299" s="9" t="s">
        <v>758</v>
      </c>
    </row>
    <row r="300" spans="1:11" ht="44.1" customHeight="1" x14ac:dyDescent="0.2">
      <c r="A300" s="8">
        <v>4</v>
      </c>
      <c r="B300" s="8">
        <v>7</v>
      </c>
      <c r="C300" s="8">
        <v>0</v>
      </c>
      <c r="D300" s="3">
        <v>825220172</v>
      </c>
      <c r="E300" s="3"/>
      <c r="F300" s="9" t="s">
        <v>811</v>
      </c>
      <c r="G300" s="10" t="s">
        <v>32</v>
      </c>
      <c r="H300" s="78" t="s">
        <v>115</v>
      </c>
      <c r="I300" s="79"/>
      <c r="J300" s="9" t="s">
        <v>758</v>
      </c>
    </row>
    <row r="301" spans="1:11" ht="42.6" customHeight="1" x14ac:dyDescent="0.2">
      <c r="A301" s="8">
        <v>4</v>
      </c>
      <c r="B301" s="8">
        <v>7</v>
      </c>
      <c r="C301" s="8">
        <v>0</v>
      </c>
      <c r="D301" s="3">
        <v>825220173</v>
      </c>
      <c r="E301" s="3"/>
      <c r="F301" s="9" t="s">
        <v>812</v>
      </c>
      <c r="G301" s="10" t="s">
        <v>33</v>
      </c>
      <c r="H301" s="80" t="s">
        <v>129</v>
      </c>
      <c r="I301" s="81"/>
      <c r="J301" s="9" t="s">
        <v>758</v>
      </c>
    </row>
    <row r="302" spans="1:11" ht="60" customHeight="1" x14ac:dyDescent="0.2">
      <c r="A302" s="11">
        <v>5</v>
      </c>
      <c r="B302" s="8">
        <v>7</v>
      </c>
      <c r="C302" s="8">
        <v>0</v>
      </c>
      <c r="D302" s="4">
        <v>825220070</v>
      </c>
      <c r="E302" s="4"/>
      <c r="F302" s="12" t="s">
        <v>813</v>
      </c>
      <c r="G302" s="13" t="s">
        <v>34</v>
      </c>
      <c r="H302" s="89" t="s">
        <v>881</v>
      </c>
      <c r="I302" s="79"/>
      <c r="J302" s="12" t="s">
        <v>36</v>
      </c>
    </row>
    <row r="303" spans="1:11" ht="44.1" customHeight="1" x14ac:dyDescent="0.2">
      <c r="A303" s="11">
        <v>5</v>
      </c>
      <c r="B303" s="8">
        <v>7</v>
      </c>
      <c r="C303" s="8">
        <v>0</v>
      </c>
      <c r="D303" s="3">
        <v>825220090</v>
      </c>
      <c r="E303" s="3"/>
      <c r="F303" s="9" t="s">
        <v>814</v>
      </c>
      <c r="G303" s="10" t="s">
        <v>37</v>
      </c>
      <c r="H303" s="78" t="s">
        <v>113</v>
      </c>
      <c r="I303" s="79"/>
      <c r="J303" s="9" t="s">
        <v>36</v>
      </c>
      <c r="K303" s="1"/>
    </row>
    <row r="304" spans="1:11" ht="42.95" customHeight="1" x14ac:dyDescent="0.2">
      <c r="A304" s="11">
        <v>5</v>
      </c>
      <c r="B304" s="8">
        <v>7</v>
      </c>
      <c r="C304" s="8">
        <v>0</v>
      </c>
      <c r="D304" s="3">
        <v>825220091</v>
      </c>
      <c r="E304" s="3"/>
      <c r="F304" s="9" t="s">
        <v>815</v>
      </c>
      <c r="G304" s="10" t="s">
        <v>39</v>
      </c>
      <c r="H304" s="80" t="s">
        <v>114</v>
      </c>
      <c r="I304" s="81"/>
      <c r="J304" s="9" t="s">
        <v>36</v>
      </c>
      <c r="K304" s="1"/>
    </row>
    <row r="305" spans="1:11" ht="44.1" customHeight="1" x14ac:dyDescent="0.2">
      <c r="A305" s="11">
        <v>5</v>
      </c>
      <c r="B305" s="8">
        <v>7</v>
      </c>
      <c r="C305" s="8">
        <v>0</v>
      </c>
      <c r="D305" s="3">
        <v>825220092</v>
      </c>
      <c r="E305" s="3"/>
      <c r="F305" s="9" t="s">
        <v>816</v>
      </c>
      <c r="G305" s="10" t="s">
        <v>40</v>
      </c>
      <c r="H305" s="78" t="s">
        <v>113</v>
      </c>
      <c r="I305" s="79"/>
      <c r="J305" s="9" t="s">
        <v>36</v>
      </c>
      <c r="K305" s="1"/>
    </row>
    <row r="306" spans="1:11" ht="43.5" customHeight="1" x14ac:dyDescent="0.2">
      <c r="A306" s="11">
        <v>5</v>
      </c>
      <c r="B306" s="8">
        <v>7</v>
      </c>
      <c r="C306" s="8">
        <v>0</v>
      </c>
      <c r="D306" s="3">
        <v>825220097</v>
      </c>
      <c r="E306" s="3"/>
      <c r="F306" s="9" t="s">
        <v>817</v>
      </c>
      <c r="G306" s="10" t="s">
        <v>41</v>
      </c>
      <c r="H306" s="80" t="s">
        <v>114</v>
      </c>
      <c r="I306" s="81"/>
      <c r="J306" s="9" t="s">
        <v>36</v>
      </c>
      <c r="K306" s="1"/>
    </row>
    <row r="307" spans="1:11" ht="43.5" customHeight="1" x14ac:dyDescent="0.2">
      <c r="A307" s="8">
        <v>6</v>
      </c>
      <c r="B307" s="8">
        <v>7</v>
      </c>
      <c r="C307" s="8">
        <v>0</v>
      </c>
      <c r="D307" s="3">
        <v>535220094</v>
      </c>
      <c r="E307" s="3"/>
      <c r="F307" s="9" t="s">
        <v>818</v>
      </c>
      <c r="G307" s="10" t="s">
        <v>42</v>
      </c>
      <c r="H307" s="80" t="s">
        <v>116</v>
      </c>
      <c r="I307" s="81"/>
      <c r="J307" s="9" t="s">
        <v>117</v>
      </c>
      <c r="K307" s="1"/>
    </row>
    <row r="308" spans="1:11" ht="42.95" customHeight="1" x14ac:dyDescent="0.2">
      <c r="A308" s="8">
        <v>6</v>
      </c>
      <c r="B308" s="8">
        <v>7</v>
      </c>
      <c r="C308" s="8">
        <v>0</v>
      </c>
      <c r="D308" s="3">
        <v>535220098</v>
      </c>
      <c r="E308" s="3"/>
      <c r="F308" s="9" t="s">
        <v>819</v>
      </c>
      <c r="G308" s="10" t="s">
        <v>44</v>
      </c>
      <c r="H308" s="80" t="s">
        <v>116</v>
      </c>
      <c r="I308" s="81"/>
      <c r="J308" s="9" t="s">
        <v>117</v>
      </c>
      <c r="K308" s="1"/>
    </row>
    <row r="309" spans="1:11" ht="44.1" customHeight="1" x14ac:dyDescent="0.2">
      <c r="A309" s="8">
        <v>6</v>
      </c>
      <c r="B309" s="8">
        <v>7</v>
      </c>
      <c r="C309" s="8">
        <v>0</v>
      </c>
      <c r="D309" s="3">
        <v>535220102</v>
      </c>
      <c r="E309" s="3"/>
      <c r="F309" s="9" t="s">
        <v>820</v>
      </c>
      <c r="G309" s="10" t="s">
        <v>46</v>
      </c>
      <c r="H309" s="80" t="s">
        <v>116</v>
      </c>
      <c r="I309" s="81"/>
      <c r="J309" s="9" t="s">
        <v>117</v>
      </c>
      <c r="K309" s="1"/>
    </row>
    <row r="310" spans="1:11" ht="44.1" customHeight="1" x14ac:dyDescent="0.2">
      <c r="A310" s="8">
        <v>6</v>
      </c>
      <c r="B310" s="8">
        <v>7</v>
      </c>
      <c r="C310" s="8">
        <v>0</v>
      </c>
      <c r="D310" s="3">
        <v>535220155</v>
      </c>
      <c r="E310" s="3"/>
      <c r="F310" s="9" t="s">
        <v>821</v>
      </c>
      <c r="G310" s="10" t="s">
        <v>47</v>
      </c>
      <c r="H310" s="80" t="s">
        <v>116</v>
      </c>
      <c r="I310" s="81"/>
      <c r="J310" s="9" t="s">
        <v>117</v>
      </c>
      <c r="K310" s="1"/>
    </row>
    <row r="311" spans="1:11" ht="43.5" customHeight="1" x14ac:dyDescent="0.2">
      <c r="A311" s="8">
        <v>6</v>
      </c>
      <c r="B311" s="8">
        <v>7</v>
      </c>
      <c r="C311" s="8">
        <v>0</v>
      </c>
      <c r="D311" s="3">
        <v>535220156</v>
      </c>
      <c r="E311" s="3"/>
      <c r="F311" s="9" t="s">
        <v>822</v>
      </c>
      <c r="G311" s="10" t="s">
        <v>48</v>
      </c>
      <c r="H311" s="80" t="s">
        <v>116</v>
      </c>
      <c r="I311" s="81"/>
      <c r="J311" s="9" t="s">
        <v>117</v>
      </c>
      <c r="K311" s="1"/>
    </row>
    <row r="312" spans="1:11" ht="43.5" customHeight="1" x14ac:dyDescent="0.2">
      <c r="A312" s="16"/>
      <c r="B312" s="16"/>
      <c r="C312" s="16"/>
      <c r="D312" s="20"/>
      <c r="E312" s="20"/>
      <c r="F312" s="21"/>
      <c r="G312" s="22"/>
      <c r="H312" s="23"/>
      <c r="I312" s="23"/>
      <c r="J312" s="21"/>
      <c r="K312" s="1"/>
    </row>
    <row r="313" spans="1:11" ht="59.45" customHeight="1" x14ac:dyDescent="0.2">
      <c r="A313" s="84" t="s">
        <v>823</v>
      </c>
      <c r="B313" s="84"/>
      <c r="C313" s="84"/>
      <c r="D313" s="84"/>
      <c r="E313" s="84"/>
      <c r="F313" s="84"/>
      <c r="G313" s="84"/>
      <c r="H313" s="84"/>
      <c r="I313" s="84"/>
      <c r="J313" s="84"/>
      <c r="K313" s="84"/>
    </row>
    <row r="314" spans="1:11" ht="44.1" customHeight="1" x14ac:dyDescent="0.2">
      <c r="A314" s="8">
        <v>0</v>
      </c>
      <c r="B314" s="8">
        <v>7</v>
      </c>
      <c r="C314" s="8">
        <v>1</v>
      </c>
      <c r="D314" s="3">
        <v>825220098</v>
      </c>
      <c r="E314" s="3"/>
      <c r="F314" s="9" t="s">
        <v>824</v>
      </c>
      <c r="G314" s="10" t="s">
        <v>0</v>
      </c>
      <c r="H314" s="78" t="s">
        <v>130</v>
      </c>
      <c r="I314" s="79"/>
      <c r="J314" s="9" t="s">
        <v>36</v>
      </c>
    </row>
    <row r="315" spans="1:11" ht="44.1" customHeight="1" x14ac:dyDescent="0.2">
      <c r="A315" s="8">
        <v>0</v>
      </c>
      <c r="B315" s="8">
        <v>7</v>
      </c>
      <c r="C315" s="8">
        <v>1</v>
      </c>
      <c r="D315" s="3">
        <v>825220099</v>
      </c>
      <c r="E315" s="3"/>
      <c r="F315" s="9" t="s">
        <v>825</v>
      </c>
      <c r="G315" s="10" t="s">
        <v>2</v>
      </c>
      <c r="H315" s="78" t="s">
        <v>130</v>
      </c>
      <c r="I315" s="79"/>
      <c r="J315" s="9" t="s">
        <v>36</v>
      </c>
    </row>
    <row r="316" spans="1:11" ht="42.95" customHeight="1" x14ac:dyDescent="0.2">
      <c r="A316" s="8">
        <v>0</v>
      </c>
      <c r="B316" s="8">
        <v>7</v>
      </c>
      <c r="C316" s="8">
        <v>1</v>
      </c>
      <c r="D316" s="3">
        <v>825220102</v>
      </c>
      <c r="E316" s="3"/>
      <c r="F316" s="9" t="s">
        <v>826</v>
      </c>
      <c r="G316" s="10" t="s">
        <v>4</v>
      </c>
      <c r="H316" s="80" t="s">
        <v>131</v>
      </c>
      <c r="I316" s="81"/>
      <c r="J316" s="9" t="s">
        <v>36</v>
      </c>
    </row>
    <row r="317" spans="1:11" ht="44.1" customHeight="1" x14ac:dyDescent="0.2">
      <c r="A317" s="8">
        <v>0</v>
      </c>
      <c r="B317" s="8">
        <v>7</v>
      </c>
      <c r="C317" s="8">
        <v>1</v>
      </c>
      <c r="D317" s="3">
        <v>825220103</v>
      </c>
      <c r="E317" s="3"/>
      <c r="F317" s="9" t="s">
        <v>827</v>
      </c>
      <c r="G317" s="10" t="s">
        <v>5</v>
      </c>
      <c r="H317" s="78" t="s">
        <v>130</v>
      </c>
      <c r="I317" s="79"/>
      <c r="J317" s="9" t="s">
        <v>36</v>
      </c>
    </row>
    <row r="318" spans="1:11" ht="42.6" customHeight="1" x14ac:dyDescent="0.2">
      <c r="A318" s="8">
        <v>0</v>
      </c>
      <c r="B318" s="8">
        <v>7</v>
      </c>
      <c r="C318" s="8">
        <v>1</v>
      </c>
      <c r="D318" s="3">
        <v>825220110</v>
      </c>
      <c r="E318" s="3"/>
      <c r="F318" s="9" t="s">
        <v>828</v>
      </c>
      <c r="G318" s="10" t="s">
        <v>6</v>
      </c>
      <c r="H318" s="80" t="s">
        <v>131</v>
      </c>
      <c r="I318" s="81"/>
      <c r="J318" s="9" t="s">
        <v>36</v>
      </c>
    </row>
    <row r="319" spans="1:11" ht="44.1" customHeight="1" x14ac:dyDescent="0.2">
      <c r="A319" s="8">
        <v>1</v>
      </c>
      <c r="B319" s="8">
        <v>7</v>
      </c>
      <c r="C319" s="8">
        <v>1</v>
      </c>
      <c r="D319" s="3">
        <v>825220111</v>
      </c>
      <c r="E319" s="3"/>
      <c r="F319" s="9" t="s">
        <v>829</v>
      </c>
      <c r="G319" s="10" t="s">
        <v>7</v>
      </c>
      <c r="H319" s="78" t="s">
        <v>132</v>
      </c>
      <c r="I319" s="79"/>
      <c r="J319" s="9" t="s">
        <v>602</v>
      </c>
    </row>
    <row r="320" spans="1:11" ht="42.95" customHeight="1" x14ac:dyDescent="0.2">
      <c r="A320" s="8">
        <v>1</v>
      </c>
      <c r="B320" s="8">
        <v>7</v>
      </c>
      <c r="C320" s="8">
        <v>1</v>
      </c>
      <c r="D320" s="3">
        <v>825220117</v>
      </c>
      <c r="E320" s="3"/>
      <c r="F320" s="9" t="s">
        <v>830</v>
      </c>
      <c r="G320" s="10" t="s">
        <v>8</v>
      </c>
      <c r="H320" s="78" t="s">
        <v>132</v>
      </c>
      <c r="I320" s="79"/>
      <c r="J320" s="9" t="s">
        <v>602</v>
      </c>
    </row>
    <row r="321" spans="1:11" ht="44.1" customHeight="1" x14ac:dyDescent="0.2">
      <c r="A321" s="8">
        <v>1</v>
      </c>
      <c r="B321" s="8">
        <v>7</v>
      </c>
      <c r="C321" s="8">
        <v>1</v>
      </c>
      <c r="D321" s="3">
        <v>535220157</v>
      </c>
      <c r="E321" s="3"/>
      <c r="F321" s="9" t="s">
        <v>831</v>
      </c>
      <c r="G321" s="10" t="s">
        <v>10</v>
      </c>
      <c r="H321" s="80" t="s">
        <v>116</v>
      </c>
      <c r="I321" s="81"/>
      <c r="J321" s="9" t="s">
        <v>602</v>
      </c>
    </row>
    <row r="322" spans="1:11" ht="44.1" customHeight="1" x14ac:dyDescent="0.2">
      <c r="A322" s="8">
        <v>1</v>
      </c>
      <c r="B322" s="8">
        <v>7</v>
      </c>
      <c r="C322" s="8">
        <v>1</v>
      </c>
      <c r="D322" s="3">
        <v>535220159</v>
      </c>
      <c r="E322" s="3"/>
      <c r="F322" s="9" t="s">
        <v>832</v>
      </c>
      <c r="G322" s="10" t="s">
        <v>11</v>
      </c>
      <c r="H322" s="80" t="s">
        <v>116</v>
      </c>
      <c r="I322" s="81"/>
      <c r="J322" s="9" t="s">
        <v>602</v>
      </c>
    </row>
    <row r="323" spans="1:11" ht="42.6" customHeight="1" x14ac:dyDescent="0.2">
      <c r="A323" s="8">
        <v>1</v>
      </c>
      <c r="B323" s="8">
        <v>7</v>
      </c>
      <c r="C323" s="8">
        <v>1</v>
      </c>
      <c r="D323" s="3">
        <v>535220220</v>
      </c>
      <c r="E323" s="3"/>
      <c r="F323" s="9" t="s">
        <v>833</v>
      </c>
      <c r="G323" s="10" t="s">
        <v>12</v>
      </c>
      <c r="H323" s="80" t="s">
        <v>116</v>
      </c>
      <c r="I323" s="81"/>
      <c r="J323" s="9" t="s">
        <v>602</v>
      </c>
    </row>
    <row r="324" spans="1:11" ht="56.25" customHeight="1" x14ac:dyDescent="0.2">
      <c r="A324" s="11">
        <v>2</v>
      </c>
      <c r="B324" s="8">
        <v>7</v>
      </c>
      <c r="C324" s="8">
        <v>1</v>
      </c>
      <c r="D324" s="4">
        <v>535220225</v>
      </c>
      <c r="E324" s="4"/>
      <c r="F324" s="12" t="s">
        <v>834</v>
      </c>
      <c r="G324" s="13" t="s">
        <v>14</v>
      </c>
      <c r="H324" s="78" t="s">
        <v>133</v>
      </c>
      <c r="I324" s="79"/>
      <c r="J324" s="12" t="s">
        <v>758</v>
      </c>
    </row>
    <row r="325" spans="1:11" ht="44.1" customHeight="1" x14ac:dyDescent="0.2">
      <c r="A325" s="11">
        <v>2</v>
      </c>
      <c r="B325" s="8">
        <v>7</v>
      </c>
      <c r="C325" s="8">
        <v>1</v>
      </c>
      <c r="D325" s="3">
        <v>535220246</v>
      </c>
      <c r="E325" s="3"/>
      <c r="F325" s="9" t="s">
        <v>835</v>
      </c>
      <c r="G325" s="10" t="s">
        <v>16</v>
      </c>
      <c r="H325" s="78" t="s">
        <v>133</v>
      </c>
      <c r="I325" s="79"/>
      <c r="J325" s="9" t="s">
        <v>758</v>
      </c>
      <c r="K325" s="1"/>
    </row>
    <row r="326" spans="1:11" ht="42.95" customHeight="1" x14ac:dyDescent="0.2">
      <c r="A326" s="11">
        <v>2</v>
      </c>
      <c r="B326" s="8">
        <v>7</v>
      </c>
      <c r="C326" s="8">
        <v>1</v>
      </c>
      <c r="D326" s="3">
        <v>535220258</v>
      </c>
      <c r="E326" s="3"/>
      <c r="F326" s="9" t="s">
        <v>836</v>
      </c>
      <c r="G326" s="10" t="s">
        <v>17</v>
      </c>
      <c r="H326" s="80" t="s">
        <v>134</v>
      </c>
      <c r="I326" s="81"/>
      <c r="J326" s="9" t="s">
        <v>758</v>
      </c>
      <c r="K326" s="1"/>
    </row>
    <row r="327" spans="1:11" ht="44.1" customHeight="1" x14ac:dyDescent="0.2">
      <c r="A327" s="11">
        <v>2</v>
      </c>
      <c r="B327" s="8">
        <v>7</v>
      </c>
      <c r="C327" s="8">
        <v>1</v>
      </c>
      <c r="D327" s="3">
        <v>535220042</v>
      </c>
      <c r="E327" s="3"/>
      <c r="F327" s="9" t="s">
        <v>837</v>
      </c>
      <c r="G327" s="10" t="s">
        <v>18</v>
      </c>
      <c r="H327" s="78" t="s">
        <v>135</v>
      </c>
      <c r="I327" s="79"/>
      <c r="J327" s="9" t="s">
        <v>758</v>
      </c>
      <c r="K327" s="1"/>
    </row>
    <row r="328" spans="1:11" ht="43.5" customHeight="1" x14ac:dyDescent="0.2">
      <c r="A328" s="11">
        <v>2</v>
      </c>
      <c r="B328" s="8">
        <v>7</v>
      </c>
      <c r="C328" s="8">
        <v>1</v>
      </c>
      <c r="D328" s="3">
        <v>535220043</v>
      </c>
      <c r="E328" s="3"/>
      <c r="F328" s="9" t="s">
        <v>838</v>
      </c>
      <c r="G328" s="10" t="s">
        <v>19</v>
      </c>
      <c r="H328" s="80" t="s">
        <v>136</v>
      </c>
      <c r="I328" s="81"/>
      <c r="J328" s="9" t="s">
        <v>758</v>
      </c>
      <c r="K328" s="1"/>
    </row>
    <row r="329" spans="1:11" ht="43.5" customHeight="1" x14ac:dyDescent="0.2">
      <c r="A329" s="8">
        <v>3</v>
      </c>
      <c r="B329" s="8">
        <v>7</v>
      </c>
      <c r="C329" s="8">
        <v>1</v>
      </c>
      <c r="D329" s="3">
        <v>535220048</v>
      </c>
      <c r="E329" s="3"/>
      <c r="F329" s="9" t="s">
        <v>839</v>
      </c>
      <c r="G329" s="10" t="s">
        <v>20</v>
      </c>
      <c r="H329" s="78" t="s">
        <v>135</v>
      </c>
      <c r="I329" s="79"/>
      <c r="J329" s="9" t="s">
        <v>758</v>
      </c>
      <c r="K329" s="1"/>
    </row>
    <row r="330" spans="1:11" ht="42.95" customHeight="1" x14ac:dyDescent="0.2">
      <c r="A330" s="8">
        <v>3</v>
      </c>
      <c r="B330" s="8">
        <v>7</v>
      </c>
      <c r="C330" s="8">
        <v>1</v>
      </c>
      <c r="D330" s="3">
        <v>535220049</v>
      </c>
      <c r="E330" s="3"/>
      <c r="F330" s="9" t="s">
        <v>840</v>
      </c>
      <c r="G330" s="10" t="s">
        <v>22</v>
      </c>
      <c r="H330" s="78" t="s">
        <v>135</v>
      </c>
      <c r="I330" s="79"/>
      <c r="J330" s="9" t="s">
        <v>758</v>
      </c>
      <c r="K330" s="1"/>
    </row>
    <row r="331" spans="1:11" ht="44.1" customHeight="1" x14ac:dyDescent="0.2">
      <c r="A331" s="8">
        <v>3</v>
      </c>
      <c r="B331" s="8">
        <v>7</v>
      </c>
      <c r="C331" s="8">
        <v>1</v>
      </c>
      <c r="D331" s="3">
        <v>535220073</v>
      </c>
      <c r="E331" s="3"/>
      <c r="F331" s="9" t="s">
        <v>841</v>
      </c>
      <c r="G331" s="10" t="s">
        <v>23</v>
      </c>
      <c r="H331" s="78" t="s">
        <v>135</v>
      </c>
      <c r="I331" s="79"/>
      <c r="J331" s="9" t="s">
        <v>758</v>
      </c>
      <c r="K331" s="1"/>
    </row>
    <row r="332" spans="1:11" ht="44.1" customHeight="1" x14ac:dyDescent="0.2">
      <c r="A332" s="8">
        <v>3</v>
      </c>
      <c r="B332" s="8">
        <v>7</v>
      </c>
      <c r="C332" s="8">
        <v>1</v>
      </c>
      <c r="D332" s="3">
        <v>535220074</v>
      </c>
      <c r="E332" s="3"/>
      <c r="F332" s="9" t="s">
        <v>842</v>
      </c>
      <c r="G332" s="10" t="s">
        <v>24</v>
      </c>
      <c r="H332" s="78" t="s">
        <v>135</v>
      </c>
      <c r="I332" s="79"/>
      <c r="J332" s="9" t="s">
        <v>758</v>
      </c>
      <c r="K332" s="1"/>
    </row>
    <row r="333" spans="1:11" ht="43.5" customHeight="1" x14ac:dyDescent="0.2">
      <c r="A333" s="8">
        <v>3</v>
      </c>
      <c r="B333" s="8">
        <v>7</v>
      </c>
      <c r="C333" s="8">
        <v>1</v>
      </c>
      <c r="D333" s="3">
        <v>535220081</v>
      </c>
      <c r="E333" s="3"/>
      <c r="F333" s="9" t="s">
        <v>843</v>
      </c>
      <c r="G333" s="10" t="s">
        <v>25</v>
      </c>
      <c r="H333" s="80" t="s">
        <v>136</v>
      </c>
      <c r="I333" s="81"/>
      <c r="J333" s="9" t="s">
        <v>758</v>
      </c>
      <c r="K333" s="1"/>
    </row>
    <row r="334" spans="1:11" ht="43.5" customHeight="1" x14ac:dyDescent="0.2">
      <c r="A334" s="16"/>
      <c r="B334" s="16"/>
      <c r="C334" s="16"/>
      <c r="D334" s="20"/>
      <c r="E334" s="20"/>
      <c r="F334" s="21"/>
      <c r="G334" s="22"/>
      <c r="H334" s="23"/>
      <c r="I334" s="23"/>
      <c r="J334" s="21"/>
      <c r="K334" s="1"/>
    </row>
    <row r="335" spans="1:11" ht="59.45" customHeight="1" x14ac:dyDescent="0.2">
      <c r="A335" s="84" t="s">
        <v>844</v>
      </c>
      <c r="B335" s="84"/>
      <c r="C335" s="84"/>
      <c r="D335" s="84"/>
      <c r="E335" s="84"/>
      <c r="F335" s="84"/>
      <c r="G335" s="84"/>
      <c r="H335" s="84"/>
      <c r="I335" s="84"/>
      <c r="J335" s="84"/>
      <c r="K335" s="84"/>
    </row>
    <row r="336" spans="1:11" ht="44.1" customHeight="1" x14ac:dyDescent="0.2">
      <c r="A336" s="8">
        <v>0</v>
      </c>
      <c r="B336" s="8">
        <v>8</v>
      </c>
      <c r="C336" s="8">
        <v>0</v>
      </c>
      <c r="D336" s="3">
        <v>825220094</v>
      </c>
      <c r="E336" s="3"/>
      <c r="F336" s="9" t="s">
        <v>845</v>
      </c>
      <c r="G336" s="10" t="s">
        <v>0</v>
      </c>
      <c r="H336" s="80" t="s">
        <v>137</v>
      </c>
      <c r="I336" s="81"/>
      <c r="J336" s="9" t="s">
        <v>742</v>
      </c>
    </row>
    <row r="337" spans="1:10" ht="44.1" customHeight="1" x14ac:dyDescent="0.2">
      <c r="A337" s="8">
        <v>0</v>
      </c>
      <c r="B337" s="8">
        <v>8</v>
      </c>
      <c r="C337" s="8">
        <v>0</v>
      </c>
      <c r="D337" s="3">
        <v>825220095</v>
      </c>
      <c r="E337" s="3"/>
      <c r="F337" s="9" t="s">
        <v>846</v>
      </c>
      <c r="G337" s="10" t="s">
        <v>2</v>
      </c>
      <c r="H337" s="80" t="s">
        <v>137</v>
      </c>
      <c r="I337" s="81"/>
      <c r="J337" s="9" t="s">
        <v>742</v>
      </c>
    </row>
    <row r="338" spans="1:10" ht="42.95" customHeight="1" x14ac:dyDescent="0.2">
      <c r="A338" s="8">
        <v>0</v>
      </c>
      <c r="B338" s="8">
        <v>8</v>
      </c>
      <c r="C338" s="8">
        <v>0</v>
      </c>
      <c r="D338" s="3">
        <v>825220105</v>
      </c>
      <c r="E338" s="3"/>
      <c r="F338" s="9" t="s">
        <v>847</v>
      </c>
      <c r="G338" s="10" t="s">
        <v>4</v>
      </c>
      <c r="H338" s="80" t="s">
        <v>137</v>
      </c>
      <c r="I338" s="81"/>
      <c r="J338" s="9" t="s">
        <v>742</v>
      </c>
    </row>
    <row r="339" spans="1:10" ht="44.1" customHeight="1" x14ac:dyDescent="0.2">
      <c r="A339" s="8">
        <v>0</v>
      </c>
      <c r="B339" s="8">
        <v>8</v>
      </c>
      <c r="C339" s="8">
        <v>0</v>
      </c>
      <c r="D339" s="3">
        <v>825220113</v>
      </c>
      <c r="E339" s="3"/>
      <c r="F339" s="9" t="s">
        <v>848</v>
      </c>
      <c r="G339" s="10" t="s">
        <v>5</v>
      </c>
      <c r="H339" s="80" t="s">
        <v>137</v>
      </c>
      <c r="I339" s="81"/>
      <c r="J339" s="9" t="s">
        <v>742</v>
      </c>
    </row>
    <row r="340" spans="1:10" ht="42.6" customHeight="1" x14ac:dyDescent="0.2">
      <c r="A340" s="8">
        <v>0</v>
      </c>
      <c r="B340" s="8">
        <v>8</v>
      </c>
      <c r="C340" s="8">
        <v>0</v>
      </c>
      <c r="D340" s="3">
        <v>825220114</v>
      </c>
      <c r="E340" s="3"/>
      <c r="F340" s="9" t="s">
        <v>849</v>
      </c>
      <c r="G340" s="10" t="s">
        <v>6</v>
      </c>
      <c r="H340" s="80" t="s">
        <v>137</v>
      </c>
      <c r="I340" s="81"/>
      <c r="J340" s="9" t="s">
        <v>742</v>
      </c>
    </row>
    <row r="341" spans="1:10" ht="44.1" customHeight="1" x14ac:dyDescent="0.2">
      <c r="A341" s="8">
        <v>1</v>
      </c>
      <c r="B341" s="8">
        <v>8</v>
      </c>
      <c r="C341" s="8">
        <v>0</v>
      </c>
      <c r="D341" s="3">
        <v>825220115</v>
      </c>
      <c r="E341" s="3"/>
      <c r="F341" s="9" t="s">
        <v>850</v>
      </c>
      <c r="G341" s="10" t="s">
        <v>7</v>
      </c>
      <c r="H341" s="80" t="s">
        <v>137</v>
      </c>
      <c r="I341" s="81"/>
      <c r="J341" s="9" t="s">
        <v>742</v>
      </c>
    </row>
    <row r="342" spans="1:10" ht="42.95" customHeight="1" x14ac:dyDescent="0.2">
      <c r="A342" s="8">
        <v>1</v>
      </c>
      <c r="B342" s="8">
        <v>8</v>
      </c>
      <c r="C342" s="8">
        <v>0</v>
      </c>
      <c r="D342" s="3">
        <v>825220121</v>
      </c>
      <c r="E342" s="3"/>
      <c r="F342" s="9" t="s">
        <v>851</v>
      </c>
      <c r="G342" s="10" t="s">
        <v>8</v>
      </c>
      <c r="H342" s="80" t="s">
        <v>137</v>
      </c>
      <c r="I342" s="81"/>
      <c r="J342" s="9" t="s">
        <v>742</v>
      </c>
    </row>
    <row r="343" spans="1:10" ht="44.1" customHeight="1" x14ac:dyDescent="0.2">
      <c r="A343" s="8">
        <v>1</v>
      </c>
      <c r="B343" s="8">
        <v>8</v>
      </c>
      <c r="C343" s="8">
        <v>0</v>
      </c>
      <c r="D343" s="3">
        <v>825220124</v>
      </c>
      <c r="E343" s="3"/>
      <c r="F343" s="9" t="s">
        <v>852</v>
      </c>
      <c r="G343" s="10" t="s">
        <v>10</v>
      </c>
      <c r="H343" s="80" t="s">
        <v>137</v>
      </c>
      <c r="I343" s="81"/>
      <c r="J343" s="9" t="s">
        <v>742</v>
      </c>
    </row>
    <row r="344" spans="1:10" ht="44.1" customHeight="1" x14ac:dyDescent="0.2">
      <c r="A344" s="8">
        <v>1</v>
      </c>
      <c r="B344" s="8">
        <v>8</v>
      </c>
      <c r="C344" s="8">
        <v>0</v>
      </c>
      <c r="D344" s="3">
        <v>825220131</v>
      </c>
      <c r="E344" s="3"/>
      <c r="F344" s="9" t="s">
        <v>853</v>
      </c>
      <c r="G344" s="10" t="s">
        <v>11</v>
      </c>
      <c r="H344" s="80" t="s">
        <v>137</v>
      </c>
      <c r="I344" s="81"/>
      <c r="J344" s="9" t="s">
        <v>742</v>
      </c>
    </row>
    <row r="345" spans="1:10" ht="42.6" customHeight="1" x14ac:dyDescent="0.2">
      <c r="A345" s="8">
        <v>1</v>
      </c>
      <c r="B345" s="8">
        <v>8</v>
      </c>
      <c r="C345" s="8">
        <v>0</v>
      </c>
      <c r="D345" s="3">
        <v>825220133</v>
      </c>
      <c r="E345" s="3"/>
      <c r="F345" s="9" t="s">
        <v>854</v>
      </c>
      <c r="G345" s="10" t="s">
        <v>12</v>
      </c>
      <c r="H345" s="80" t="s">
        <v>137</v>
      </c>
      <c r="I345" s="81"/>
      <c r="J345" s="9" t="s">
        <v>742</v>
      </c>
    </row>
    <row r="346" spans="1:10" ht="61.5" customHeight="1" x14ac:dyDescent="0.2">
      <c r="A346" s="11">
        <v>2</v>
      </c>
      <c r="B346" s="8">
        <v>8</v>
      </c>
      <c r="C346" s="8">
        <v>0</v>
      </c>
      <c r="D346" s="4">
        <v>825220137</v>
      </c>
      <c r="E346" s="4"/>
      <c r="F346" s="12" t="s">
        <v>855</v>
      </c>
      <c r="G346" s="13" t="s">
        <v>14</v>
      </c>
      <c r="H346" s="80" t="s">
        <v>137</v>
      </c>
      <c r="I346" s="81"/>
      <c r="J346" s="12" t="s">
        <v>742</v>
      </c>
    </row>
    <row r="347" spans="1:10" ht="44.1" customHeight="1" x14ac:dyDescent="0.2">
      <c r="A347" s="11">
        <v>2</v>
      </c>
      <c r="B347" s="8">
        <v>8</v>
      </c>
      <c r="C347" s="8">
        <v>0</v>
      </c>
      <c r="D347" s="3">
        <v>825220005</v>
      </c>
      <c r="E347" s="3"/>
      <c r="F347" s="9" t="s">
        <v>856</v>
      </c>
      <c r="G347" s="10" t="s">
        <v>16</v>
      </c>
      <c r="H347" s="80" t="s">
        <v>123</v>
      </c>
      <c r="I347" s="81"/>
      <c r="J347" s="9" t="s">
        <v>138</v>
      </c>
    </row>
    <row r="348" spans="1:10" ht="42.95" customHeight="1" x14ac:dyDescent="0.2">
      <c r="A348" s="11">
        <v>2</v>
      </c>
      <c r="B348" s="8">
        <v>8</v>
      </c>
      <c r="C348" s="8">
        <v>0</v>
      </c>
      <c r="D348" s="3">
        <v>825220007</v>
      </c>
      <c r="E348" s="3"/>
      <c r="F348" s="9" t="s">
        <v>857</v>
      </c>
      <c r="G348" s="10" t="s">
        <v>17</v>
      </c>
      <c r="H348" s="80" t="s">
        <v>123</v>
      </c>
      <c r="I348" s="81"/>
      <c r="J348" s="9" t="s">
        <v>138</v>
      </c>
    </row>
    <row r="349" spans="1:10" ht="44.1" customHeight="1" x14ac:dyDescent="0.2">
      <c r="A349" s="11">
        <v>2</v>
      </c>
      <c r="B349" s="8">
        <v>8</v>
      </c>
      <c r="C349" s="8">
        <v>0</v>
      </c>
      <c r="D349" s="3">
        <v>825220015</v>
      </c>
      <c r="E349" s="3"/>
      <c r="F349" s="9" t="s">
        <v>858</v>
      </c>
      <c r="G349" s="10" t="s">
        <v>18</v>
      </c>
      <c r="H349" s="80" t="s">
        <v>123</v>
      </c>
      <c r="I349" s="81"/>
      <c r="J349" s="9" t="s">
        <v>138</v>
      </c>
    </row>
    <row r="350" spans="1:10" ht="42.6" customHeight="1" x14ac:dyDescent="0.2">
      <c r="A350" s="11">
        <v>2</v>
      </c>
      <c r="B350" s="8">
        <v>8</v>
      </c>
      <c r="C350" s="8">
        <v>0</v>
      </c>
      <c r="D350" s="3">
        <v>825220017</v>
      </c>
      <c r="E350" s="3"/>
      <c r="F350" s="9" t="s">
        <v>859</v>
      </c>
      <c r="G350" s="10" t="s">
        <v>19</v>
      </c>
      <c r="H350" s="80" t="s">
        <v>123</v>
      </c>
      <c r="I350" s="81"/>
      <c r="J350" s="9" t="s">
        <v>138</v>
      </c>
    </row>
    <row r="351" spans="1:10" ht="44.1" customHeight="1" x14ac:dyDescent="0.2">
      <c r="A351" s="8">
        <v>3</v>
      </c>
      <c r="B351" s="8">
        <v>8</v>
      </c>
      <c r="C351" s="8">
        <v>0</v>
      </c>
      <c r="D351" s="3">
        <v>825220087</v>
      </c>
      <c r="E351" s="3"/>
      <c r="F351" s="9" t="s">
        <v>860</v>
      </c>
      <c r="G351" s="10" t="s">
        <v>20</v>
      </c>
      <c r="H351" s="80" t="s">
        <v>137</v>
      </c>
      <c r="I351" s="81"/>
      <c r="J351" s="9" t="s">
        <v>742</v>
      </c>
    </row>
    <row r="352" spans="1:10" ht="42.95" customHeight="1" x14ac:dyDescent="0.2">
      <c r="A352" s="8">
        <v>3</v>
      </c>
      <c r="B352" s="8">
        <v>8</v>
      </c>
      <c r="C352" s="8">
        <v>0</v>
      </c>
      <c r="D352" s="3">
        <v>825220088</v>
      </c>
      <c r="E352" s="3"/>
      <c r="F352" s="9" t="s">
        <v>861</v>
      </c>
      <c r="G352" s="10" t="s">
        <v>22</v>
      </c>
      <c r="H352" s="80" t="s">
        <v>137</v>
      </c>
      <c r="I352" s="81"/>
      <c r="J352" s="9" t="s">
        <v>742</v>
      </c>
    </row>
    <row r="353" spans="1:10" ht="44.1" customHeight="1" x14ac:dyDescent="0.2">
      <c r="A353" s="8">
        <v>3</v>
      </c>
      <c r="B353" s="8">
        <v>8</v>
      </c>
      <c r="C353" s="8">
        <v>0</v>
      </c>
      <c r="D353" s="3">
        <v>825220093</v>
      </c>
      <c r="E353" s="3"/>
      <c r="F353" s="9" t="s">
        <v>862</v>
      </c>
      <c r="G353" s="10" t="s">
        <v>23</v>
      </c>
      <c r="H353" s="80" t="s">
        <v>137</v>
      </c>
      <c r="I353" s="81"/>
      <c r="J353" s="9" t="s">
        <v>742</v>
      </c>
    </row>
    <row r="354" spans="1:10" ht="44.1" customHeight="1" x14ac:dyDescent="0.2">
      <c r="A354" s="8">
        <v>3</v>
      </c>
      <c r="B354" s="8">
        <v>8</v>
      </c>
      <c r="C354" s="8">
        <v>0</v>
      </c>
      <c r="D354" s="3">
        <v>825220075</v>
      </c>
      <c r="E354" s="3"/>
      <c r="F354" s="9" t="s">
        <v>863</v>
      </c>
      <c r="G354" s="10" t="s">
        <v>24</v>
      </c>
      <c r="H354" s="80" t="s">
        <v>137</v>
      </c>
      <c r="I354" s="81"/>
      <c r="J354" s="9" t="s">
        <v>742</v>
      </c>
    </row>
    <row r="355" spans="1:10" ht="42.6" customHeight="1" x14ac:dyDescent="0.2">
      <c r="A355" s="8">
        <v>3</v>
      </c>
      <c r="B355" s="8">
        <v>8</v>
      </c>
      <c r="C355" s="8">
        <v>0</v>
      </c>
      <c r="D355" s="3">
        <v>825220084</v>
      </c>
      <c r="E355" s="3"/>
      <c r="F355" s="9" t="s">
        <v>864</v>
      </c>
      <c r="G355" s="10" t="s">
        <v>25</v>
      </c>
      <c r="H355" s="80" t="s">
        <v>137</v>
      </c>
      <c r="I355" s="81"/>
      <c r="J355" s="9" t="s">
        <v>742</v>
      </c>
    </row>
    <row r="356" spans="1:10" ht="43.7" customHeight="1" x14ac:dyDescent="0.2">
      <c r="A356" s="8">
        <v>4</v>
      </c>
      <c r="B356" s="8">
        <v>8</v>
      </c>
      <c r="C356" s="8">
        <v>0</v>
      </c>
      <c r="D356" s="3">
        <v>535220092</v>
      </c>
      <c r="E356" s="3"/>
      <c r="F356" s="9" t="s">
        <v>865</v>
      </c>
      <c r="G356" s="10" t="s">
        <v>26</v>
      </c>
      <c r="H356" s="78" t="s">
        <v>139</v>
      </c>
      <c r="I356" s="79"/>
      <c r="J356" s="9" t="s">
        <v>546</v>
      </c>
    </row>
    <row r="357" spans="1:10" ht="44.1" customHeight="1" x14ac:dyDescent="0.2">
      <c r="A357" s="8">
        <v>4</v>
      </c>
      <c r="B357" s="8">
        <v>8</v>
      </c>
      <c r="C357" s="8">
        <v>0</v>
      </c>
      <c r="D357" s="3">
        <v>535220136</v>
      </c>
      <c r="E357" s="3"/>
      <c r="F357" s="9" t="s">
        <v>866</v>
      </c>
      <c r="G357" s="10" t="s">
        <v>29</v>
      </c>
      <c r="H357" s="78" t="s">
        <v>139</v>
      </c>
      <c r="I357" s="79"/>
      <c r="J357" s="9" t="s">
        <v>546</v>
      </c>
    </row>
    <row r="358" spans="1:10" ht="42.95" customHeight="1" x14ac:dyDescent="0.2">
      <c r="A358" s="8">
        <v>4</v>
      </c>
      <c r="B358" s="8">
        <v>8</v>
      </c>
      <c r="C358" s="8">
        <v>0</v>
      </c>
      <c r="D358" s="3">
        <v>535220139</v>
      </c>
      <c r="E358" s="3"/>
      <c r="F358" s="9" t="s">
        <v>867</v>
      </c>
      <c r="G358" s="10" t="s">
        <v>31</v>
      </c>
      <c r="H358" s="80" t="s">
        <v>140</v>
      </c>
      <c r="I358" s="81"/>
      <c r="J358" s="9" t="s">
        <v>546</v>
      </c>
    </row>
    <row r="359" spans="1:10" ht="44.1" customHeight="1" x14ac:dyDescent="0.2">
      <c r="A359" s="8">
        <v>4</v>
      </c>
      <c r="B359" s="8">
        <v>8</v>
      </c>
      <c r="C359" s="8">
        <v>0</v>
      </c>
      <c r="D359" s="3">
        <v>535220142</v>
      </c>
      <c r="E359" s="3"/>
      <c r="F359" s="9" t="s">
        <v>868</v>
      </c>
      <c r="G359" s="10" t="s">
        <v>32</v>
      </c>
      <c r="H359" s="78" t="s">
        <v>139</v>
      </c>
      <c r="I359" s="79"/>
      <c r="J359" s="9" t="s">
        <v>546</v>
      </c>
    </row>
    <row r="360" spans="1:10" ht="42.6" customHeight="1" x14ac:dyDescent="0.2">
      <c r="A360" s="8">
        <v>4</v>
      </c>
      <c r="B360" s="8">
        <v>8</v>
      </c>
      <c r="C360" s="8">
        <v>0</v>
      </c>
      <c r="D360" s="3">
        <v>535220143</v>
      </c>
      <c r="E360" s="3"/>
      <c r="F360" s="9" t="s">
        <v>869</v>
      </c>
      <c r="G360" s="10" t="s">
        <v>33</v>
      </c>
      <c r="H360" s="80" t="s">
        <v>140</v>
      </c>
      <c r="I360" s="81"/>
      <c r="J360" s="9" t="s">
        <v>546</v>
      </c>
    </row>
    <row r="361" spans="1:10" ht="44.1" customHeight="1" x14ac:dyDescent="0.2">
      <c r="A361" s="8">
        <v>5</v>
      </c>
      <c r="B361" s="8">
        <v>8</v>
      </c>
      <c r="C361" s="8">
        <v>0</v>
      </c>
      <c r="D361" s="3">
        <v>825220054</v>
      </c>
      <c r="E361" s="3"/>
      <c r="F361" s="9" t="s">
        <v>870</v>
      </c>
      <c r="G361" s="10" t="s">
        <v>34</v>
      </c>
      <c r="H361" s="80" t="s">
        <v>141</v>
      </c>
      <c r="I361" s="81"/>
      <c r="J361" s="9" t="s">
        <v>758</v>
      </c>
    </row>
    <row r="362" spans="1:10" ht="42.95" customHeight="1" x14ac:dyDescent="0.2">
      <c r="A362" s="8">
        <v>5</v>
      </c>
      <c r="B362" s="8">
        <v>8</v>
      </c>
      <c r="C362" s="8">
        <v>0</v>
      </c>
      <c r="D362" s="3">
        <v>825220129</v>
      </c>
      <c r="E362" s="3"/>
      <c r="F362" s="9" t="s">
        <v>871</v>
      </c>
      <c r="G362" s="10" t="s">
        <v>37</v>
      </c>
      <c r="H362" s="80" t="s">
        <v>141</v>
      </c>
      <c r="I362" s="81"/>
      <c r="J362" s="9" t="s">
        <v>758</v>
      </c>
    </row>
    <row r="363" spans="1:10" ht="44.1" customHeight="1" x14ac:dyDescent="0.2">
      <c r="A363" s="8">
        <v>5</v>
      </c>
      <c r="B363" s="8">
        <v>8</v>
      </c>
      <c r="C363" s="8">
        <v>0</v>
      </c>
      <c r="D363" s="3">
        <v>825220147</v>
      </c>
      <c r="E363" s="3"/>
      <c r="F363" s="9" t="s">
        <v>872</v>
      </c>
      <c r="G363" s="10" t="s">
        <v>39</v>
      </c>
      <c r="H363" s="80" t="s">
        <v>141</v>
      </c>
      <c r="I363" s="81"/>
      <c r="J363" s="9" t="s">
        <v>758</v>
      </c>
    </row>
    <row r="364" spans="1:10" ht="42.95" customHeight="1" x14ac:dyDescent="0.2">
      <c r="A364" s="8">
        <v>5</v>
      </c>
      <c r="B364" s="8">
        <v>8</v>
      </c>
      <c r="C364" s="8">
        <v>0</v>
      </c>
      <c r="D364" s="3">
        <v>825220153</v>
      </c>
      <c r="E364" s="3"/>
      <c r="F364" s="9" t="s">
        <v>873</v>
      </c>
      <c r="G364" s="10" t="s">
        <v>40</v>
      </c>
      <c r="H364" s="80" t="s">
        <v>141</v>
      </c>
      <c r="I364" s="81"/>
      <c r="J364" s="9" t="s">
        <v>758</v>
      </c>
    </row>
    <row r="365" spans="1:10" ht="44.1" customHeight="1" x14ac:dyDescent="0.2">
      <c r="A365" s="8">
        <v>5</v>
      </c>
      <c r="B365" s="8">
        <v>8</v>
      </c>
      <c r="C365" s="8">
        <v>0</v>
      </c>
      <c r="D365" s="3">
        <v>825220168</v>
      </c>
      <c r="E365" s="3"/>
      <c r="F365" s="9" t="s">
        <v>874</v>
      </c>
      <c r="G365" s="10" t="s">
        <v>41</v>
      </c>
      <c r="H365" s="80" t="s">
        <v>141</v>
      </c>
      <c r="I365" s="81"/>
      <c r="J365" s="9" t="s">
        <v>758</v>
      </c>
    </row>
  </sheetData>
  <mergeCells count="352">
    <mergeCell ref="H362:I362"/>
    <mergeCell ref="H363:I363"/>
    <mergeCell ref="H364:I364"/>
    <mergeCell ref="H365:I365"/>
    <mergeCell ref="H356:I356"/>
    <mergeCell ref="H357:I357"/>
    <mergeCell ref="H358:I358"/>
    <mergeCell ref="H359:I359"/>
    <mergeCell ref="H360:I360"/>
    <mergeCell ref="H361:I361"/>
    <mergeCell ref="H350:I350"/>
    <mergeCell ref="H351:I351"/>
    <mergeCell ref="H352:I352"/>
    <mergeCell ref="H353:I353"/>
    <mergeCell ref="H354:I354"/>
    <mergeCell ref="H355:I355"/>
    <mergeCell ref="H344:I344"/>
    <mergeCell ref="H345:I345"/>
    <mergeCell ref="H346:I346"/>
    <mergeCell ref="H347:I347"/>
    <mergeCell ref="H348:I348"/>
    <mergeCell ref="H349:I349"/>
    <mergeCell ref="H338:I338"/>
    <mergeCell ref="H339:I339"/>
    <mergeCell ref="H340:I340"/>
    <mergeCell ref="H341:I341"/>
    <mergeCell ref="H342:I342"/>
    <mergeCell ref="H343:I343"/>
    <mergeCell ref="H331:I331"/>
    <mergeCell ref="H332:I332"/>
    <mergeCell ref="H333:I333"/>
    <mergeCell ref="A335:K335"/>
    <mergeCell ref="H336:I336"/>
    <mergeCell ref="H337:I337"/>
    <mergeCell ref="H325:I325"/>
    <mergeCell ref="H326:I326"/>
    <mergeCell ref="H327:I327"/>
    <mergeCell ref="H328:I328"/>
    <mergeCell ref="H329:I329"/>
    <mergeCell ref="H330:I330"/>
    <mergeCell ref="H319:I319"/>
    <mergeCell ref="H320:I320"/>
    <mergeCell ref="H321:I321"/>
    <mergeCell ref="H322:I322"/>
    <mergeCell ref="H323:I323"/>
    <mergeCell ref="H324:I324"/>
    <mergeCell ref="A313:K313"/>
    <mergeCell ref="H314:I314"/>
    <mergeCell ref="H315:I315"/>
    <mergeCell ref="H316:I316"/>
    <mergeCell ref="H317:I317"/>
    <mergeCell ref="H318:I318"/>
    <mergeCell ref="H306:I306"/>
    <mergeCell ref="H307:I307"/>
    <mergeCell ref="H308:I308"/>
    <mergeCell ref="H309:I309"/>
    <mergeCell ref="H310:I310"/>
    <mergeCell ref="H311:I311"/>
    <mergeCell ref="H300:I300"/>
    <mergeCell ref="H301:I301"/>
    <mergeCell ref="H302:I302"/>
    <mergeCell ref="H303:I303"/>
    <mergeCell ref="H304:I304"/>
    <mergeCell ref="H305:I305"/>
    <mergeCell ref="H294:I294"/>
    <mergeCell ref="H295:I295"/>
    <mergeCell ref="H296:I296"/>
    <mergeCell ref="H297:I297"/>
    <mergeCell ref="H298:I298"/>
    <mergeCell ref="H299:I299"/>
    <mergeCell ref="H288:I288"/>
    <mergeCell ref="H289:I289"/>
    <mergeCell ref="H290:I290"/>
    <mergeCell ref="H291:I291"/>
    <mergeCell ref="H292:I292"/>
    <mergeCell ref="H293:I293"/>
    <mergeCell ref="H282:I282"/>
    <mergeCell ref="H283:I283"/>
    <mergeCell ref="H284:I284"/>
    <mergeCell ref="H285:I285"/>
    <mergeCell ref="H286:I286"/>
    <mergeCell ref="H287:I287"/>
    <mergeCell ref="A276:K276"/>
    <mergeCell ref="H277:I277"/>
    <mergeCell ref="H278:I278"/>
    <mergeCell ref="H279:I279"/>
    <mergeCell ref="H280:I280"/>
    <mergeCell ref="H281:I281"/>
    <mergeCell ref="H269:I269"/>
    <mergeCell ref="H270:I270"/>
    <mergeCell ref="H271:I271"/>
    <mergeCell ref="H272:I272"/>
    <mergeCell ref="H273:I273"/>
    <mergeCell ref="H274:I274"/>
    <mergeCell ref="H263:I263"/>
    <mergeCell ref="H264:I264"/>
    <mergeCell ref="H265:I265"/>
    <mergeCell ref="H266:I266"/>
    <mergeCell ref="H267:I267"/>
    <mergeCell ref="H268:I268"/>
    <mergeCell ref="H256:I256"/>
    <mergeCell ref="H257:I257"/>
    <mergeCell ref="A259:K259"/>
    <mergeCell ref="H260:I260"/>
    <mergeCell ref="H261:I261"/>
    <mergeCell ref="H262:I262"/>
    <mergeCell ref="H250:I250"/>
    <mergeCell ref="H251:I251"/>
    <mergeCell ref="H252:I252"/>
    <mergeCell ref="H253:I253"/>
    <mergeCell ref="H254:I254"/>
    <mergeCell ref="H255:I255"/>
    <mergeCell ref="H244:I244"/>
    <mergeCell ref="H245:I245"/>
    <mergeCell ref="H246:I246"/>
    <mergeCell ref="H247:I247"/>
    <mergeCell ref="H248:I248"/>
    <mergeCell ref="H249:I249"/>
    <mergeCell ref="H238:I238"/>
    <mergeCell ref="H239:I239"/>
    <mergeCell ref="H240:I240"/>
    <mergeCell ref="H241:I241"/>
    <mergeCell ref="H242:I242"/>
    <mergeCell ref="H243:I243"/>
    <mergeCell ref="H231:I231"/>
    <mergeCell ref="H232:I232"/>
    <mergeCell ref="H233:I233"/>
    <mergeCell ref="H234:I234"/>
    <mergeCell ref="H235:I235"/>
    <mergeCell ref="A237:K237"/>
    <mergeCell ref="H225:I225"/>
    <mergeCell ref="H226:I226"/>
    <mergeCell ref="H227:I227"/>
    <mergeCell ref="H228:I228"/>
    <mergeCell ref="H229:I229"/>
    <mergeCell ref="H230:I230"/>
    <mergeCell ref="H219:I219"/>
    <mergeCell ref="H220:I220"/>
    <mergeCell ref="H221:I221"/>
    <mergeCell ref="H222:I222"/>
    <mergeCell ref="H223:I223"/>
    <mergeCell ref="H224:I224"/>
    <mergeCell ref="H212:I212"/>
    <mergeCell ref="H213:I213"/>
    <mergeCell ref="A215:K215"/>
    <mergeCell ref="H216:I216"/>
    <mergeCell ref="H217:I217"/>
    <mergeCell ref="H218:I218"/>
    <mergeCell ref="H206:I206"/>
    <mergeCell ref="H207:I207"/>
    <mergeCell ref="H208:I208"/>
    <mergeCell ref="H209:I209"/>
    <mergeCell ref="H210:I210"/>
    <mergeCell ref="H211:I211"/>
    <mergeCell ref="H200:I200"/>
    <mergeCell ref="H201:I201"/>
    <mergeCell ref="H202:I202"/>
    <mergeCell ref="H203:I203"/>
    <mergeCell ref="H204:I204"/>
    <mergeCell ref="H205:I205"/>
    <mergeCell ref="H194:I194"/>
    <mergeCell ref="H195:I195"/>
    <mergeCell ref="H196:I196"/>
    <mergeCell ref="H197:I197"/>
    <mergeCell ref="H198:I198"/>
    <mergeCell ref="H199:I199"/>
    <mergeCell ref="H188:I188"/>
    <mergeCell ref="H189:I189"/>
    <mergeCell ref="H190:I190"/>
    <mergeCell ref="H191:I191"/>
    <mergeCell ref="H192:I192"/>
    <mergeCell ref="H193:I193"/>
    <mergeCell ref="H182:I182"/>
    <mergeCell ref="H183:I183"/>
    <mergeCell ref="H184:I184"/>
    <mergeCell ref="H185:I185"/>
    <mergeCell ref="H186:I186"/>
    <mergeCell ref="H187:I187"/>
    <mergeCell ref="H175:I175"/>
    <mergeCell ref="H176:I176"/>
    <mergeCell ref="A178:K178"/>
    <mergeCell ref="H179:I179"/>
    <mergeCell ref="H180:I180"/>
    <mergeCell ref="H181:I181"/>
    <mergeCell ref="H169:I169"/>
    <mergeCell ref="H170:I170"/>
    <mergeCell ref="H171:I171"/>
    <mergeCell ref="H172:I172"/>
    <mergeCell ref="H173:I173"/>
    <mergeCell ref="H174:I174"/>
    <mergeCell ref="H163:I163"/>
    <mergeCell ref="H164:I164"/>
    <mergeCell ref="H165:I165"/>
    <mergeCell ref="H166:I166"/>
    <mergeCell ref="H167:I167"/>
    <mergeCell ref="H168:I168"/>
    <mergeCell ref="H157:I157"/>
    <mergeCell ref="H158:I158"/>
    <mergeCell ref="H159:I159"/>
    <mergeCell ref="H160:I160"/>
    <mergeCell ref="H161:I161"/>
    <mergeCell ref="H162:I162"/>
    <mergeCell ref="H150:I150"/>
    <mergeCell ref="H151:I151"/>
    <mergeCell ref="H152:I152"/>
    <mergeCell ref="H153:I153"/>
    <mergeCell ref="H154:I154"/>
    <mergeCell ref="A156:K156"/>
    <mergeCell ref="H144:I144"/>
    <mergeCell ref="H145:I145"/>
    <mergeCell ref="H146:I146"/>
    <mergeCell ref="H147:I147"/>
    <mergeCell ref="H148:I148"/>
    <mergeCell ref="H149:I149"/>
    <mergeCell ref="H138:I138"/>
    <mergeCell ref="H139:I139"/>
    <mergeCell ref="H140:I140"/>
    <mergeCell ref="H141:I141"/>
    <mergeCell ref="H142:I142"/>
    <mergeCell ref="H143:I143"/>
    <mergeCell ref="H131:I131"/>
    <mergeCell ref="H132:I132"/>
    <mergeCell ref="A134:K134"/>
    <mergeCell ref="H135:I135"/>
    <mergeCell ref="H136:I136"/>
    <mergeCell ref="H137:I137"/>
    <mergeCell ref="H125:I125"/>
    <mergeCell ref="H126:I126"/>
    <mergeCell ref="H127:I127"/>
    <mergeCell ref="H128:I128"/>
    <mergeCell ref="H129:I129"/>
    <mergeCell ref="H130:I130"/>
    <mergeCell ref="H119:I119"/>
    <mergeCell ref="H120:I120"/>
    <mergeCell ref="H121:I121"/>
    <mergeCell ref="H122:I122"/>
    <mergeCell ref="H123:I123"/>
    <mergeCell ref="H124:I124"/>
    <mergeCell ref="H113:I113"/>
    <mergeCell ref="H114:I114"/>
    <mergeCell ref="H115:I115"/>
    <mergeCell ref="H116:I116"/>
    <mergeCell ref="H117:I117"/>
    <mergeCell ref="H118:I118"/>
    <mergeCell ref="H106:I106"/>
    <mergeCell ref="H107:I107"/>
    <mergeCell ref="H108:I108"/>
    <mergeCell ref="H109:I109"/>
    <mergeCell ref="H110:I110"/>
    <mergeCell ref="A112:K112"/>
    <mergeCell ref="H100:I100"/>
    <mergeCell ref="H101:I101"/>
    <mergeCell ref="H102:I102"/>
    <mergeCell ref="H103:I103"/>
    <mergeCell ref="H104:I104"/>
    <mergeCell ref="H105:I105"/>
    <mergeCell ref="H94:I94"/>
    <mergeCell ref="H95:I95"/>
    <mergeCell ref="H96:I96"/>
    <mergeCell ref="H97:I97"/>
    <mergeCell ref="H98:I98"/>
    <mergeCell ref="H99:I99"/>
    <mergeCell ref="H88:I88"/>
    <mergeCell ref="H89:I89"/>
    <mergeCell ref="H90:I90"/>
    <mergeCell ref="H91:I91"/>
    <mergeCell ref="H92:I92"/>
    <mergeCell ref="H93:I93"/>
    <mergeCell ref="H82:I82"/>
    <mergeCell ref="H83:I83"/>
    <mergeCell ref="H84:I84"/>
    <mergeCell ref="H85:I85"/>
    <mergeCell ref="H86:I86"/>
    <mergeCell ref="H87:I87"/>
    <mergeCell ref="H76:I76"/>
    <mergeCell ref="H77:I77"/>
    <mergeCell ref="H78:I78"/>
    <mergeCell ref="H79:I79"/>
    <mergeCell ref="H80:I80"/>
    <mergeCell ref="H81:I81"/>
    <mergeCell ref="H69:I69"/>
    <mergeCell ref="H70:I70"/>
    <mergeCell ref="H71:I71"/>
    <mergeCell ref="H72:I72"/>
    <mergeCell ref="H73:I73"/>
    <mergeCell ref="A75:K75"/>
    <mergeCell ref="H63:I63"/>
    <mergeCell ref="H64:I64"/>
    <mergeCell ref="H65:I65"/>
    <mergeCell ref="H66:I66"/>
    <mergeCell ref="H67:I67"/>
    <mergeCell ref="H68:I68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5:I45"/>
    <mergeCell ref="H46:I46"/>
    <mergeCell ref="H47:I47"/>
    <mergeCell ref="H48:I48"/>
    <mergeCell ref="H49:I49"/>
    <mergeCell ref="H50:I50"/>
    <mergeCell ref="H39:I39"/>
    <mergeCell ref="H40:I40"/>
    <mergeCell ref="H41:I41"/>
    <mergeCell ref="H42:I42"/>
    <mergeCell ref="H43:I43"/>
    <mergeCell ref="H44:I44"/>
    <mergeCell ref="H32:I32"/>
    <mergeCell ref="H33:I33"/>
    <mergeCell ref="H34:I34"/>
    <mergeCell ref="H35:I35"/>
    <mergeCell ref="H36:I36"/>
    <mergeCell ref="H37:I37"/>
    <mergeCell ref="H26:I26"/>
    <mergeCell ref="H27:I27"/>
    <mergeCell ref="H28:I28"/>
    <mergeCell ref="H29:I29"/>
    <mergeCell ref="H30:I30"/>
    <mergeCell ref="H31:I31"/>
    <mergeCell ref="H20:I20"/>
    <mergeCell ref="H21:I21"/>
    <mergeCell ref="H22:I22"/>
    <mergeCell ref="H23:I23"/>
    <mergeCell ref="H24:I24"/>
    <mergeCell ref="H25:I25"/>
    <mergeCell ref="H17:I17"/>
    <mergeCell ref="H18:I18"/>
    <mergeCell ref="H19:I19"/>
    <mergeCell ref="H8:I8"/>
    <mergeCell ref="H9:I9"/>
    <mergeCell ref="H10:I10"/>
    <mergeCell ref="H11:I11"/>
    <mergeCell ref="H12:I12"/>
    <mergeCell ref="H13:I13"/>
    <mergeCell ref="A2:F2"/>
    <mergeCell ref="H3:I3"/>
    <mergeCell ref="H4:I4"/>
    <mergeCell ref="H5:I5"/>
    <mergeCell ref="H6:I6"/>
    <mergeCell ref="H7:I7"/>
    <mergeCell ref="H14:I14"/>
    <mergeCell ref="H15:I15"/>
    <mergeCell ref="H16:I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DAAF8-25E4-4431-B927-49A41F4A19E0}">
  <dimension ref="A1:K341"/>
  <sheetViews>
    <sheetView workbookViewId="0">
      <selection activeCell="E2" sqref="E2"/>
    </sheetView>
  </sheetViews>
  <sheetFormatPr defaultRowHeight="12.75" x14ac:dyDescent="0.2"/>
  <cols>
    <col min="1" max="1" width="4.6640625" customWidth="1"/>
    <col min="2" max="2" width="7.5" customWidth="1"/>
    <col min="3" max="3" width="12.6640625" customWidth="1"/>
    <col min="4" max="4" width="15.1640625" customWidth="1"/>
    <col min="5" max="5" width="42.6640625" bestFit="1" customWidth="1"/>
    <col min="6" max="6" width="16.1640625" customWidth="1"/>
    <col min="7" max="7" width="25.5" customWidth="1"/>
    <col min="8" max="8" width="25.33203125" customWidth="1"/>
  </cols>
  <sheetData>
    <row r="1" spans="1:11" x14ac:dyDescent="0.2">
      <c r="A1" t="s">
        <v>878</v>
      </c>
      <c r="B1" t="s">
        <v>879</v>
      </c>
      <c r="C1" t="s">
        <v>880</v>
      </c>
      <c r="E1" t="s">
        <v>151</v>
      </c>
      <c r="H1" t="s">
        <v>882</v>
      </c>
      <c r="I1" t="s">
        <v>883</v>
      </c>
    </row>
    <row r="2" spans="1:11" ht="44.1" customHeight="1" x14ac:dyDescent="0.2">
      <c r="A2" s="8">
        <v>0</v>
      </c>
      <c r="B2" s="8">
        <v>0</v>
      </c>
      <c r="C2" s="8">
        <v>0</v>
      </c>
      <c r="D2" s="3">
        <v>825220024</v>
      </c>
      <c r="E2" s="3" t="s">
        <v>142</v>
      </c>
      <c r="F2" s="78" t="s">
        <v>1</v>
      </c>
      <c r="G2" s="79"/>
      <c r="H2" s="1"/>
    </row>
    <row r="3" spans="1:11" ht="42.95" customHeight="1" x14ac:dyDescent="0.2">
      <c r="A3" s="8">
        <v>0</v>
      </c>
      <c r="B3" s="8">
        <v>0</v>
      </c>
      <c r="C3" s="8">
        <v>0</v>
      </c>
      <c r="D3" s="3">
        <v>825220040</v>
      </c>
      <c r="E3" s="3" t="s">
        <v>142</v>
      </c>
      <c r="F3" s="80" t="s">
        <v>3</v>
      </c>
      <c r="G3" s="81"/>
      <c r="H3" s="1"/>
    </row>
    <row r="4" spans="1:11" ht="44.1" customHeight="1" x14ac:dyDescent="0.2">
      <c r="A4" s="8">
        <v>0</v>
      </c>
      <c r="B4" s="8">
        <v>0</v>
      </c>
      <c r="C4" s="8">
        <v>0</v>
      </c>
      <c r="D4" s="3">
        <v>825220045</v>
      </c>
      <c r="E4" s="3" t="s">
        <v>142</v>
      </c>
      <c r="F4" s="78" t="s">
        <v>1</v>
      </c>
      <c r="G4" s="79"/>
      <c r="H4" s="1"/>
    </row>
    <row r="5" spans="1:11" ht="42.95" customHeight="1" x14ac:dyDescent="0.2">
      <c r="A5" s="8">
        <v>0</v>
      </c>
      <c r="B5" s="8">
        <v>0</v>
      </c>
      <c r="C5" s="8">
        <v>0</v>
      </c>
      <c r="D5" s="3">
        <v>825220049</v>
      </c>
      <c r="E5" s="3" t="s">
        <v>142</v>
      </c>
      <c r="F5" s="80" t="s">
        <v>3</v>
      </c>
      <c r="G5" s="81"/>
      <c r="H5" s="1"/>
    </row>
    <row r="6" spans="1:11" ht="44.1" customHeight="1" x14ac:dyDescent="0.2">
      <c r="A6" s="8">
        <v>0</v>
      </c>
      <c r="B6" s="8">
        <v>0</v>
      </c>
      <c r="C6" s="8">
        <v>0</v>
      </c>
      <c r="D6" s="3">
        <v>825220055</v>
      </c>
      <c r="E6" s="3" t="s">
        <v>142</v>
      </c>
      <c r="F6" s="78" t="s">
        <v>1</v>
      </c>
      <c r="G6" s="79"/>
      <c r="H6" s="1"/>
    </row>
    <row r="7" spans="1:11" ht="42.6" customHeight="1" x14ac:dyDescent="0.2">
      <c r="A7" s="8">
        <v>1</v>
      </c>
      <c r="B7" s="8">
        <v>0</v>
      </c>
      <c r="C7" s="8">
        <v>0</v>
      </c>
      <c r="D7" s="3">
        <v>825220089</v>
      </c>
      <c r="E7" s="3" t="s">
        <v>142</v>
      </c>
      <c r="F7" s="78" t="s">
        <v>1</v>
      </c>
      <c r="G7" s="79"/>
      <c r="H7" s="1"/>
      <c r="K7" t="s">
        <v>884</v>
      </c>
    </row>
    <row r="8" spans="1:11" ht="47.25" customHeight="1" x14ac:dyDescent="0.2">
      <c r="A8" s="8">
        <v>1</v>
      </c>
      <c r="B8" s="8">
        <v>0</v>
      </c>
      <c r="C8" s="8">
        <v>0</v>
      </c>
      <c r="D8" s="4">
        <v>825220132</v>
      </c>
      <c r="E8" s="3" t="s">
        <v>142</v>
      </c>
      <c r="F8" s="80" t="s">
        <v>3</v>
      </c>
      <c r="G8" s="81"/>
      <c r="H8" s="2"/>
    </row>
    <row r="9" spans="1:11" ht="44.1" customHeight="1" x14ac:dyDescent="0.2">
      <c r="A9" s="8">
        <v>1</v>
      </c>
      <c r="B9" s="8">
        <v>0</v>
      </c>
      <c r="C9" s="8">
        <v>0</v>
      </c>
      <c r="D9" s="3">
        <v>825220151</v>
      </c>
      <c r="E9" s="3" t="s">
        <v>142</v>
      </c>
      <c r="F9" s="78" t="s">
        <v>1</v>
      </c>
      <c r="G9" s="79"/>
    </row>
    <row r="10" spans="1:11" ht="42.95" customHeight="1" x14ac:dyDescent="0.2">
      <c r="A10" s="8">
        <v>1</v>
      </c>
      <c r="B10" s="8">
        <v>0</v>
      </c>
      <c r="C10" s="8">
        <v>0</v>
      </c>
      <c r="D10" s="3">
        <v>825220154</v>
      </c>
      <c r="E10" s="3" t="s">
        <v>142</v>
      </c>
      <c r="F10" s="80" t="s">
        <v>3</v>
      </c>
      <c r="G10" s="81"/>
    </row>
    <row r="11" spans="1:11" ht="43.5" customHeight="1" x14ac:dyDescent="0.2">
      <c r="A11" s="8">
        <v>1</v>
      </c>
      <c r="B11" s="8">
        <v>0</v>
      </c>
      <c r="C11" s="8">
        <v>0</v>
      </c>
      <c r="D11" s="3">
        <v>825220046</v>
      </c>
      <c r="E11" s="3" t="s">
        <v>142</v>
      </c>
      <c r="F11" s="78" t="s">
        <v>13</v>
      </c>
      <c r="G11" s="79"/>
    </row>
    <row r="12" spans="1:11" ht="42.95" customHeight="1" x14ac:dyDescent="0.2">
      <c r="A12" s="8">
        <v>2</v>
      </c>
      <c r="B12" s="8">
        <v>0</v>
      </c>
      <c r="C12" s="8">
        <v>0</v>
      </c>
      <c r="D12" s="3">
        <v>825220048</v>
      </c>
      <c r="E12" s="3" t="s">
        <v>142</v>
      </c>
      <c r="F12" s="80" t="s">
        <v>15</v>
      </c>
      <c r="G12" s="81"/>
    </row>
    <row r="13" spans="1:11" ht="44.1" customHeight="1" x14ac:dyDescent="0.2">
      <c r="A13" s="8">
        <v>2</v>
      </c>
      <c r="B13" s="8">
        <v>0</v>
      </c>
      <c r="C13" s="8">
        <v>0</v>
      </c>
      <c r="D13" s="3">
        <v>825220057</v>
      </c>
      <c r="E13" s="3" t="s">
        <v>142</v>
      </c>
      <c r="F13" s="78" t="s">
        <v>13</v>
      </c>
      <c r="G13" s="79"/>
    </row>
    <row r="14" spans="1:11" ht="42.95" customHeight="1" x14ac:dyDescent="0.2">
      <c r="A14" s="8">
        <v>2</v>
      </c>
      <c r="B14" s="8">
        <v>0</v>
      </c>
      <c r="C14" s="8">
        <v>0</v>
      </c>
      <c r="D14" s="3">
        <v>825220060</v>
      </c>
      <c r="E14" s="3" t="s">
        <v>142</v>
      </c>
      <c r="F14" s="78" t="s">
        <v>13</v>
      </c>
      <c r="G14" s="79"/>
    </row>
    <row r="15" spans="1:11" ht="44.1" customHeight="1" x14ac:dyDescent="0.2">
      <c r="A15" s="8">
        <v>2</v>
      </c>
      <c r="B15" s="8">
        <v>0</v>
      </c>
      <c r="C15" s="8">
        <v>0</v>
      </c>
      <c r="D15" s="3">
        <v>825220061</v>
      </c>
      <c r="E15" s="3" t="s">
        <v>142</v>
      </c>
      <c r="F15" s="78" t="s">
        <v>13</v>
      </c>
      <c r="G15" s="79"/>
    </row>
    <row r="16" spans="1:11" ht="43.5" customHeight="1" x14ac:dyDescent="0.2">
      <c r="A16" s="8">
        <v>2</v>
      </c>
      <c r="B16" s="8">
        <v>0</v>
      </c>
      <c r="C16" s="8">
        <v>0</v>
      </c>
      <c r="D16" s="3">
        <v>825220064</v>
      </c>
      <c r="E16" s="3" t="s">
        <v>142</v>
      </c>
      <c r="F16" s="78" t="s">
        <v>13</v>
      </c>
      <c r="G16" s="79"/>
    </row>
    <row r="17" spans="1:8" ht="42.95" customHeight="1" x14ac:dyDescent="0.2">
      <c r="A17" s="8">
        <v>3</v>
      </c>
      <c r="B17" s="8">
        <v>0</v>
      </c>
      <c r="C17" s="8">
        <v>0</v>
      </c>
      <c r="D17" s="3">
        <v>825220012</v>
      </c>
      <c r="E17" s="3" t="s">
        <v>142</v>
      </c>
      <c r="F17" s="80" t="s">
        <v>21</v>
      </c>
      <c r="G17" s="81"/>
    </row>
    <row r="18" spans="1:8" ht="43.7" customHeight="1" x14ac:dyDescent="0.2">
      <c r="A18" s="8">
        <v>3</v>
      </c>
      <c r="B18" s="8">
        <v>0</v>
      </c>
      <c r="C18" s="8">
        <v>0</v>
      </c>
      <c r="D18" s="3">
        <v>825220016</v>
      </c>
      <c r="E18" s="3" t="s">
        <v>142</v>
      </c>
      <c r="F18" s="80" t="s">
        <v>21</v>
      </c>
      <c r="G18" s="81"/>
    </row>
    <row r="19" spans="1:8" ht="44.1" customHeight="1" x14ac:dyDescent="0.2">
      <c r="A19" s="8">
        <v>3</v>
      </c>
      <c r="B19" s="8">
        <v>0</v>
      </c>
      <c r="C19" s="8">
        <v>0</v>
      </c>
      <c r="D19" s="3">
        <v>825220020</v>
      </c>
      <c r="E19" s="3" t="s">
        <v>142</v>
      </c>
      <c r="F19" s="80" t="s">
        <v>21</v>
      </c>
      <c r="G19" s="81"/>
    </row>
    <row r="20" spans="1:8" ht="42.95" customHeight="1" x14ac:dyDescent="0.2">
      <c r="A20" s="8">
        <v>3</v>
      </c>
      <c r="B20" s="8">
        <v>0</v>
      </c>
      <c r="C20" s="8">
        <v>0</v>
      </c>
      <c r="D20" s="3">
        <v>825220023</v>
      </c>
      <c r="E20" s="3" t="s">
        <v>142</v>
      </c>
      <c r="F20" s="80" t="s">
        <v>21</v>
      </c>
      <c r="G20" s="81"/>
    </row>
    <row r="21" spans="1:8" ht="43.5" customHeight="1" x14ac:dyDescent="0.2">
      <c r="A21" s="8">
        <v>3</v>
      </c>
      <c r="B21" s="8">
        <v>0</v>
      </c>
      <c r="C21" s="8">
        <v>0</v>
      </c>
      <c r="D21" s="3">
        <v>825220028</v>
      </c>
      <c r="E21" s="3" t="s">
        <v>142</v>
      </c>
      <c r="F21" s="80" t="s">
        <v>21</v>
      </c>
      <c r="G21" s="81"/>
    </row>
    <row r="22" spans="1:8" ht="42.95" customHeight="1" x14ac:dyDescent="0.2">
      <c r="A22" s="8">
        <v>4</v>
      </c>
      <c r="B22" s="8">
        <v>0</v>
      </c>
      <c r="C22" s="8">
        <v>0</v>
      </c>
      <c r="D22" s="3">
        <v>825220167</v>
      </c>
      <c r="E22" s="3" t="s">
        <v>143</v>
      </c>
      <c r="F22" s="80" t="s">
        <v>27</v>
      </c>
      <c r="G22" s="81"/>
    </row>
    <row r="23" spans="1:8" ht="44.1" customHeight="1" x14ac:dyDescent="0.2">
      <c r="A23" s="8">
        <v>4</v>
      </c>
      <c r="B23" s="8">
        <v>0</v>
      </c>
      <c r="C23" s="8">
        <v>0</v>
      </c>
      <c r="D23" s="3">
        <v>535220097</v>
      </c>
      <c r="E23" s="3" t="s">
        <v>143</v>
      </c>
      <c r="F23" s="78" t="s">
        <v>30</v>
      </c>
      <c r="G23" s="79"/>
    </row>
    <row r="24" spans="1:8" ht="42.95" customHeight="1" x14ac:dyDescent="0.2">
      <c r="A24" s="8">
        <v>4</v>
      </c>
      <c r="B24" s="8">
        <v>0</v>
      </c>
      <c r="C24" s="8">
        <v>0</v>
      </c>
      <c r="D24" s="3">
        <v>535220105</v>
      </c>
      <c r="E24" s="3" t="s">
        <v>143</v>
      </c>
      <c r="F24" s="78" t="s">
        <v>30</v>
      </c>
      <c r="G24" s="79"/>
    </row>
    <row r="25" spans="1:8" ht="44.1" customHeight="1" x14ac:dyDescent="0.2">
      <c r="A25" s="8">
        <v>4</v>
      </c>
      <c r="B25" s="8">
        <v>0</v>
      </c>
      <c r="C25" s="8">
        <v>0</v>
      </c>
      <c r="D25" s="3">
        <v>535220127</v>
      </c>
      <c r="E25" s="3" t="s">
        <v>143</v>
      </c>
      <c r="F25" s="78" t="s">
        <v>30</v>
      </c>
      <c r="G25" s="79"/>
    </row>
    <row r="26" spans="1:8" ht="42.6" customHeight="1" x14ac:dyDescent="0.2">
      <c r="A26" s="8">
        <v>4</v>
      </c>
      <c r="B26" s="8">
        <v>0</v>
      </c>
      <c r="C26" s="8">
        <v>0</v>
      </c>
      <c r="D26" s="3">
        <v>535220130</v>
      </c>
      <c r="E26" s="3" t="s">
        <v>143</v>
      </c>
      <c r="F26" s="78" t="s">
        <v>30</v>
      </c>
      <c r="G26" s="79"/>
    </row>
    <row r="27" spans="1:8" ht="42.95" customHeight="1" x14ac:dyDescent="0.2">
      <c r="A27" s="8">
        <v>5</v>
      </c>
      <c r="B27" s="8">
        <v>0</v>
      </c>
      <c r="C27" s="8">
        <v>0</v>
      </c>
      <c r="D27" s="3">
        <v>535220009</v>
      </c>
      <c r="E27" s="3" t="s">
        <v>143</v>
      </c>
      <c r="F27" s="80" t="s">
        <v>35</v>
      </c>
      <c r="G27" s="81"/>
    </row>
    <row r="28" spans="1:8" ht="44.1" customHeight="1" x14ac:dyDescent="0.2">
      <c r="A28" s="8">
        <v>5</v>
      </c>
      <c r="B28" s="8">
        <v>0</v>
      </c>
      <c r="C28" s="8">
        <v>0</v>
      </c>
      <c r="D28" s="3">
        <v>535220011</v>
      </c>
      <c r="E28" s="3" t="s">
        <v>143</v>
      </c>
      <c r="F28" s="78" t="s">
        <v>38</v>
      </c>
      <c r="G28" s="79"/>
    </row>
    <row r="29" spans="1:8" ht="33" customHeight="1" x14ac:dyDescent="0.2">
      <c r="A29" s="8">
        <v>5</v>
      </c>
      <c r="B29" s="8">
        <v>0</v>
      </c>
      <c r="C29" s="8">
        <v>0</v>
      </c>
      <c r="D29" s="4">
        <v>535220026</v>
      </c>
      <c r="E29" s="3" t="s">
        <v>143</v>
      </c>
      <c r="F29" s="82" t="s">
        <v>35</v>
      </c>
      <c r="G29" s="83"/>
    </row>
    <row r="30" spans="1:8" ht="44.1" customHeight="1" x14ac:dyDescent="0.2">
      <c r="A30" s="8">
        <v>5</v>
      </c>
      <c r="B30" s="8">
        <v>0</v>
      </c>
      <c r="C30" s="8">
        <v>0</v>
      </c>
      <c r="D30" s="3">
        <v>535220072</v>
      </c>
      <c r="E30" s="3" t="s">
        <v>143</v>
      </c>
      <c r="F30" s="78" t="s">
        <v>38</v>
      </c>
      <c r="G30" s="79"/>
      <c r="H30" s="1"/>
    </row>
    <row r="31" spans="1:8" ht="43.7" customHeight="1" x14ac:dyDescent="0.2">
      <c r="A31" s="8">
        <v>5</v>
      </c>
      <c r="B31" s="8">
        <v>0</v>
      </c>
      <c r="C31" s="8">
        <v>0</v>
      </c>
      <c r="D31" s="3">
        <v>535220083</v>
      </c>
      <c r="E31" s="3" t="s">
        <v>143</v>
      </c>
      <c r="F31" s="78" t="s">
        <v>38</v>
      </c>
      <c r="G31" s="79"/>
      <c r="H31" s="1"/>
    </row>
    <row r="32" spans="1:8" ht="42.6" customHeight="1" x14ac:dyDescent="0.2">
      <c r="A32" s="8">
        <v>6</v>
      </c>
      <c r="B32" s="8">
        <v>0</v>
      </c>
      <c r="C32" s="8">
        <v>0</v>
      </c>
      <c r="D32" s="3">
        <v>535220086</v>
      </c>
      <c r="E32" s="3" t="s">
        <v>143</v>
      </c>
      <c r="F32" s="80" t="s">
        <v>43</v>
      </c>
      <c r="G32" s="81"/>
      <c r="H32" s="1"/>
    </row>
    <row r="33" spans="1:8" ht="44.1" customHeight="1" x14ac:dyDescent="0.2">
      <c r="A33" s="8">
        <v>6</v>
      </c>
      <c r="B33" s="8">
        <v>0</v>
      </c>
      <c r="C33" s="8">
        <v>0</v>
      </c>
      <c r="D33" s="3">
        <v>535220088</v>
      </c>
      <c r="E33" s="3" t="s">
        <v>143</v>
      </c>
      <c r="F33" s="78" t="s">
        <v>45</v>
      </c>
      <c r="G33" s="79"/>
      <c r="H33" s="1"/>
    </row>
    <row r="34" spans="1:8" ht="42.95" customHeight="1" x14ac:dyDescent="0.2">
      <c r="A34" s="8">
        <v>6</v>
      </c>
      <c r="B34" s="8">
        <v>0</v>
      </c>
      <c r="C34" s="8">
        <v>0</v>
      </c>
      <c r="D34" s="3">
        <v>535220107</v>
      </c>
      <c r="E34" s="3" t="s">
        <v>143</v>
      </c>
      <c r="F34" s="78" t="s">
        <v>45</v>
      </c>
      <c r="G34" s="79"/>
      <c r="H34" s="1"/>
    </row>
    <row r="35" spans="1:8" ht="44.1" customHeight="1" x14ac:dyDescent="0.2">
      <c r="A35" s="8">
        <v>6</v>
      </c>
      <c r="B35" s="8">
        <v>0</v>
      </c>
      <c r="C35" s="8">
        <v>0</v>
      </c>
      <c r="D35" s="3">
        <v>535220113</v>
      </c>
      <c r="E35" s="3" t="s">
        <v>143</v>
      </c>
      <c r="F35" s="78" t="s">
        <v>45</v>
      </c>
      <c r="G35" s="79"/>
      <c r="H35" s="1"/>
    </row>
    <row r="36" spans="1:8" ht="43.7" customHeight="1" x14ac:dyDescent="0.2">
      <c r="A36" s="8">
        <v>6</v>
      </c>
      <c r="B36" s="8">
        <v>0</v>
      </c>
      <c r="C36" s="8">
        <v>0</v>
      </c>
      <c r="D36" s="3">
        <v>535220114</v>
      </c>
      <c r="E36" s="3" t="s">
        <v>143</v>
      </c>
      <c r="F36" s="78" t="s">
        <v>45</v>
      </c>
      <c r="G36" s="79"/>
      <c r="H36" s="1"/>
    </row>
    <row r="37" spans="1:8" ht="44.1" customHeight="1" x14ac:dyDescent="0.2">
      <c r="A37" s="8">
        <v>0</v>
      </c>
      <c r="B37" s="8">
        <v>1</v>
      </c>
      <c r="C37" s="8">
        <v>0</v>
      </c>
      <c r="D37" s="3">
        <v>535220062</v>
      </c>
      <c r="E37" s="3" t="s">
        <v>142</v>
      </c>
      <c r="F37" s="80" t="s">
        <v>49</v>
      </c>
      <c r="G37" s="81"/>
      <c r="H37" s="1"/>
    </row>
    <row r="38" spans="1:8" ht="44.1" customHeight="1" x14ac:dyDescent="0.2">
      <c r="A38" s="8">
        <v>0</v>
      </c>
      <c r="B38" s="8">
        <v>1</v>
      </c>
      <c r="C38" s="8">
        <v>0</v>
      </c>
      <c r="D38" s="3">
        <v>535220063</v>
      </c>
      <c r="E38" s="3" t="s">
        <v>142</v>
      </c>
      <c r="F38" s="80" t="s">
        <v>49</v>
      </c>
      <c r="G38" s="81"/>
      <c r="H38" s="1"/>
    </row>
    <row r="39" spans="1:8" ht="44.1" customHeight="1" x14ac:dyDescent="0.2">
      <c r="A39" s="8">
        <v>0</v>
      </c>
      <c r="B39" s="8">
        <v>1</v>
      </c>
      <c r="C39" s="8">
        <v>0</v>
      </c>
      <c r="D39" s="3">
        <v>535220071</v>
      </c>
      <c r="E39" s="3" t="s">
        <v>142</v>
      </c>
      <c r="F39" s="80" t="s">
        <v>49</v>
      </c>
      <c r="G39" s="81"/>
    </row>
    <row r="40" spans="1:8" ht="42.95" customHeight="1" x14ac:dyDescent="0.2">
      <c r="A40" s="8">
        <v>0</v>
      </c>
      <c r="B40" s="8">
        <v>1</v>
      </c>
      <c r="C40" s="8">
        <v>0</v>
      </c>
      <c r="D40" s="3">
        <v>535220123</v>
      </c>
      <c r="E40" s="3" t="s">
        <v>142</v>
      </c>
      <c r="F40" s="80" t="s">
        <v>49</v>
      </c>
      <c r="G40" s="81"/>
    </row>
    <row r="41" spans="1:8" ht="43.5" customHeight="1" x14ac:dyDescent="0.2">
      <c r="A41" s="8">
        <v>0</v>
      </c>
      <c r="B41" s="8">
        <v>1</v>
      </c>
      <c r="C41" s="8">
        <v>0</v>
      </c>
      <c r="D41" s="3">
        <v>535220126</v>
      </c>
      <c r="E41" s="3" t="s">
        <v>142</v>
      </c>
      <c r="F41" s="80" t="s">
        <v>49</v>
      </c>
      <c r="G41" s="81"/>
    </row>
    <row r="42" spans="1:8" ht="42.95" customHeight="1" x14ac:dyDescent="0.2">
      <c r="A42" s="8">
        <v>1</v>
      </c>
      <c r="B42" s="8">
        <v>1</v>
      </c>
      <c r="C42" s="8">
        <v>0</v>
      </c>
      <c r="D42" s="3">
        <v>535220129</v>
      </c>
      <c r="E42" s="3" t="s">
        <v>142</v>
      </c>
      <c r="F42" s="80" t="s">
        <v>50</v>
      </c>
      <c r="G42" s="81"/>
    </row>
    <row r="43" spans="1:8" ht="44.1" customHeight="1" x14ac:dyDescent="0.2">
      <c r="A43" s="8">
        <v>1</v>
      </c>
      <c r="B43" s="8">
        <v>1</v>
      </c>
      <c r="C43" s="8">
        <v>0</v>
      </c>
      <c r="D43" s="3">
        <v>535220131</v>
      </c>
      <c r="E43" s="3" t="s">
        <v>142</v>
      </c>
      <c r="F43" s="78" t="s">
        <v>51</v>
      </c>
      <c r="G43" s="79"/>
    </row>
    <row r="44" spans="1:8" ht="42.95" customHeight="1" x14ac:dyDescent="0.2">
      <c r="A44" s="8">
        <v>1</v>
      </c>
      <c r="B44" s="8">
        <v>1</v>
      </c>
      <c r="C44" s="8">
        <v>0</v>
      </c>
      <c r="D44" s="3">
        <v>535220186</v>
      </c>
      <c r="E44" s="3" t="s">
        <v>142</v>
      </c>
      <c r="F44" s="78" t="s">
        <v>51</v>
      </c>
      <c r="G44" s="79"/>
    </row>
    <row r="45" spans="1:8" ht="44.1" customHeight="1" x14ac:dyDescent="0.2">
      <c r="A45" s="8">
        <v>1</v>
      </c>
      <c r="B45" s="8">
        <v>1</v>
      </c>
      <c r="C45" s="8">
        <v>0</v>
      </c>
      <c r="D45" s="3">
        <v>535220187</v>
      </c>
      <c r="E45" s="3" t="s">
        <v>142</v>
      </c>
      <c r="F45" s="78" t="s">
        <v>51</v>
      </c>
      <c r="G45" s="79"/>
    </row>
    <row r="46" spans="1:8" ht="42.6" customHeight="1" x14ac:dyDescent="0.2">
      <c r="A46" s="8">
        <v>1</v>
      </c>
      <c r="B46" s="8">
        <v>1</v>
      </c>
      <c r="C46" s="8">
        <v>0</v>
      </c>
      <c r="D46" s="3">
        <v>535220198</v>
      </c>
      <c r="E46" s="3" t="s">
        <v>142</v>
      </c>
      <c r="F46" s="78" t="s">
        <v>51</v>
      </c>
      <c r="G46" s="79"/>
    </row>
    <row r="47" spans="1:8" ht="42.95" customHeight="1" x14ac:dyDescent="0.2">
      <c r="A47" s="8">
        <v>2</v>
      </c>
      <c r="B47" s="8">
        <v>1</v>
      </c>
      <c r="C47" s="8">
        <v>0</v>
      </c>
      <c r="D47" s="3">
        <v>535220204</v>
      </c>
      <c r="E47" s="3" t="s">
        <v>142</v>
      </c>
      <c r="F47" s="80" t="s">
        <v>49</v>
      </c>
      <c r="G47" s="81"/>
    </row>
    <row r="48" spans="1:8" ht="44.1" customHeight="1" x14ac:dyDescent="0.2">
      <c r="A48" s="8">
        <v>2</v>
      </c>
      <c r="B48" s="8">
        <v>1</v>
      </c>
      <c r="C48" s="8">
        <v>0</v>
      </c>
      <c r="D48" s="3">
        <v>535220006</v>
      </c>
      <c r="E48" s="3" t="s">
        <v>142</v>
      </c>
      <c r="F48" s="78" t="s">
        <v>52</v>
      </c>
      <c r="G48" s="79"/>
    </row>
    <row r="49" spans="1:7" ht="33" customHeight="1" x14ac:dyDescent="0.2">
      <c r="A49" s="8">
        <v>2</v>
      </c>
      <c r="B49" s="8">
        <v>1</v>
      </c>
      <c r="C49" s="8">
        <v>0</v>
      </c>
      <c r="D49" s="4">
        <v>535220007</v>
      </c>
      <c r="E49" s="3" t="s">
        <v>142</v>
      </c>
      <c r="F49" s="82" t="s">
        <v>53</v>
      </c>
      <c r="G49" s="83"/>
    </row>
    <row r="50" spans="1:7" ht="44.1" customHeight="1" x14ac:dyDescent="0.2">
      <c r="A50" s="8">
        <v>2</v>
      </c>
      <c r="B50" s="8">
        <v>1</v>
      </c>
      <c r="C50" s="8">
        <v>0</v>
      </c>
      <c r="D50" s="3">
        <v>535220012</v>
      </c>
      <c r="E50" s="3" t="s">
        <v>142</v>
      </c>
      <c r="F50" s="78" t="s">
        <v>52</v>
      </c>
      <c r="G50" s="79"/>
    </row>
    <row r="51" spans="1:7" ht="43.5" customHeight="1" x14ac:dyDescent="0.2">
      <c r="A51" s="8">
        <v>2</v>
      </c>
      <c r="B51" s="8">
        <v>1</v>
      </c>
      <c r="C51" s="8">
        <v>0</v>
      </c>
      <c r="D51" s="3">
        <v>535220055</v>
      </c>
      <c r="E51" s="3" t="s">
        <v>142</v>
      </c>
      <c r="F51" s="78" t="s">
        <v>52</v>
      </c>
      <c r="G51" s="79"/>
    </row>
    <row r="52" spans="1:7" ht="42.95" customHeight="1" x14ac:dyDescent="0.2">
      <c r="A52" s="8">
        <v>3</v>
      </c>
      <c r="B52" s="8">
        <v>1</v>
      </c>
      <c r="C52" s="8">
        <v>0</v>
      </c>
      <c r="D52" s="3">
        <v>535220065</v>
      </c>
      <c r="E52" s="3" t="s">
        <v>142</v>
      </c>
      <c r="F52" s="80" t="s">
        <v>54</v>
      </c>
      <c r="G52" s="81"/>
    </row>
    <row r="53" spans="1:7" ht="44.1" customHeight="1" x14ac:dyDescent="0.2">
      <c r="A53" s="8">
        <v>3</v>
      </c>
      <c r="B53" s="8">
        <v>1</v>
      </c>
      <c r="C53" s="8">
        <v>0</v>
      </c>
      <c r="D53" s="3">
        <v>535220066</v>
      </c>
      <c r="E53" s="3" t="s">
        <v>142</v>
      </c>
      <c r="F53" s="80" t="s">
        <v>54</v>
      </c>
      <c r="G53" s="81"/>
    </row>
    <row r="54" spans="1:7" ht="42.95" customHeight="1" x14ac:dyDescent="0.2">
      <c r="A54" s="8">
        <v>3</v>
      </c>
      <c r="B54" s="8">
        <v>1</v>
      </c>
      <c r="C54" s="8">
        <v>0</v>
      </c>
      <c r="D54" s="3">
        <v>535220067</v>
      </c>
      <c r="E54" s="3" t="s">
        <v>142</v>
      </c>
      <c r="F54" s="80" t="s">
        <v>54</v>
      </c>
      <c r="G54" s="81"/>
    </row>
    <row r="55" spans="1:7" ht="44.1" customHeight="1" x14ac:dyDescent="0.2">
      <c r="A55" s="8">
        <v>3</v>
      </c>
      <c r="B55" s="8">
        <v>1</v>
      </c>
      <c r="C55" s="8">
        <v>0</v>
      </c>
      <c r="D55" s="3">
        <v>535220134</v>
      </c>
      <c r="E55" s="3" t="s">
        <v>142</v>
      </c>
      <c r="F55" s="80" t="s">
        <v>54</v>
      </c>
      <c r="G55" s="81"/>
    </row>
    <row r="56" spans="1:7" ht="42.6" customHeight="1" x14ac:dyDescent="0.2">
      <c r="A56" s="8">
        <v>3</v>
      </c>
      <c r="B56" s="8">
        <v>1</v>
      </c>
      <c r="C56" s="8">
        <v>0</v>
      </c>
      <c r="D56" s="3">
        <v>535220135</v>
      </c>
      <c r="E56" s="3" t="s">
        <v>142</v>
      </c>
      <c r="F56" s="80" t="s">
        <v>54</v>
      </c>
      <c r="G56" s="81"/>
    </row>
    <row r="57" spans="1:7" ht="44.1" customHeight="1" x14ac:dyDescent="0.2">
      <c r="A57" s="8">
        <v>4</v>
      </c>
      <c r="B57" s="8">
        <v>1</v>
      </c>
      <c r="C57" s="8">
        <v>0</v>
      </c>
      <c r="D57" s="3">
        <v>535220115</v>
      </c>
      <c r="E57" s="3" t="s">
        <v>143</v>
      </c>
      <c r="F57" s="78" t="s">
        <v>55</v>
      </c>
      <c r="G57" s="79"/>
    </row>
    <row r="58" spans="1:7" ht="44.1" customHeight="1" x14ac:dyDescent="0.2">
      <c r="A58" s="8">
        <v>4</v>
      </c>
      <c r="B58" s="8">
        <v>1</v>
      </c>
      <c r="C58" s="8">
        <v>0</v>
      </c>
      <c r="D58" s="3">
        <v>535220116</v>
      </c>
      <c r="E58" s="3" t="s">
        <v>143</v>
      </c>
      <c r="F58" s="78" t="s">
        <v>55</v>
      </c>
      <c r="G58" s="79"/>
    </row>
    <row r="59" spans="1:7" ht="42.95" customHeight="1" x14ac:dyDescent="0.2">
      <c r="A59" s="8">
        <v>4</v>
      </c>
      <c r="B59" s="8">
        <v>1</v>
      </c>
      <c r="C59" s="8">
        <v>0</v>
      </c>
      <c r="D59" s="3">
        <v>535220118</v>
      </c>
      <c r="E59" s="3" t="s">
        <v>143</v>
      </c>
      <c r="F59" s="80" t="s">
        <v>56</v>
      </c>
      <c r="G59" s="81"/>
    </row>
    <row r="60" spans="1:7" ht="42.75" customHeight="1" x14ac:dyDescent="0.2">
      <c r="A60" s="8">
        <v>4</v>
      </c>
      <c r="B60" s="8">
        <v>1</v>
      </c>
      <c r="C60" s="8">
        <v>0</v>
      </c>
      <c r="D60" s="11">
        <v>535220124</v>
      </c>
      <c r="E60" s="3" t="s">
        <v>143</v>
      </c>
      <c r="F60" s="80" t="s">
        <v>56</v>
      </c>
      <c r="G60" s="81"/>
    </row>
    <row r="61" spans="1:7" ht="43.5" customHeight="1" x14ac:dyDescent="0.2">
      <c r="A61" s="8">
        <v>4</v>
      </c>
      <c r="B61" s="8">
        <v>1</v>
      </c>
      <c r="C61" s="8">
        <v>0</v>
      </c>
      <c r="D61" s="3">
        <v>535220125</v>
      </c>
      <c r="E61" s="3" t="s">
        <v>143</v>
      </c>
      <c r="F61" s="78" t="s">
        <v>55</v>
      </c>
      <c r="G61" s="79"/>
    </row>
    <row r="62" spans="1:7" ht="42.95" customHeight="1" x14ac:dyDescent="0.2">
      <c r="A62" s="8">
        <v>5</v>
      </c>
      <c r="B62" s="8">
        <v>1</v>
      </c>
      <c r="C62" s="8">
        <v>0</v>
      </c>
      <c r="D62" s="3">
        <v>535220244</v>
      </c>
      <c r="E62" s="3" t="s">
        <v>143</v>
      </c>
      <c r="F62" s="80" t="s">
        <v>57</v>
      </c>
      <c r="G62" s="81"/>
    </row>
    <row r="63" spans="1:7" ht="44.1" customHeight="1" x14ac:dyDescent="0.2">
      <c r="A63" s="8">
        <v>5</v>
      </c>
      <c r="B63" s="8">
        <v>1</v>
      </c>
      <c r="C63" s="8">
        <v>0</v>
      </c>
      <c r="D63" s="3">
        <v>535220267</v>
      </c>
      <c r="E63" s="3" t="s">
        <v>143</v>
      </c>
      <c r="F63" s="78" t="s">
        <v>58</v>
      </c>
      <c r="G63" s="79"/>
    </row>
    <row r="64" spans="1:7" ht="42.95" customHeight="1" x14ac:dyDescent="0.2">
      <c r="A64" s="8">
        <v>5</v>
      </c>
      <c r="B64" s="8">
        <v>1</v>
      </c>
      <c r="C64" s="8">
        <v>0</v>
      </c>
      <c r="D64" s="3">
        <v>825220145</v>
      </c>
      <c r="E64" s="3" t="s">
        <v>143</v>
      </c>
      <c r="F64" s="80" t="s">
        <v>59</v>
      </c>
      <c r="G64" s="81"/>
    </row>
    <row r="65" spans="1:8" ht="44.1" customHeight="1" x14ac:dyDescent="0.2">
      <c r="A65" s="8">
        <v>5</v>
      </c>
      <c r="B65" s="8">
        <v>1</v>
      </c>
      <c r="C65" s="8">
        <v>0</v>
      </c>
      <c r="D65" s="3">
        <v>825220148</v>
      </c>
      <c r="E65" s="3" t="s">
        <v>143</v>
      </c>
      <c r="F65" s="78" t="s">
        <v>60</v>
      </c>
      <c r="G65" s="79"/>
    </row>
    <row r="66" spans="1:8" ht="42.6" customHeight="1" x14ac:dyDescent="0.2">
      <c r="A66" s="8">
        <v>5</v>
      </c>
      <c r="B66" s="8">
        <v>1</v>
      </c>
      <c r="C66" s="8">
        <v>0</v>
      </c>
      <c r="D66" s="3">
        <v>825220150</v>
      </c>
      <c r="E66" s="3" t="s">
        <v>143</v>
      </c>
      <c r="F66" s="78" t="s">
        <v>60</v>
      </c>
      <c r="G66" s="79"/>
    </row>
    <row r="67" spans="1:8" ht="44.1" customHeight="1" x14ac:dyDescent="0.2">
      <c r="A67" s="8">
        <v>6</v>
      </c>
      <c r="B67" s="8">
        <v>1</v>
      </c>
      <c r="C67" s="8">
        <v>0</v>
      </c>
      <c r="D67" s="3">
        <v>825220181</v>
      </c>
      <c r="E67" s="3" t="s">
        <v>143</v>
      </c>
      <c r="F67" s="78" t="s">
        <v>61</v>
      </c>
      <c r="G67" s="79"/>
    </row>
    <row r="68" spans="1:8" ht="44.1" customHeight="1" x14ac:dyDescent="0.2">
      <c r="A68" s="8">
        <v>6</v>
      </c>
      <c r="B68" s="8">
        <v>1</v>
      </c>
      <c r="C68" s="8">
        <v>0</v>
      </c>
      <c r="D68" s="3">
        <v>825239201</v>
      </c>
      <c r="E68" s="3" t="s">
        <v>143</v>
      </c>
      <c r="F68" s="78" t="s">
        <v>61</v>
      </c>
      <c r="G68" s="79"/>
    </row>
    <row r="69" spans="1:8" ht="42.95" customHeight="1" x14ac:dyDescent="0.2">
      <c r="A69" s="8">
        <v>6</v>
      </c>
      <c r="B69" s="8">
        <v>1</v>
      </c>
      <c r="C69" s="8">
        <v>0</v>
      </c>
      <c r="D69" s="3">
        <v>535220037</v>
      </c>
      <c r="E69" s="3" t="s">
        <v>142</v>
      </c>
      <c r="F69" s="80" t="s">
        <v>62</v>
      </c>
      <c r="G69" s="81"/>
    </row>
    <row r="70" spans="1:8" ht="43.7" customHeight="1" x14ac:dyDescent="0.2">
      <c r="A70" s="8">
        <v>6</v>
      </c>
      <c r="B70" s="8">
        <v>1</v>
      </c>
      <c r="C70" s="8">
        <v>0</v>
      </c>
      <c r="D70" s="3">
        <v>535220040</v>
      </c>
      <c r="E70" s="3" t="s">
        <v>142</v>
      </c>
      <c r="F70" s="78" t="s">
        <v>63</v>
      </c>
      <c r="G70" s="79"/>
    </row>
    <row r="71" spans="1:8" ht="43.7" customHeight="1" x14ac:dyDescent="0.2">
      <c r="A71" s="8">
        <v>6</v>
      </c>
      <c r="B71" s="8">
        <v>1</v>
      </c>
      <c r="C71" s="8">
        <v>0</v>
      </c>
      <c r="D71" s="3">
        <v>535220064</v>
      </c>
      <c r="E71" s="3" t="s">
        <v>142</v>
      </c>
      <c r="F71" s="78" t="s">
        <v>63</v>
      </c>
      <c r="G71" s="79"/>
      <c r="H71" s="1"/>
    </row>
    <row r="72" spans="1:8" ht="42.95" customHeight="1" x14ac:dyDescent="0.2">
      <c r="A72" s="8">
        <v>0</v>
      </c>
      <c r="B72" s="8">
        <v>1</v>
      </c>
      <c r="C72" s="8">
        <v>1</v>
      </c>
      <c r="D72" s="3">
        <v>535220096</v>
      </c>
      <c r="E72" s="3" t="s">
        <v>142</v>
      </c>
      <c r="F72" s="80" t="s">
        <v>64</v>
      </c>
      <c r="G72" s="81"/>
      <c r="H72" s="1"/>
    </row>
    <row r="73" spans="1:8" ht="44.1" customHeight="1" x14ac:dyDescent="0.2">
      <c r="A73" s="8">
        <v>0</v>
      </c>
      <c r="B73" s="8">
        <v>1</v>
      </c>
      <c r="C73" s="8">
        <v>1</v>
      </c>
      <c r="D73" s="3">
        <v>535220101</v>
      </c>
      <c r="E73" s="3" t="s">
        <v>142</v>
      </c>
      <c r="F73" s="80" t="s">
        <v>64</v>
      </c>
      <c r="G73" s="81"/>
      <c r="H73" s="1"/>
    </row>
    <row r="74" spans="1:8" ht="42.95" customHeight="1" x14ac:dyDescent="0.2">
      <c r="A74" s="8">
        <v>0</v>
      </c>
      <c r="B74" s="8">
        <v>1</v>
      </c>
      <c r="C74" s="8">
        <v>1</v>
      </c>
      <c r="D74" s="3">
        <v>535220103</v>
      </c>
      <c r="E74" s="3" t="s">
        <v>142</v>
      </c>
      <c r="F74" s="80" t="s">
        <v>64</v>
      </c>
      <c r="G74" s="81"/>
      <c r="H74" s="1"/>
    </row>
    <row r="75" spans="1:8" ht="44.1" customHeight="1" x14ac:dyDescent="0.2">
      <c r="A75" s="8">
        <v>0</v>
      </c>
      <c r="B75" s="8">
        <v>1</v>
      </c>
      <c r="C75" s="8">
        <v>1</v>
      </c>
      <c r="D75" s="3">
        <v>535220082</v>
      </c>
      <c r="E75" s="3" t="s">
        <v>142</v>
      </c>
      <c r="F75" s="78" t="s">
        <v>66</v>
      </c>
      <c r="G75" s="79"/>
      <c r="H75" s="1"/>
    </row>
    <row r="76" spans="1:8" ht="43.7" customHeight="1" x14ac:dyDescent="0.2">
      <c r="A76" s="8">
        <v>0</v>
      </c>
      <c r="B76" s="8">
        <v>1</v>
      </c>
      <c r="C76" s="8">
        <v>1</v>
      </c>
      <c r="D76" s="3">
        <v>535220133</v>
      </c>
      <c r="E76" s="3" t="s">
        <v>142</v>
      </c>
      <c r="F76" s="78" t="s">
        <v>66</v>
      </c>
      <c r="G76" s="79"/>
      <c r="H76" s="1"/>
    </row>
    <row r="77" spans="1:8" ht="43.5" customHeight="1" x14ac:dyDescent="0.2">
      <c r="A77" s="8">
        <v>1</v>
      </c>
      <c r="B77" s="8">
        <v>1</v>
      </c>
      <c r="C77" s="8">
        <v>1</v>
      </c>
      <c r="D77" s="3">
        <v>535220149</v>
      </c>
      <c r="E77" s="3" t="s">
        <v>142</v>
      </c>
      <c r="F77" s="78" t="s">
        <v>67</v>
      </c>
      <c r="G77" s="79"/>
      <c r="H77" s="1"/>
    </row>
    <row r="78" spans="1:8" ht="42.95" customHeight="1" x14ac:dyDescent="0.2">
      <c r="A78" s="8">
        <v>1</v>
      </c>
      <c r="B78" s="8">
        <v>1</v>
      </c>
      <c r="C78" s="8">
        <v>1</v>
      </c>
      <c r="D78" s="3">
        <v>535220058</v>
      </c>
      <c r="E78" s="3" t="s">
        <v>142</v>
      </c>
      <c r="F78" s="80" t="s">
        <v>68</v>
      </c>
      <c r="G78" s="81"/>
      <c r="H78" s="1"/>
    </row>
    <row r="79" spans="1:8" ht="44.1" customHeight="1" x14ac:dyDescent="0.2">
      <c r="A79" s="8">
        <v>1</v>
      </c>
      <c r="B79" s="8">
        <v>1</v>
      </c>
      <c r="C79" s="8">
        <v>1</v>
      </c>
      <c r="D79" s="3">
        <v>535220059</v>
      </c>
      <c r="E79" s="3" t="s">
        <v>142</v>
      </c>
      <c r="F79" s="80" t="s">
        <v>68</v>
      </c>
      <c r="G79" s="81"/>
      <c r="H79" s="1"/>
    </row>
    <row r="80" spans="1:8" ht="33.75" customHeight="1" x14ac:dyDescent="0.2">
      <c r="A80" s="8">
        <v>1</v>
      </c>
      <c r="B80" s="8">
        <v>1</v>
      </c>
      <c r="C80" s="8">
        <v>1</v>
      </c>
      <c r="D80" s="4">
        <v>535220069</v>
      </c>
      <c r="E80" s="3" t="s">
        <v>142</v>
      </c>
      <c r="F80" s="80" t="s">
        <v>68</v>
      </c>
      <c r="G80" s="81"/>
      <c r="H80" s="2"/>
    </row>
    <row r="81" spans="1:8" ht="43.5" customHeight="1" x14ac:dyDescent="0.2">
      <c r="A81" s="8">
        <v>1</v>
      </c>
      <c r="B81" s="8">
        <v>1</v>
      </c>
      <c r="C81" s="8">
        <v>1</v>
      </c>
      <c r="D81" s="3">
        <v>535220110</v>
      </c>
      <c r="E81" s="3" t="s">
        <v>142</v>
      </c>
      <c r="F81" s="80" t="s">
        <v>68</v>
      </c>
      <c r="G81" s="81"/>
    </row>
    <row r="82" spans="1:8" ht="42.95" customHeight="1" x14ac:dyDescent="0.2">
      <c r="A82" s="8">
        <v>2</v>
      </c>
      <c r="B82" s="8">
        <v>1</v>
      </c>
      <c r="C82" s="8">
        <v>1</v>
      </c>
      <c r="D82" s="3">
        <v>535220117</v>
      </c>
      <c r="E82" s="3" t="s">
        <v>142</v>
      </c>
      <c r="F82" s="80" t="s">
        <v>69</v>
      </c>
      <c r="G82" s="81"/>
    </row>
    <row r="83" spans="1:8" ht="44.1" customHeight="1" x14ac:dyDescent="0.2">
      <c r="A83" s="8">
        <v>2</v>
      </c>
      <c r="B83" s="8">
        <v>1</v>
      </c>
      <c r="C83" s="8">
        <v>1</v>
      </c>
      <c r="D83" s="3">
        <v>535220177</v>
      </c>
      <c r="E83" s="3" t="s">
        <v>142</v>
      </c>
      <c r="F83" s="80" t="s">
        <v>69</v>
      </c>
      <c r="G83" s="81"/>
    </row>
    <row r="84" spans="1:8" ht="42.95" customHeight="1" x14ac:dyDescent="0.2">
      <c r="A84" s="8">
        <v>2</v>
      </c>
      <c r="B84" s="8">
        <v>1</v>
      </c>
      <c r="C84" s="8">
        <v>1</v>
      </c>
      <c r="D84" s="3">
        <v>535220180</v>
      </c>
      <c r="E84" s="3" t="s">
        <v>142</v>
      </c>
      <c r="F84" s="80" t="s">
        <v>69</v>
      </c>
      <c r="G84" s="81"/>
    </row>
    <row r="85" spans="1:8" ht="44.1" customHeight="1" x14ac:dyDescent="0.2">
      <c r="A85" s="8">
        <v>2</v>
      </c>
      <c r="B85" s="8">
        <v>1</v>
      </c>
      <c r="C85" s="8">
        <v>1</v>
      </c>
      <c r="D85" s="3">
        <v>535220181</v>
      </c>
      <c r="E85" s="3" t="s">
        <v>142</v>
      </c>
      <c r="F85" s="80" t="s">
        <v>69</v>
      </c>
      <c r="G85" s="81"/>
    </row>
    <row r="86" spans="1:8" ht="42.6" customHeight="1" x14ac:dyDescent="0.2">
      <c r="A86" s="8">
        <v>2</v>
      </c>
      <c r="B86" s="8">
        <v>1</v>
      </c>
      <c r="C86" s="8">
        <v>1</v>
      </c>
      <c r="D86" s="3">
        <v>535220263</v>
      </c>
      <c r="E86" s="3" t="s">
        <v>142</v>
      </c>
      <c r="F86" s="80" t="s">
        <v>69</v>
      </c>
      <c r="G86" s="81"/>
    </row>
    <row r="87" spans="1:8" ht="44.1" customHeight="1" x14ac:dyDescent="0.2">
      <c r="A87" s="8">
        <v>3</v>
      </c>
      <c r="B87" s="8">
        <v>1</v>
      </c>
      <c r="C87" s="8">
        <v>1</v>
      </c>
      <c r="D87" s="3">
        <v>535220093</v>
      </c>
      <c r="E87" s="3" t="s">
        <v>142</v>
      </c>
      <c r="F87" s="78" t="s">
        <v>70</v>
      </c>
      <c r="G87" s="79"/>
    </row>
    <row r="88" spans="1:8" ht="44.1" customHeight="1" x14ac:dyDescent="0.2">
      <c r="A88" s="8">
        <v>3</v>
      </c>
      <c r="B88" s="8">
        <v>1</v>
      </c>
      <c r="C88" s="8">
        <v>1</v>
      </c>
      <c r="D88" s="3">
        <v>535220095</v>
      </c>
      <c r="E88" s="3" t="s">
        <v>142</v>
      </c>
      <c r="F88" s="78" t="s">
        <v>70</v>
      </c>
      <c r="G88" s="79"/>
    </row>
    <row r="89" spans="1:8" ht="42.95" customHeight="1" x14ac:dyDescent="0.2">
      <c r="A89" s="8">
        <v>3</v>
      </c>
      <c r="B89" s="8">
        <v>1</v>
      </c>
      <c r="C89" s="8">
        <v>1</v>
      </c>
      <c r="D89" s="3">
        <v>535220112</v>
      </c>
      <c r="E89" s="3" t="s">
        <v>142</v>
      </c>
      <c r="F89" s="80" t="s">
        <v>71</v>
      </c>
      <c r="G89" s="81"/>
    </row>
    <row r="90" spans="1:8" ht="43.7" customHeight="1" x14ac:dyDescent="0.2">
      <c r="A90" s="8">
        <v>3</v>
      </c>
      <c r="B90" s="8">
        <v>1</v>
      </c>
      <c r="C90" s="8">
        <v>1</v>
      </c>
      <c r="D90" s="3">
        <v>535220207</v>
      </c>
      <c r="E90" s="3" t="s">
        <v>142</v>
      </c>
      <c r="F90" s="78" t="s">
        <v>70</v>
      </c>
      <c r="G90" s="79"/>
    </row>
    <row r="91" spans="1:8" ht="43.7" customHeight="1" x14ac:dyDescent="0.2">
      <c r="A91" s="8">
        <v>3</v>
      </c>
      <c r="B91" s="8">
        <v>1</v>
      </c>
      <c r="C91" s="8">
        <v>1</v>
      </c>
      <c r="D91" s="3">
        <v>535220245</v>
      </c>
      <c r="E91" s="3" t="s">
        <v>142</v>
      </c>
      <c r="F91" s="78" t="s">
        <v>70</v>
      </c>
      <c r="G91" s="79"/>
      <c r="H91" s="1"/>
    </row>
    <row r="92" spans="1:8" ht="42.95" customHeight="1" x14ac:dyDescent="0.2">
      <c r="A92" s="8">
        <v>4</v>
      </c>
      <c r="B92" s="8">
        <v>1</v>
      </c>
      <c r="C92" s="8">
        <v>1</v>
      </c>
      <c r="D92" s="3">
        <v>535200033</v>
      </c>
      <c r="E92" s="3" t="s">
        <v>143</v>
      </c>
      <c r="F92" s="80" t="s">
        <v>72</v>
      </c>
      <c r="G92" s="81"/>
      <c r="H92" s="1"/>
    </row>
    <row r="93" spans="1:8" ht="44.1" customHeight="1" x14ac:dyDescent="0.2">
      <c r="A93" s="8">
        <v>4</v>
      </c>
      <c r="B93" s="8">
        <v>1</v>
      </c>
      <c r="C93" s="8">
        <v>1</v>
      </c>
      <c r="D93" s="3">
        <v>825220006</v>
      </c>
      <c r="E93" s="3" t="s">
        <v>143</v>
      </c>
      <c r="F93" s="80" t="s">
        <v>73</v>
      </c>
      <c r="G93" s="81"/>
      <c r="H93" s="1"/>
    </row>
    <row r="94" spans="1:8" ht="42.95" customHeight="1" x14ac:dyDescent="0.2">
      <c r="A94" s="8">
        <v>4</v>
      </c>
      <c r="B94" s="8">
        <v>1</v>
      </c>
      <c r="C94" s="8">
        <v>1</v>
      </c>
      <c r="D94" s="3">
        <v>825220011</v>
      </c>
      <c r="E94" s="3" t="s">
        <v>143</v>
      </c>
      <c r="F94" s="80" t="s">
        <v>73</v>
      </c>
      <c r="G94" s="81"/>
      <c r="H94" s="1"/>
    </row>
    <row r="95" spans="1:8" ht="44.1" customHeight="1" x14ac:dyDescent="0.2">
      <c r="A95" s="8">
        <v>4</v>
      </c>
      <c r="B95" s="8">
        <v>1</v>
      </c>
      <c r="C95" s="8">
        <v>1</v>
      </c>
      <c r="D95" s="3">
        <v>825220002</v>
      </c>
      <c r="E95" s="3" t="s">
        <v>142</v>
      </c>
      <c r="F95" s="80" t="s">
        <v>73</v>
      </c>
      <c r="G95" s="81"/>
      <c r="H95" s="1"/>
    </row>
    <row r="96" spans="1:8" ht="43.7" customHeight="1" x14ac:dyDescent="0.2">
      <c r="A96" s="8">
        <v>4</v>
      </c>
      <c r="B96" s="8">
        <v>1</v>
      </c>
      <c r="C96" s="8">
        <v>1</v>
      </c>
      <c r="D96" s="3">
        <v>825220009</v>
      </c>
      <c r="E96" s="3" t="s">
        <v>142</v>
      </c>
      <c r="F96" s="80" t="s">
        <v>73</v>
      </c>
      <c r="G96" s="81"/>
      <c r="H96" s="1"/>
    </row>
    <row r="97" spans="1:8" ht="43.5" customHeight="1" x14ac:dyDescent="0.2">
      <c r="A97" s="8">
        <v>5</v>
      </c>
      <c r="B97" s="8">
        <v>1</v>
      </c>
      <c r="C97" s="8">
        <v>1</v>
      </c>
      <c r="D97" s="3">
        <v>535220022</v>
      </c>
      <c r="E97" s="3" t="s">
        <v>142</v>
      </c>
      <c r="F97" s="78" t="s">
        <v>74</v>
      </c>
      <c r="G97" s="79"/>
      <c r="H97" s="1"/>
    </row>
    <row r="98" spans="1:8" ht="44.1" customHeight="1" x14ac:dyDescent="0.2">
      <c r="A98" s="8">
        <v>5</v>
      </c>
      <c r="B98" s="8">
        <v>1</v>
      </c>
      <c r="C98" s="8">
        <v>1</v>
      </c>
      <c r="D98" s="3">
        <v>535220023</v>
      </c>
      <c r="E98" s="3" t="s">
        <v>142</v>
      </c>
      <c r="F98" s="78" t="s">
        <v>74</v>
      </c>
      <c r="G98" s="79"/>
      <c r="H98" s="1"/>
    </row>
    <row r="99" spans="1:8" ht="42.95" customHeight="1" x14ac:dyDescent="0.2">
      <c r="A99" s="8">
        <v>5</v>
      </c>
      <c r="B99" s="8">
        <v>1</v>
      </c>
      <c r="C99" s="8">
        <v>1</v>
      </c>
      <c r="D99" s="3">
        <v>535220028</v>
      </c>
      <c r="E99" s="3" t="s">
        <v>142</v>
      </c>
      <c r="F99" s="80" t="s">
        <v>72</v>
      </c>
      <c r="G99" s="81"/>
      <c r="H99" s="1"/>
    </row>
    <row r="100" spans="1:8" ht="44.1" customHeight="1" x14ac:dyDescent="0.2">
      <c r="A100" s="8">
        <v>5</v>
      </c>
      <c r="B100" s="8">
        <v>1</v>
      </c>
      <c r="C100" s="8">
        <v>1</v>
      </c>
      <c r="D100" s="3">
        <v>535220031</v>
      </c>
      <c r="E100" s="3" t="s">
        <v>142</v>
      </c>
      <c r="F100" s="78" t="s">
        <v>74</v>
      </c>
      <c r="G100" s="79"/>
      <c r="H100" s="1"/>
    </row>
    <row r="101" spans="1:8" ht="33" customHeight="1" x14ac:dyDescent="0.2">
      <c r="A101" s="8">
        <v>5</v>
      </c>
      <c r="B101" s="8">
        <v>1</v>
      </c>
      <c r="C101" s="8">
        <v>1</v>
      </c>
      <c r="D101" s="4">
        <v>535220060</v>
      </c>
      <c r="E101" s="3" t="s">
        <v>142</v>
      </c>
      <c r="F101" s="82" t="s">
        <v>72</v>
      </c>
      <c r="G101" s="83"/>
      <c r="H101" s="1"/>
    </row>
    <row r="102" spans="1:8" ht="42.6" customHeight="1" x14ac:dyDescent="0.2">
      <c r="A102" s="8">
        <v>6</v>
      </c>
      <c r="B102" s="8">
        <v>1</v>
      </c>
      <c r="C102" s="8">
        <v>1</v>
      </c>
      <c r="D102" s="3">
        <v>535220058</v>
      </c>
      <c r="E102" s="3" t="s">
        <v>142</v>
      </c>
      <c r="F102" s="80" t="s">
        <v>624</v>
      </c>
      <c r="G102" s="81"/>
      <c r="H102" s="1"/>
    </row>
    <row r="103" spans="1:8" ht="44.1" customHeight="1" x14ac:dyDescent="0.2">
      <c r="A103" s="8">
        <v>6</v>
      </c>
      <c r="B103" s="8">
        <v>1</v>
      </c>
      <c r="C103" s="8">
        <v>1</v>
      </c>
      <c r="D103" s="3">
        <v>535220059</v>
      </c>
      <c r="E103" s="3" t="s">
        <v>142</v>
      </c>
      <c r="F103" s="78" t="s">
        <v>75</v>
      </c>
      <c r="G103" s="79"/>
      <c r="H103" s="1"/>
    </row>
    <row r="104" spans="1:8" ht="42.95" customHeight="1" x14ac:dyDescent="0.2">
      <c r="A104" s="8">
        <v>6</v>
      </c>
      <c r="B104" s="8">
        <v>1</v>
      </c>
      <c r="C104" s="8">
        <v>1</v>
      </c>
      <c r="D104" s="3">
        <v>535220069</v>
      </c>
      <c r="E104" s="3" t="s">
        <v>142</v>
      </c>
      <c r="F104" s="80" t="s">
        <v>624</v>
      </c>
      <c r="G104" s="81"/>
      <c r="H104" s="1"/>
    </row>
    <row r="105" spans="1:8" ht="44.1" customHeight="1" x14ac:dyDescent="0.2">
      <c r="A105" s="8">
        <v>6</v>
      </c>
      <c r="B105" s="8">
        <v>1</v>
      </c>
      <c r="C105" s="8">
        <v>1</v>
      </c>
      <c r="D105" s="3">
        <v>535220110</v>
      </c>
      <c r="E105" s="3" t="s">
        <v>142</v>
      </c>
      <c r="F105" s="78" t="s">
        <v>75</v>
      </c>
      <c r="G105" s="79"/>
      <c r="H105" s="1"/>
    </row>
    <row r="106" spans="1:8" ht="43.7" customHeight="1" x14ac:dyDescent="0.2">
      <c r="A106" s="8">
        <v>6</v>
      </c>
      <c r="B106" s="8">
        <v>1</v>
      </c>
      <c r="C106" s="8">
        <v>1</v>
      </c>
      <c r="D106" s="3">
        <v>535220117</v>
      </c>
      <c r="E106" s="3" t="s">
        <v>142</v>
      </c>
      <c r="F106" s="78" t="s">
        <v>75</v>
      </c>
      <c r="G106" s="79"/>
      <c r="H106" s="1"/>
    </row>
    <row r="107" spans="1:8" ht="44.1" customHeight="1" x14ac:dyDescent="0.2">
      <c r="A107" s="8">
        <v>0</v>
      </c>
      <c r="B107" s="8">
        <v>2</v>
      </c>
      <c r="C107" s="8">
        <v>0</v>
      </c>
      <c r="D107" s="3">
        <v>825220162</v>
      </c>
      <c r="E107" s="3" t="s">
        <v>144</v>
      </c>
      <c r="F107" s="78" t="s">
        <v>76</v>
      </c>
      <c r="G107" s="79"/>
      <c r="H107" s="1"/>
    </row>
    <row r="108" spans="1:8" ht="42.95" customHeight="1" x14ac:dyDescent="0.2">
      <c r="A108" s="8">
        <v>0</v>
      </c>
      <c r="B108" s="8">
        <v>2</v>
      </c>
      <c r="C108" s="8">
        <v>0</v>
      </c>
      <c r="D108" s="3">
        <v>825220183</v>
      </c>
      <c r="E108" s="3" t="s">
        <v>144</v>
      </c>
      <c r="F108" s="78" t="s">
        <v>76</v>
      </c>
      <c r="G108" s="79"/>
      <c r="H108" s="1"/>
    </row>
    <row r="109" spans="1:8" ht="44.1" customHeight="1" x14ac:dyDescent="0.2">
      <c r="A109" s="8">
        <v>0</v>
      </c>
      <c r="B109" s="8">
        <v>2</v>
      </c>
      <c r="C109" s="8">
        <v>0</v>
      </c>
      <c r="D109" s="3">
        <v>535220079</v>
      </c>
      <c r="E109" s="3" t="s">
        <v>144</v>
      </c>
      <c r="F109" s="80" t="s">
        <v>77</v>
      </c>
      <c r="G109" s="81"/>
      <c r="H109" s="1"/>
    </row>
    <row r="110" spans="1:8" ht="44.1" customHeight="1" x14ac:dyDescent="0.2">
      <c r="A110" s="8">
        <v>0</v>
      </c>
      <c r="B110" s="8">
        <v>2</v>
      </c>
      <c r="C110" s="8">
        <v>0</v>
      </c>
      <c r="D110" s="3">
        <v>535220016</v>
      </c>
      <c r="E110" s="3" t="s">
        <v>142</v>
      </c>
      <c r="F110" s="78" t="s">
        <v>75</v>
      </c>
      <c r="G110" s="79"/>
      <c r="H110" s="1"/>
    </row>
    <row r="111" spans="1:8" ht="43.5" customHeight="1" x14ac:dyDescent="0.2">
      <c r="A111" s="8">
        <v>0</v>
      </c>
      <c r="B111" s="8">
        <v>2</v>
      </c>
      <c r="C111" s="8">
        <v>0</v>
      </c>
      <c r="D111" s="3">
        <v>535220018</v>
      </c>
      <c r="E111" s="3" t="s">
        <v>142</v>
      </c>
      <c r="F111" s="78" t="s">
        <v>75</v>
      </c>
      <c r="G111" s="79"/>
    </row>
    <row r="112" spans="1:8" ht="42.95" customHeight="1" x14ac:dyDescent="0.2">
      <c r="A112" s="8">
        <v>4</v>
      </c>
      <c r="B112" s="8">
        <v>2</v>
      </c>
      <c r="C112" s="8">
        <v>0</v>
      </c>
      <c r="D112" s="3">
        <v>535220001</v>
      </c>
      <c r="E112" s="3" t="s">
        <v>142</v>
      </c>
      <c r="F112" s="80" t="s">
        <v>78</v>
      </c>
      <c r="G112" s="81"/>
    </row>
    <row r="113" spans="1:8" ht="44.1" customHeight="1" x14ac:dyDescent="0.2">
      <c r="A113" s="8">
        <v>4</v>
      </c>
      <c r="B113" s="8">
        <v>2</v>
      </c>
      <c r="C113" s="8">
        <v>0</v>
      </c>
      <c r="D113" s="3">
        <v>535220010</v>
      </c>
      <c r="E113" s="3" t="s">
        <v>142</v>
      </c>
      <c r="F113" s="78" t="s">
        <v>79</v>
      </c>
      <c r="G113" s="79"/>
    </row>
    <row r="114" spans="1:8" ht="42.95" customHeight="1" x14ac:dyDescent="0.2">
      <c r="A114" s="8">
        <v>4</v>
      </c>
      <c r="B114" s="8">
        <v>2</v>
      </c>
      <c r="C114" s="8">
        <v>0</v>
      </c>
      <c r="D114" s="3">
        <v>535220017</v>
      </c>
      <c r="E114" s="3" t="s">
        <v>142</v>
      </c>
      <c r="F114" s="80" t="s">
        <v>78</v>
      </c>
      <c r="G114" s="81"/>
    </row>
    <row r="115" spans="1:8" ht="44.1" customHeight="1" x14ac:dyDescent="0.2">
      <c r="A115" s="8">
        <v>4</v>
      </c>
      <c r="B115" s="8">
        <v>2</v>
      </c>
      <c r="C115" s="8">
        <v>0</v>
      </c>
      <c r="D115" s="3">
        <v>535220019</v>
      </c>
      <c r="E115" s="3" t="s">
        <v>142</v>
      </c>
      <c r="F115" s="78" t="s">
        <v>79</v>
      </c>
      <c r="G115" s="79"/>
    </row>
    <row r="116" spans="1:8" ht="42.6" customHeight="1" x14ac:dyDescent="0.2">
      <c r="A116" s="8">
        <v>4</v>
      </c>
      <c r="B116" s="8">
        <v>2</v>
      </c>
      <c r="C116" s="8">
        <v>0</v>
      </c>
      <c r="D116" s="3">
        <v>535220262</v>
      </c>
      <c r="E116" s="3" t="s">
        <v>142</v>
      </c>
      <c r="F116" s="78" t="s">
        <v>79</v>
      </c>
      <c r="G116" s="79"/>
    </row>
    <row r="117" spans="1:8" ht="44.1" customHeight="1" x14ac:dyDescent="0.2">
      <c r="A117" s="8">
        <v>5</v>
      </c>
      <c r="B117" s="8">
        <v>2</v>
      </c>
      <c r="C117" s="8">
        <v>0</v>
      </c>
      <c r="D117" s="3">
        <v>825220138</v>
      </c>
      <c r="E117" s="3" t="s">
        <v>142</v>
      </c>
      <c r="F117" s="78" t="s">
        <v>80</v>
      </c>
      <c r="G117" s="79"/>
    </row>
    <row r="118" spans="1:8" ht="44.1" customHeight="1" x14ac:dyDescent="0.2">
      <c r="A118" s="8">
        <v>5</v>
      </c>
      <c r="B118" s="8">
        <v>2</v>
      </c>
      <c r="C118" s="8">
        <v>0</v>
      </c>
      <c r="D118" s="3">
        <v>825220139</v>
      </c>
      <c r="E118" s="3" t="s">
        <v>142</v>
      </c>
      <c r="F118" s="78" t="s">
        <v>80</v>
      </c>
      <c r="G118" s="79"/>
    </row>
    <row r="119" spans="1:8" ht="42.95" customHeight="1" x14ac:dyDescent="0.2">
      <c r="A119" s="8">
        <v>5</v>
      </c>
      <c r="B119" s="8">
        <v>2</v>
      </c>
      <c r="C119" s="8">
        <v>0</v>
      </c>
      <c r="D119" s="3">
        <v>825220165</v>
      </c>
      <c r="E119" s="3" t="s">
        <v>142</v>
      </c>
      <c r="F119" s="80" t="s">
        <v>81</v>
      </c>
      <c r="G119" s="81"/>
    </row>
    <row r="120" spans="1:8" ht="44.1" customHeight="1" x14ac:dyDescent="0.2">
      <c r="A120" s="8">
        <v>5</v>
      </c>
      <c r="B120" s="8">
        <v>2</v>
      </c>
      <c r="C120" s="8">
        <v>0</v>
      </c>
      <c r="D120" s="3">
        <v>535220140</v>
      </c>
      <c r="E120" s="3" t="s">
        <v>142</v>
      </c>
      <c r="F120" s="80" t="s">
        <v>82</v>
      </c>
      <c r="G120" s="81"/>
    </row>
    <row r="121" spans="1:8" ht="33" customHeight="1" x14ac:dyDescent="0.2">
      <c r="A121" s="8">
        <v>5</v>
      </c>
      <c r="B121" s="8">
        <v>2</v>
      </c>
      <c r="C121" s="8">
        <v>0</v>
      </c>
      <c r="D121" s="4">
        <v>535220148</v>
      </c>
      <c r="E121" s="3" t="s">
        <v>142</v>
      </c>
      <c r="F121" s="82" t="s">
        <v>82</v>
      </c>
      <c r="G121" s="83"/>
    </row>
    <row r="122" spans="1:8" ht="42.6" customHeight="1" x14ac:dyDescent="0.2">
      <c r="A122" s="8">
        <v>6</v>
      </c>
      <c r="B122" s="8">
        <v>2</v>
      </c>
      <c r="C122" s="8">
        <v>0</v>
      </c>
      <c r="D122" s="3">
        <v>535220176</v>
      </c>
      <c r="E122" s="3" t="s">
        <v>142</v>
      </c>
      <c r="F122" s="80" t="s">
        <v>82</v>
      </c>
      <c r="G122" s="81"/>
      <c r="H122" s="1"/>
    </row>
    <row r="123" spans="1:8" ht="44.1" customHeight="1" x14ac:dyDescent="0.2">
      <c r="A123" s="8">
        <v>6</v>
      </c>
      <c r="B123" s="8">
        <v>2</v>
      </c>
      <c r="C123" s="8">
        <v>0</v>
      </c>
      <c r="D123" s="3">
        <v>535220182</v>
      </c>
      <c r="E123" s="3" t="s">
        <v>142</v>
      </c>
      <c r="F123" s="80" t="s">
        <v>82</v>
      </c>
      <c r="G123" s="81"/>
      <c r="H123" s="1"/>
    </row>
    <row r="124" spans="1:8" ht="42.95" customHeight="1" x14ac:dyDescent="0.2">
      <c r="A124" s="8">
        <v>6</v>
      </c>
      <c r="B124" s="8">
        <v>2</v>
      </c>
      <c r="C124" s="8">
        <v>0</v>
      </c>
      <c r="D124" s="3">
        <v>535220183</v>
      </c>
      <c r="E124" s="3" t="s">
        <v>142</v>
      </c>
      <c r="F124" s="80" t="s">
        <v>82</v>
      </c>
      <c r="G124" s="81"/>
      <c r="H124" s="1"/>
    </row>
    <row r="125" spans="1:8" ht="44.1" customHeight="1" x14ac:dyDescent="0.2">
      <c r="A125" s="8">
        <v>6</v>
      </c>
      <c r="B125" s="8">
        <v>2</v>
      </c>
      <c r="C125" s="8">
        <v>0</v>
      </c>
      <c r="D125" s="3">
        <v>535220189</v>
      </c>
      <c r="E125" s="3" t="s">
        <v>142</v>
      </c>
      <c r="F125" s="80" t="s">
        <v>82</v>
      </c>
      <c r="G125" s="81"/>
      <c r="H125" s="1"/>
    </row>
    <row r="126" spans="1:8" ht="43.7" customHeight="1" x14ac:dyDescent="0.2">
      <c r="A126" s="8">
        <v>6</v>
      </c>
      <c r="B126" s="8">
        <v>2</v>
      </c>
      <c r="C126" s="8">
        <v>0</v>
      </c>
      <c r="D126" s="3">
        <v>535220259</v>
      </c>
      <c r="E126" s="3" t="s">
        <v>142</v>
      </c>
      <c r="F126" s="80" t="s">
        <v>82</v>
      </c>
      <c r="G126" s="81"/>
      <c r="H126" s="1"/>
    </row>
    <row r="127" spans="1:8" ht="44.1" customHeight="1" x14ac:dyDescent="0.2">
      <c r="A127" s="8">
        <v>0</v>
      </c>
      <c r="B127" s="8">
        <v>2</v>
      </c>
      <c r="C127" s="8">
        <v>1</v>
      </c>
      <c r="D127" s="3">
        <v>535220152</v>
      </c>
      <c r="E127" s="3" t="s">
        <v>142</v>
      </c>
      <c r="F127" s="78" t="s">
        <v>83</v>
      </c>
      <c r="G127" s="79"/>
      <c r="H127" s="1"/>
    </row>
    <row r="128" spans="1:8" ht="42.95" customHeight="1" x14ac:dyDescent="0.2">
      <c r="A128" s="8">
        <v>0</v>
      </c>
      <c r="B128" s="8">
        <v>2</v>
      </c>
      <c r="C128" s="8">
        <v>1</v>
      </c>
      <c r="D128" s="3">
        <v>535220154</v>
      </c>
      <c r="E128" s="3" t="s">
        <v>142</v>
      </c>
      <c r="F128" s="78" t="s">
        <v>83</v>
      </c>
      <c r="G128" s="79"/>
      <c r="H128" s="1"/>
    </row>
    <row r="129" spans="1:8" ht="44.1" customHeight="1" x14ac:dyDescent="0.2">
      <c r="A129" s="8">
        <v>0</v>
      </c>
      <c r="B129" s="8">
        <v>2</v>
      </c>
      <c r="C129" s="8">
        <v>1</v>
      </c>
      <c r="D129" s="3">
        <v>535220191</v>
      </c>
      <c r="E129" s="3" t="s">
        <v>142</v>
      </c>
      <c r="F129" s="78" t="s">
        <v>83</v>
      </c>
      <c r="G129" s="79"/>
      <c r="H129" s="1"/>
    </row>
    <row r="130" spans="1:8" ht="44.1" customHeight="1" x14ac:dyDescent="0.2">
      <c r="A130" s="8">
        <v>0</v>
      </c>
      <c r="B130" s="8">
        <v>2</v>
      </c>
      <c r="C130" s="8">
        <v>1</v>
      </c>
      <c r="D130" s="3">
        <v>535220206</v>
      </c>
      <c r="E130" s="3" t="s">
        <v>142</v>
      </c>
      <c r="F130" s="78" t="s">
        <v>83</v>
      </c>
      <c r="G130" s="79"/>
      <c r="H130" s="1"/>
    </row>
    <row r="131" spans="1:8" ht="43.5" customHeight="1" x14ac:dyDescent="0.2">
      <c r="A131" s="8">
        <v>0</v>
      </c>
      <c r="B131" s="8">
        <v>2</v>
      </c>
      <c r="C131" s="8">
        <v>1</v>
      </c>
      <c r="D131" s="3">
        <v>535220210</v>
      </c>
      <c r="E131" s="3" t="s">
        <v>142</v>
      </c>
      <c r="F131" s="78" t="s">
        <v>83</v>
      </c>
      <c r="G131" s="79"/>
    </row>
    <row r="132" spans="1:8" ht="42.95" customHeight="1" x14ac:dyDescent="0.2">
      <c r="A132" s="8">
        <v>1</v>
      </c>
      <c r="B132" s="8">
        <v>2</v>
      </c>
      <c r="C132" s="8">
        <v>1</v>
      </c>
      <c r="D132" s="3">
        <v>535220213</v>
      </c>
      <c r="E132" s="3" t="s">
        <v>142</v>
      </c>
      <c r="F132" s="80" t="s">
        <v>84</v>
      </c>
      <c r="G132" s="81"/>
    </row>
    <row r="133" spans="1:8" ht="44.1" customHeight="1" x14ac:dyDescent="0.2">
      <c r="A133" s="8">
        <v>1</v>
      </c>
      <c r="B133" s="8">
        <v>2</v>
      </c>
      <c r="C133" s="8">
        <v>1</v>
      </c>
      <c r="D133" s="3">
        <v>535220247</v>
      </c>
      <c r="E133" s="3" t="s">
        <v>142</v>
      </c>
      <c r="F133" s="78" t="s">
        <v>83</v>
      </c>
      <c r="G133" s="79"/>
    </row>
    <row r="134" spans="1:8" ht="42.95" customHeight="1" x14ac:dyDescent="0.2">
      <c r="A134" s="8">
        <v>1</v>
      </c>
      <c r="B134" s="8">
        <v>2</v>
      </c>
      <c r="C134" s="8">
        <v>1</v>
      </c>
      <c r="D134" s="3">
        <v>535220014</v>
      </c>
      <c r="E134" s="3" t="s">
        <v>142</v>
      </c>
      <c r="F134" s="80" t="s">
        <v>85</v>
      </c>
      <c r="G134" s="81"/>
    </row>
    <row r="135" spans="1:8" ht="44.1" customHeight="1" x14ac:dyDescent="0.2">
      <c r="A135" s="8">
        <v>1</v>
      </c>
      <c r="B135" s="8">
        <v>2</v>
      </c>
      <c r="C135" s="8">
        <v>1</v>
      </c>
      <c r="D135" s="3">
        <v>535220020</v>
      </c>
      <c r="E135" s="3" t="s">
        <v>142</v>
      </c>
      <c r="F135" s="78" t="s">
        <v>86</v>
      </c>
      <c r="G135" s="79"/>
    </row>
    <row r="136" spans="1:8" ht="42.6" customHeight="1" x14ac:dyDescent="0.2">
      <c r="A136" s="8">
        <v>1</v>
      </c>
      <c r="B136" s="8">
        <v>2</v>
      </c>
      <c r="C136" s="8">
        <v>1</v>
      </c>
      <c r="D136" s="3">
        <v>535220121</v>
      </c>
      <c r="E136" s="3" t="s">
        <v>142</v>
      </c>
      <c r="F136" s="78" t="s">
        <v>86</v>
      </c>
      <c r="G136" s="79"/>
    </row>
    <row r="137" spans="1:8" ht="44.1" customHeight="1" x14ac:dyDescent="0.2">
      <c r="A137" s="8">
        <v>2</v>
      </c>
      <c r="B137" s="8">
        <v>2</v>
      </c>
      <c r="C137" s="8">
        <v>1</v>
      </c>
      <c r="D137" s="3">
        <v>535220021</v>
      </c>
      <c r="E137" s="3" t="s">
        <v>142</v>
      </c>
      <c r="F137" s="78" t="s">
        <v>87</v>
      </c>
      <c r="G137" s="79"/>
    </row>
    <row r="138" spans="1:8" ht="44.1" customHeight="1" x14ac:dyDescent="0.2">
      <c r="A138" s="8">
        <v>2</v>
      </c>
      <c r="B138" s="8">
        <v>2</v>
      </c>
      <c r="C138" s="8">
        <v>1</v>
      </c>
      <c r="D138" s="3">
        <v>535220050</v>
      </c>
      <c r="E138" s="3" t="s">
        <v>142</v>
      </c>
      <c r="F138" s="78" t="s">
        <v>87</v>
      </c>
      <c r="G138" s="79"/>
    </row>
    <row r="139" spans="1:8" ht="42.95" customHeight="1" x14ac:dyDescent="0.2">
      <c r="A139" s="8">
        <v>2</v>
      </c>
      <c r="B139" s="8">
        <v>2</v>
      </c>
      <c r="C139" s="8">
        <v>1</v>
      </c>
      <c r="D139" s="3">
        <v>535220076</v>
      </c>
      <c r="E139" s="3" t="s">
        <v>142</v>
      </c>
      <c r="F139" s="80" t="s">
        <v>88</v>
      </c>
      <c r="G139" s="81"/>
    </row>
    <row r="140" spans="1:8" ht="44.1" customHeight="1" x14ac:dyDescent="0.2">
      <c r="A140" s="8">
        <v>2</v>
      </c>
      <c r="B140" s="8">
        <v>2</v>
      </c>
      <c r="C140" s="8">
        <v>1</v>
      </c>
      <c r="D140" s="3">
        <v>535220172</v>
      </c>
      <c r="E140" s="3" t="s">
        <v>142</v>
      </c>
      <c r="F140" s="78" t="s">
        <v>87</v>
      </c>
      <c r="G140" s="79"/>
    </row>
    <row r="141" spans="1:8" ht="33" customHeight="1" x14ac:dyDescent="0.2">
      <c r="A141" s="8">
        <v>2</v>
      </c>
      <c r="B141" s="8">
        <v>2</v>
      </c>
      <c r="C141" s="8">
        <v>1</v>
      </c>
      <c r="D141" s="4">
        <v>535220173</v>
      </c>
      <c r="E141" s="3" t="s">
        <v>142</v>
      </c>
      <c r="F141" s="82" t="s">
        <v>88</v>
      </c>
      <c r="G141" s="83"/>
    </row>
    <row r="142" spans="1:8" ht="42.6" customHeight="1" x14ac:dyDescent="0.2">
      <c r="A142" s="8">
        <v>3</v>
      </c>
      <c r="B142" s="8">
        <v>2</v>
      </c>
      <c r="C142" s="8">
        <v>1</v>
      </c>
      <c r="D142" s="3">
        <v>535220013</v>
      </c>
      <c r="E142" s="3" t="s">
        <v>142</v>
      </c>
      <c r="F142" s="80" t="s">
        <v>89</v>
      </c>
      <c r="G142" s="81"/>
      <c r="H142" s="1"/>
    </row>
    <row r="143" spans="1:8" ht="44.1" customHeight="1" x14ac:dyDescent="0.2">
      <c r="A143" s="8">
        <v>3</v>
      </c>
      <c r="B143" s="8">
        <v>2</v>
      </c>
      <c r="C143" s="8">
        <v>1</v>
      </c>
      <c r="D143" s="3">
        <v>535220033</v>
      </c>
      <c r="E143" s="3" t="s">
        <v>142</v>
      </c>
      <c r="F143" s="78" t="s">
        <v>90</v>
      </c>
      <c r="G143" s="79"/>
      <c r="H143" s="1"/>
    </row>
    <row r="144" spans="1:8" ht="42.95" customHeight="1" x14ac:dyDescent="0.2">
      <c r="A144" s="8">
        <v>3</v>
      </c>
      <c r="B144" s="8">
        <v>2</v>
      </c>
      <c r="C144" s="8">
        <v>1</v>
      </c>
      <c r="D144" s="3">
        <v>535220044</v>
      </c>
      <c r="E144" s="3" t="s">
        <v>142</v>
      </c>
      <c r="F144" s="80" t="s">
        <v>89</v>
      </c>
      <c r="G144" s="81"/>
      <c r="H144" s="1"/>
    </row>
    <row r="145" spans="1:8" ht="44.1" customHeight="1" x14ac:dyDescent="0.2">
      <c r="A145" s="8">
        <v>3</v>
      </c>
      <c r="B145" s="8">
        <v>2</v>
      </c>
      <c r="C145" s="8">
        <v>1</v>
      </c>
      <c r="D145" s="3">
        <v>535220075</v>
      </c>
      <c r="E145" s="3" t="s">
        <v>142</v>
      </c>
      <c r="F145" s="78" t="s">
        <v>90</v>
      </c>
      <c r="G145" s="79"/>
      <c r="H145" s="1"/>
    </row>
    <row r="146" spans="1:8" ht="43.7" customHeight="1" x14ac:dyDescent="0.2">
      <c r="A146" s="8">
        <v>3</v>
      </c>
      <c r="B146" s="8">
        <v>2</v>
      </c>
      <c r="C146" s="8">
        <v>1</v>
      </c>
      <c r="D146" s="3">
        <v>535220090</v>
      </c>
      <c r="E146" s="3" t="s">
        <v>142</v>
      </c>
      <c r="F146" s="78" t="s">
        <v>90</v>
      </c>
      <c r="G146" s="79"/>
      <c r="H146" s="1"/>
    </row>
    <row r="147" spans="1:8" ht="44.1" customHeight="1" x14ac:dyDescent="0.2">
      <c r="A147" s="8">
        <v>0</v>
      </c>
      <c r="B147" s="8">
        <v>2</v>
      </c>
      <c r="C147" s="8">
        <v>2</v>
      </c>
      <c r="D147" s="3">
        <v>825220125</v>
      </c>
      <c r="E147" s="3" t="s">
        <v>142</v>
      </c>
      <c r="F147" s="78" t="s">
        <v>91</v>
      </c>
      <c r="G147" s="79"/>
      <c r="H147" s="1"/>
    </row>
    <row r="148" spans="1:8" ht="42.95" customHeight="1" x14ac:dyDescent="0.2">
      <c r="A148" s="8">
        <v>0</v>
      </c>
      <c r="B148" s="8">
        <v>2</v>
      </c>
      <c r="C148" s="8">
        <v>2</v>
      </c>
      <c r="D148" s="3">
        <v>825220135</v>
      </c>
      <c r="E148" s="3" t="s">
        <v>142</v>
      </c>
      <c r="F148" s="78" t="s">
        <v>91</v>
      </c>
      <c r="G148" s="79"/>
      <c r="H148" s="1"/>
    </row>
    <row r="149" spans="1:8" ht="44.1" customHeight="1" x14ac:dyDescent="0.2">
      <c r="A149" s="8">
        <v>0</v>
      </c>
      <c r="B149" s="8">
        <v>2</v>
      </c>
      <c r="C149" s="8">
        <v>2</v>
      </c>
      <c r="D149" s="3">
        <v>825220136</v>
      </c>
      <c r="E149" s="3" t="s">
        <v>142</v>
      </c>
      <c r="F149" s="78" t="s">
        <v>91</v>
      </c>
      <c r="G149" s="79"/>
      <c r="H149" s="1"/>
    </row>
    <row r="150" spans="1:8" ht="44.1" customHeight="1" x14ac:dyDescent="0.2">
      <c r="A150" s="8">
        <v>0</v>
      </c>
      <c r="B150" s="8">
        <v>2</v>
      </c>
      <c r="C150" s="8">
        <v>2</v>
      </c>
      <c r="D150" s="3">
        <v>825220003</v>
      </c>
      <c r="E150" s="3" t="s">
        <v>142</v>
      </c>
      <c r="F150" s="80" t="s">
        <v>92</v>
      </c>
      <c r="G150" s="81"/>
      <c r="H150" s="1"/>
    </row>
    <row r="151" spans="1:8" ht="43.5" customHeight="1" x14ac:dyDescent="0.2">
      <c r="A151" s="8">
        <v>0</v>
      </c>
      <c r="B151" s="8">
        <v>2</v>
      </c>
      <c r="C151" s="8">
        <v>2</v>
      </c>
      <c r="D151" s="3">
        <v>825220014</v>
      </c>
      <c r="E151" s="3" t="s">
        <v>142</v>
      </c>
      <c r="F151" s="80" t="s">
        <v>92</v>
      </c>
      <c r="G151" s="81"/>
    </row>
    <row r="152" spans="1:8" ht="42.95" customHeight="1" x14ac:dyDescent="0.2">
      <c r="A152" s="8">
        <v>1</v>
      </c>
      <c r="B152" s="8">
        <v>2</v>
      </c>
      <c r="C152" s="8">
        <v>2</v>
      </c>
      <c r="D152" s="3">
        <v>825220019</v>
      </c>
      <c r="E152" s="3" t="s">
        <v>142</v>
      </c>
      <c r="F152" s="80" t="s">
        <v>92</v>
      </c>
      <c r="G152" s="81"/>
    </row>
    <row r="153" spans="1:8" ht="44.1" customHeight="1" x14ac:dyDescent="0.2">
      <c r="A153" s="8">
        <v>1</v>
      </c>
      <c r="B153" s="8">
        <v>2</v>
      </c>
      <c r="C153" s="8">
        <v>2</v>
      </c>
      <c r="D153" s="3">
        <v>825220036</v>
      </c>
      <c r="E153" s="3" t="s">
        <v>142</v>
      </c>
      <c r="F153" s="80" t="s">
        <v>92</v>
      </c>
      <c r="G153" s="81"/>
    </row>
    <row r="154" spans="1:8" ht="42.95" customHeight="1" x14ac:dyDescent="0.2">
      <c r="A154" s="8">
        <v>1</v>
      </c>
      <c r="B154" s="8">
        <v>2</v>
      </c>
      <c r="C154" s="8">
        <v>2</v>
      </c>
      <c r="D154" s="3">
        <v>825220062</v>
      </c>
      <c r="E154" s="3" t="s">
        <v>142</v>
      </c>
      <c r="F154" s="80" t="s">
        <v>92</v>
      </c>
      <c r="G154" s="81"/>
    </row>
    <row r="155" spans="1:8" ht="44.1" customHeight="1" x14ac:dyDescent="0.2">
      <c r="A155" s="8">
        <v>1</v>
      </c>
      <c r="B155" s="8">
        <v>2</v>
      </c>
      <c r="C155" s="8">
        <v>2</v>
      </c>
      <c r="D155" s="3">
        <v>825220120</v>
      </c>
      <c r="E155" s="3" t="s">
        <v>142</v>
      </c>
      <c r="F155" s="80" t="s">
        <v>92</v>
      </c>
      <c r="G155" s="81"/>
    </row>
    <row r="156" spans="1:8" ht="42.6" customHeight="1" x14ac:dyDescent="0.2">
      <c r="A156" s="8">
        <v>1</v>
      </c>
      <c r="B156" s="8">
        <v>2</v>
      </c>
      <c r="C156" s="8">
        <v>2</v>
      </c>
      <c r="D156" s="3">
        <v>825220134</v>
      </c>
      <c r="E156" s="3" t="s">
        <v>142</v>
      </c>
      <c r="F156" s="80" t="s">
        <v>92</v>
      </c>
      <c r="G156" s="81"/>
    </row>
    <row r="157" spans="1:8" ht="44.1" customHeight="1" x14ac:dyDescent="0.2">
      <c r="A157" s="8">
        <v>2</v>
      </c>
      <c r="B157" s="8">
        <v>2</v>
      </c>
      <c r="C157" s="8">
        <v>2</v>
      </c>
      <c r="D157" s="3">
        <v>825220155</v>
      </c>
      <c r="E157" s="3" t="s">
        <v>142</v>
      </c>
      <c r="F157" s="78" t="s">
        <v>93</v>
      </c>
      <c r="G157" s="79"/>
    </row>
    <row r="158" spans="1:8" ht="44.1" customHeight="1" x14ac:dyDescent="0.2">
      <c r="A158" s="8">
        <v>2</v>
      </c>
      <c r="B158" s="8">
        <v>2</v>
      </c>
      <c r="C158" s="8">
        <v>2</v>
      </c>
      <c r="D158" s="3">
        <v>825220182</v>
      </c>
      <c r="E158" s="3" t="s">
        <v>142</v>
      </c>
      <c r="F158" s="78" t="s">
        <v>93</v>
      </c>
      <c r="G158" s="79"/>
    </row>
    <row r="159" spans="1:8" ht="42.95" customHeight="1" x14ac:dyDescent="0.2">
      <c r="A159" s="8">
        <v>2</v>
      </c>
      <c r="B159" s="8">
        <v>2</v>
      </c>
      <c r="C159" s="8">
        <v>2</v>
      </c>
      <c r="D159" s="3">
        <v>825249102</v>
      </c>
      <c r="E159" s="3" t="s">
        <v>142</v>
      </c>
      <c r="F159" s="80" t="s">
        <v>94</v>
      </c>
      <c r="G159" s="81"/>
    </row>
    <row r="160" spans="1:8" ht="44.1" customHeight="1" x14ac:dyDescent="0.2">
      <c r="A160" s="8">
        <v>2</v>
      </c>
      <c r="B160" s="8">
        <v>2</v>
      </c>
      <c r="C160" s="8">
        <v>2</v>
      </c>
      <c r="D160" s="3">
        <v>535220104</v>
      </c>
      <c r="E160" s="3" t="s">
        <v>142</v>
      </c>
      <c r="F160" s="80" t="s">
        <v>95</v>
      </c>
      <c r="G160" s="81"/>
    </row>
    <row r="161" spans="1:8" ht="33" customHeight="1" x14ac:dyDescent="0.2">
      <c r="A161" s="17">
        <v>2</v>
      </c>
      <c r="B161" s="8">
        <v>2</v>
      </c>
      <c r="C161" s="8">
        <v>2</v>
      </c>
      <c r="D161" s="6">
        <v>535220164</v>
      </c>
      <c r="E161" s="3" t="s">
        <v>142</v>
      </c>
      <c r="F161" s="86" t="s">
        <v>95</v>
      </c>
      <c r="G161" s="87"/>
    </row>
    <row r="162" spans="1:8" ht="42.6" customHeight="1" x14ac:dyDescent="0.2">
      <c r="A162" s="8">
        <v>3</v>
      </c>
      <c r="B162" s="8">
        <v>2</v>
      </c>
      <c r="C162" s="8">
        <v>2</v>
      </c>
      <c r="D162" s="3">
        <v>535220165</v>
      </c>
      <c r="E162" s="3" t="s">
        <v>142</v>
      </c>
      <c r="F162" s="80" t="s">
        <v>95</v>
      </c>
      <c r="G162" s="81"/>
      <c r="H162" s="1"/>
    </row>
    <row r="163" spans="1:8" ht="44.1" customHeight="1" x14ac:dyDescent="0.2">
      <c r="A163" s="8">
        <v>3</v>
      </c>
      <c r="B163" s="8">
        <v>2</v>
      </c>
      <c r="C163" s="8">
        <v>2</v>
      </c>
      <c r="D163" s="3">
        <v>535220197</v>
      </c>
      <c r="E163" s="3" t="s">
        <v>142</v>
      </c>
      <c r="F163" s="80" t="s">
        <v>95</v>
      </c>
      <c r="G163" s="81"/>
      <c r="H163" s="1"/>
    </row>
    <row r="164" spans="1:8" ht="42.95" customHeight="1" x14ac:dyDescent="0.2">
      <c r="A164" s="8">
        <v>3</v>
      </c>
      <c r="B164" s="8">
        <v>2</v>
      </c>
      <c r="C164" s="8">
        <v>2</v>
      </c>
      <c r="D164" s="3">
        <v>535220201</v>
      </c>
      <c r="E164" s="3" t="s">
        <v>142</v>
      </c>
      <c r="F164" s="80" t="s">
        <v>95</v>
      </c>
      <c r="G164" s="81"/>
      <c r="H164" s="1"/>
    </row>
    <row r="165" spans="1:8" ht="44.1" customHeight="1" x14ac:dyDescent="0.2">
      <c r="A165" s="8">
        <v>3</v>
      </c>
      <c r="B165" s="8">
        <v>2</v>
      </c>
      <c r="C165" s="8">
        <v>2</v>
      </c>
      <c r="D165" s="3">
        <v>535229202</v>
      </c>
      <c r="E165" s="3" t="s">
        <v>142</v>
      </c>
      <c r="F165" s="80" t="s">
        <v>95</v>
      </c>
      <c r="G165" s="81"/>
      <c r="H165" s="1"/>
    </row>
    <row r="166" spans="1:8" ht="43.7" customHeight="1" x14ac:dyDescent="0.2">
      <c r="A166" s="8">
        <v>3</v>
      </c>
      <c r="B166" s="8">
        <v>2</v>
      </c>
      <c r="C166" s="8">
        <v>2</v>
      </c>
      <c r="D166" s="3">
        <v>825220051</v>
      </c>
      <c r="E166" s="3" t="s">
        <v>142</v>
      </c>
      <c r="F166" s="80" t="s">
        <v>95</v>
      </c>
      <c r="G166" s="81"/>
      <c r="H166" s="1"/>
    </row>
    <row r="167" spans="1:8" ht="44.1" customHeight="1" x14ac:dyDescent="0.2">
      <c r="A167" s="8">
        <v>0</v>
      </c>
      <c r="B167" s="8">
        <v>3</v>
      </c>
      <c r="C167" s="8">
        <v>0</v>
      </c>
      <c r="D167" s="3">
        <v>535220221</v>
      </c>
      <c r="E167" s="3" t="s">
        <v>142</v>
      </c>
      <c r="F167" s="78" t="s">
        <v>96</v>
      </c>
      <c r="G167" s="79"/>
      <c r="H167" s="1"/>
    </row>
    <row r="168" spans="1:8" ht="42.95" customHeight="1" x14ac:dyDescent="0.2">
      <c r="A168" s="8">
        <v>0</v>
      </c>
      <c r="B168" s="8">
        <v>3</v>
      </c>
      <c r="C168" s="8">
        <v>0</v>
      </c>
      <c r="D168" s="3">
        <v>535220224</v>
      </c>
      <c r="E168" s="3" t="s">
        <v>142</v>
      </c>
      <c r="F168" s="78" t="s">
        <v>96</v>
      </c>
      <c r="G168" s="79"/>
      <c r="H168" s="1"/>
    </row>
    <row r="169" spans="1:8" ht="44.1" customHeight="1" x14ac:dyDescent="0.2">
      <c r="A169" s="8">
        <v>0</v>
      </c>
      <c r="B169" s="8">
        <v>3</v>
      </c>
      <c r="C169" s="8">
        <v>0</v>
      </c>
      <c r="D169" s="3">
        <v>535220234</v>
      </c>
      <c r="E169" s="3" t="s">
        <v>142</v>
      </c>
      <c r="F169" s="78" t="s">
        <v>96</v>
      </c>
      <c r="G169" s="79"/>
      <c r="H169" s="1"/>
    </row>
    <row r="170" spans="1:8" ht="44.1" customHeight="1" x14ac:dyDescent="0.2">
      <c r="A170" s="8">
        <v>0</v>
      </c>
      <c r="B170" s="8">
        <v>3</v>
      </c>
      <c r="C170" s="8">
        <v>0</v>
      </c>
      <c r="D170" s="3">
        <v>535220242</v>
      </c>
      <c r="E170" s="3" t="s">
        <v>142</v>
      </c>
      <c r="F170" s="78" t="s">
        <v>96</v>
      </c>
      <c r="G170" s="79"/>
      <c r="H170" s="1"/>
    </row>
    <row r="171" spans="1:8" ht="43.5" customHeight="1" x14ac:dyDescent="0.2">
      <c r="A171" s="8">
        <v>0</v>
      </c>
      <c r="B171" s="8">
        <v>3</v>
      </c>
      <c r="C171" s="8">
        <v>0</v>
      </c>
      <c r="D171" s="3">
        <v>535220266</v>
      </c>
      <c r="E171" s="3" t="s">
        <v>142</v>
      </c>
      <c r="F171" s="78" t="s">
        <v>96</v>
      </c>
      <c r="G171" s="79"/>
    </row>
    <row r="172" spans="1:8" ht="42.95" customHeight="1" x14ac:dyDescent="0.2">
      <c r="A172" s="8">
        <v>1</v>
      </c>
      <c r="B172" s="8">
        <v>3</v>
      </c>
      <c r="C172" s="8">
        <v>0</v>
      </c>
      <c r="D172" s="3">
        <v>825220041</v>
      </c>
      <c r="E172" s="3" t="s">
        <v>142</v>
      </c>
      <c r="F172" s="80" t="s">
        <v>97</v>
      </c>
      <c r="G172" s="81"/>
    </row>
    <row r="173" spans="1:8" ht="44.1" customHeight="1" x14ac:dyDescent="0.2">
      <c r="A173" s="8">
        <v>1</v>
      </c>
      <c r="B173" s="8">
        <v>3</v>
      </c>
      <c r="C173" s="8">
        <v>0</v>
      </c>
      <c r="D173" s="3">
        <v>825220065</v>
      </c>
      <c r="E173" s="3" t="s">
        <v>142</v>
      </c>
      <c r="F173" s="78" t="s">
        <v>98</v>
      </c>
      <c r="G173" s="79"/>
    </row>
    <row r="174" spans="1:8" ht="42.95" customHeight="1" x14ac:dyDescent="0.2">
      <c r="A174" s="8">
        <v>1</v>
      </c>
      <c r="B174" s="8">
        <v>3</v>
      </c>
      <c r="C174" s="8">
        <v>0</v>
      </c>
      <c r="D174" s="3">
        <v>825220067</v>
      </c>
      <c r="E174" s="3" t="s">
        <v>142</v>
      </c>
      <c r="F174" s="80" t="s">
        <v>97</v>
      </c>
      <c r="G174" s="81"/>
    </row>
    <row r="175" spans="1:8" ht="44.1" customHeight="1" x14ac:dyDescent="0.2">
      <c r="A175" s="8">
        <v>1</v>
      </c>
      <c r="B175" s="8">
        <v>3</v>
      </c>
      <c r="C175" s="8">
        <v>0</v>
      </c>
      <c r="D175" s="3">
        <v>825220083</v>
      </c>
      <c r="E175" s="3" t="s">
        <v>142</v>
      </c>
      <c r="F175" s="78" t="s">
        <v>98</v>
      </c>
      <c r="G175" s="79"/>
    </row>
    <row r="176" spans="1:8" ht="42.6" customHeight="1" x14ac:dyDescent="0.2">
      <c r="A176" s="8">
        <v>1</v>
      </c>
      <c r="B176" s="8">
        <v>3</v>
      </c>
      <c r="C176" s="8">
        <v>0</v>
      </c>
      <c r="D176" s="3">
        <v>825220108</v>
      </c>
      <c r="E176" s="3" t="s">
        <v>142</v>
      </c>
      <c r="F176" s="78" t="s">
        <v>98</v>
      </c>
      <c r="G176" s="79"/>
    </row>
    <row r="177" spans="1:8" ht="44.1" customHeight="1" x14ac:dyDescent="0.2">
      <c r="A177" s="8">
        <v>2</v>
      </c>
      <c r="B177" s="8">
        <v>3</v>
      </c>
      <c r="C177" s="8">
        <v>0</v>
      </c>
      <c r="D177" s="3">
        <v>825220074</v>
      </c>
      <c r="E177" s="3" t="s">
        <v>142</v>
      </c>
      <c r="F177" s="78" t="s">
        <v>99</v>
      </c>
      <c r="G177" s="79"/>
    </row>
    <row r="178" spans="1:8" ht="44.1" customHeight="1" x14ac:dyDescent="0.2">
      <c r="A178" s="8">
        <v>2</v>
      </c>
      <c r="B178" s="8">
        <v>3</v>
      </c>
      <c r="C178" s="8">
        <v>0</v>
      </c>
      <c r="D178" s="3">
        <v>825220159</v>
      </c>
      <c r="E178" s="3" t="s">
        <v>142</v>
      </c>
      <c r="F178" s="78" t="s">
        <v>99</v>
      </c>
      <c r="G178" s="79"/>
    </row>
    <row r="179" spans="1:8" ht="42.95" customHeight="1" x14ac:dyDescent="0.2">
      <c r="A179" s="8">
        <v>2</v>
      </c>
      <c r="B179" s="8">
        <v>3</v>
      </c>
      <c r="C179" s="8">
        <v>0</v>
      </c>
      <c r="D179" s="3">
        <v>825220160</v>
      </c>
      <c r="E179" s="3" t="s">
        <v>142</v>
      </c>
      <c r="F179" s="80" t="s">
        <v>100</v>
      </c>
      <c r="G179" s="81"/>
    </row>
    <row r="180" spans="1:8" ht="44.1" customHeight="1" x14ac:dyDescent="0.2">
      <c r="A180" s="8">
        <v>2</v>
      </c>
      <c r="B180" s="8">
        <v>3</v>
      </c>
      <c r="C180" s="8">
        <v>0</v>
      </c>
      <c r="D180" s="3">
        <v>825220161</v>
      </c>
      <c r="E180" s="3" t="s">
        <v>142</v>
      </c>
      <c r="F180" s="78" t="s">
        <v>99</v>
      </c>
      <c r="G180" s="79"/>
    </row>
    <row r="181" spans="1:8" ht="33" customHeight="1" x14ac:dyDescent="0.2">
      <c r="A181" s="8">
        <v>2</v>
      </c>
      <c r="B181" s="8">
        <v>3</v>
      </c>
      <c r="C181" s="8">
        <v>0</v>
      </c>
      <c r="D181" s="4">
        <v>825220163</v>
      </c>
      <c r="E181" s="3" t="s">
        <v>142</v>
      </c>
      <c r="F181" s="82" t="s">
        <v>100</v>
      </c>
      <c r="G181" s="83"/>
    </row>
    <row r="182" spans="1:8" ht="42.95" customHeight="1" x14ac:dyDescent="0.2">
      <c r="A182" s="8">
        <v>3</v>
      </c>
      <c r="B182" s="8">
        <v>3</v>
      </c>
      <c r="C182" s="8">
        <v>0</v>
      </c>
      <c r="D182" s="3">
        <v>825220164</v>
      </c>
      <c r="E182" s="3" t="s">
        <v>142</v>
      </c>
      <c r="F182" s="80" t="s">
        <v>100</v>
      </c>
      <c r="G182" s="81"/>
    </row>
    <row r="183" spans="1:8" ht="44.1" customHeight="1" x14ac:dyDescent="0.2">
      <c r="A183" s="8">
        <v>3</v>
      </c>
      <c r="B183" s="8">
        <v>3</v>
      </c>
      <c r="C183" s="8">
        <v>0</v>
      </c>
      <c r="D183" s="3">
        <v>825220068</v>
      </c>
      <c r="E183" s="3" t="s">
        <v>142</v>
      </c>
      <c r="F183" s="78" t="s">
        <v>99</v>
      </c>
      <c r="G183" s="79"/>
    </row>
    <row r="184" spans="1:8" ht="42.95" customHeight="1" x14ac:dyDescent="0.2">
      <c r="A184" s="8">
        <v>3</v>
      </c>
      <c r="B184" s="8">
        <v>3</v>
      </c>
      <c r="C184" s="8">
        <v>0</v>
      </c>
      <c r="D184" s="3">
        <v>825220071</v>
      </c>
      <c r="E184" s="3" t="s">
        <v>142</v>
      </c>
      <c r="F184" s="80" t="s">
        <v>100</v>
      </c>
      <c r="G184" s="81"/>
    </row>
    <row r="185" spans="1:8" ht="44.1" customHeight="1" x14ac:dyDescent="0.2">
      <c r="A185" s="8">
        <v>3</v>
      </c>
      <c r="B185" s="8">
        <v>3</v>
      </c>
      <c r="C185" s="8">
        <v>0</v>
      </c>
      <c r="D185" s="3">
        <v>825220072</v>
      </c>
      <c r="E185" s="3" t="s">
        <v>142</v>
      </c>
      <c r="F185" s="78" t="s">
        <v>99</v>
      </c>
      <c r="G185" s="79"/>
    </row>
    <row r="186" spans="1:8" ht="42.6" customHeight="1" x14ac:dyDescent="0.2">
      <c r="A186" s="8">
        <v>3</v>
      </c>
      <c r="B186" s="8">
        <v>3</v>
      </c>
      <c r="C186" s="8">
        <v>0</v>
      </c>
      <c r="D186" s="3">
        <v>825220073</v>
      </c>
      <c r="E186" s="3" t="s">
        <v>142</v>
      </c>
      <c r="F186" s="78" t="s">
        <v>99</v>
      </c>
      <c r="G186" s="79"/>
    </row>
    <row r="187" spans="1:8" ht="44.1" customHeight="1" x14ac:dyDescent="0.2">
      <c r="A187" s="8">
        <v>4</v>
      </c>
      <c r="B187" s="8">
        <v>3</v>
      </c>
      <c r="C187" s="8">
        <v>0</v>
      </c>
      <c r="D187" s="3">
        <v>535220002</v>
      </c>
      <c r="E187" s="3" t="s">
        <v>142</v>
      </c>
      <c r="F187" s="78" t="s">
        <v>101</v>
      </c>
      <c r="G187" s="79"/>
    </row>
    <row r="188" spans="1:8" ht="42.95" customHeight="1" x14ac:dyDescent="0.2">
      <c r="A188" s="8">
        <v>4</v>
      </c>
      <c r="B188" s="8">
        <v>3</v>
      </c>
      <c r="C188" s="8">
        <v>0</v>
      </c>
      <c r="D188" s="3">
        <v>535220004</v>
      </c>
      <c r="E188" s="3" t="s">
        <v>142</v>
      </c>
      <c r="F188" s="78" t="s">
        <v>101</v>
      </c>
      <c r="G188" s="79"/>
    </row>
    <row r="189" spans="1:8" ht="44.1" customHeight="1" x14ac:dyDescent="0.2">
      <c r="A189" s="8">
        <v>4</v>
      </c>
      <c r="B189" s="8">
        <v>3</v>
      </c>
      <c r="C189" s="8">
        <v>0</v>
      </c>
      <c r="D189" s="3">
        <v>535220027</v>
      </c>
      <c r="E189" s="3" t="s">
        <v>142</v>
      </c>
      <c r="F189" s="78" t="s">
        <v>101</v>
      </c>
      <c r="G189" s="79"/>
    </row>
    <row r="190" spans="1:8" ht="44.1" customHeight="1" x14ac:dyDescent="0.2">
      <c r="A190" s="8">
        <v>4</v>
      </c>
      <c r="B190" s="8">
        <v>3</v>
      </c>
      <c r="C190" s="8">
        <v>0</v>
      </c>
      <c r="D190" s="3">
        <v>535220030</v>
      </c>
      <c r="E190" s="3" t="s">
        <v>142</v>
      </c>
      <c r="F190" s="78" t="s">
        <v>101</v>
      </c>
      <c r="G190" s="79"/>
    </row>
    <row r="191" spans="1:8" ht="43.35" customHeight="1" x14ac:dyDescent="0.2">
      <c r="A191" s="8">
        <v>4</v>
      </c>
      <c r="B191" s="8">
        <v>3</v>
      </c>
      <c r="C191" s="8">
        <v>0</v>
      </c>
      <c r="D191" s="3">
        <v>535220038</v>
      </c>
      <c r="E191" s="3" t="s">
        <v>142</v>
      </c>
      <c r="F191" s="80" t="s">
        <v>102</v>
      </c>
      <c r="G191" s="81"/>
    </row>
    <row r="192" spans="1:8" ht="43.5" customHeight="1" x14ac:dyDescent="0.2">
      <c r="A192" s="8">
        <v>5</v>
      </c>
      <c r="B192" s="8">
        <v>3</v>
      </c>
      <c r="C192" s="8">
        <v>0</v>
      </c>
      <c r="D192" s="3">
        <v>535220053</v>
      </c>
      <c r="E192" s="3" t="s">
        <v>143</v>
      </c>
      <c r="F192" s="78" t="s">
        <v>101</v>
      </c>
      <c r="G192" s="79"/>
      <c r="H192" s="1"/>
    </row>
    <row r="193" spans="1:8" ht="44.1" customHeight="1" x14ac:dyDescent="0.2">
      <c r="A193" s="8">
        <v>5</v>
      </c>
      <c r="B193" s="8">
        <v>3</v>
      </c>
      <c r="C193" s="8">
        <v>0</v>
      </c>
      <c r="D193" s="3">
        <v>535220024</v>
      </c>
      <c r="E193" s="3" t="s">
        <v>143</v>
      </c>
      <c r="F193" s="80" t="s">
        <v>103</v>
      </c>
      <c r="G193" s="81"/>
      <c r="H193" s="1"/>
    </row>
    <row r="194" spans="1:8" ht="42.95" customHeight="1" x14ac:dyDescent="0.2">
      <c r="A194" s="8">
        <v>5</v>
      </c>
      <c r="B194" s="8">
        <v>3</v>
      </c>
      <c r="C194" s="8">
        <v>0</v>
      </c>
      <c r="D194" s="3">
        <v>535220175</v>
      </c>
      <c r="E194" s="3" t="s">
        <v>143</v>
      </c>
      <c r="F194" s="80" t="s">
        <v>103</v>
      </c>
      <c r="G194" s="81"/>
      <c r="H194" s="1"/>
    </row>
    <row r="195" spans="1:8" ht="44.1" customHeight="1" x14ac:dyDescent="0.2">
      <c r="A195" s="8">
        <v>5</v>
      </c>
      <c r="B195" s="8">
        <v>3</v>
      </c>
      <c r="C195" s="8">
        <v>0</v>
      </c>
      <c r="D195" s="3">
        <v>535220212</v>
      </c>
      <c r="E195" s="3" t="s">
        <v>143</v>
      </c>
      <c r="F195" s="80" t="s">
        <v>103</v>
      </c>
      <c r="G195" s="81"/>
      <c r="H195" s="1"/>
    </row>
    <row r="196" spans="1:8" ht="43.5" customHeight="1" x14ac:dyDescent="0.2">
      <c r="A196" s="8">
        <v>5</v>
      </c>
      <c r="B196" s="8">
        <v>3</v>
      </c>
      <c r="C196" s="8">
        <v>0</v>
      </c>
      <c r="D196" s="3">
        <v>535220045</v>
      </c>
      <c r="E196" s="3" t="s">
        <v>143</v>
      </c>
      <c r="F196" s="80" t="s">
        <v>103</v>
      </c>
      <c r="G196" s="81"/>
      <c r="H196" s="1"/>
    </row>
    <row r="197" spans="1:8" ht="43.5" customHeight="1" x14ac:dyDescent="0.2">
      <c r="A197" s="8">
        <v>6</v>
      </c>
      <c r="B197" s="8">
        <v>3</v>
      </c>
      <c r="C197" s="8">
        <v>0</v>
      </c>
      <c r="D197" s="3">
        <v>535220077</v>
      </c>
      <c r="E197" s="3" t="s">
        <v>142</v>
      </c>
      <c r="F197" s="78" t="s">
        <v>104</v>
      </c>
      <c r="G197" s="79"/>
      <c r="H197" s="1"/>
    </row>
    <row r="198" spans="1:8" ht="42.95" customHeight="1" x14ac:dyDescent="0.2">
      <c r="A198" s="8">
        <v>6</v>
      </c>
      <c r="B198" s="8">
        <v>3</v>
      </c>
      <c r="C198" s="8">
        <v>0</v>
      </c>
      <c r="D198" s="3">
        <v>535220084</v>
      </c>
      <c r="E198" s="3" t="s">
        <v>142</v>
      </c>
      <c r="F198" s="78" t="s">
        <v>104</v>
      </c>
      <c r="G198" s="79"/>
      <c r="H198" s="1"/>
    </row>
    <row r="199" spans="1:8" ht="44.1" customHeight="1" x14ac:dyDescent="0.2">
      <c r="A199" s="8">
        <v>6</v>
      </c>
      <c r="B199" s="8">
        <v>3</v>
      </c>
      <c r="C199" s="8">
        <v>0</v>
      </c>
      <c r="D199" s="3">
        <v>535220034</v>
      </c>
      <c r="E199" s="3" t="s">
        <v>142</v>
      </c>
      <c r="F199" s="80" t="s">
        <v>105</v>
      </c>
      <c r="G199" s="81"/>
      <c r="H199" s="1"/>
    </row>
    <row r="200" spans="1:8" ht="44.1" customHeight="1" x14ac:dyDescent="0.2">
      <c r="A200" s="8">
        <v>6</v>
      </c>
      <c r="B200" s="8">
        <v>3</v>
      </c>
      <c r="C200" s="8">
        <v>0</v>
      </c>
      <c r="D200" s="3">
        <v>535220035</v>
      </c>
      <c r="E200" s="3" t="s">
        <v>142</v>
      </c>
      <c r="F200" s="80" t="s">
        <v>105</v>
      </c>
      <c r="G200" s="81"/>
      <c r="H200" s="1"/>
    </row>
    <row r="201" spans="1:8" ht="43.5" customHeight="1" x14ac:dyDescent="0.2">
      <c r="A201" s="8">
        <v>6</v>
      </c>
      <c r="B201" s="8">
        <v>3</v>
      </c>
      <c r="C201" s="8">
        <v>0</v>
      </c>
      <c r="D201" s="3">
        <v>535220128</v>
      </c>
      <c r="E201" s="3" t="s">
        <v>142</v>
      </c>
      <c r="F201" s="80" t="s">
        <v>78</v>
      </c>
      <c r="G201" s="81"/>
      <c r="H201" s="1"/>
    </row>
    <row r="202" spans="1:8" ht="44.1" customHeight="1" x14ac:dyDescent="0.2">
      <c r="A202" s="8">
        <v>0</v>
      </c>
      <c r="B202" s="8">
        <v>6</v>
      </c>
      <c r="C202" s="8">
        <v>0</v>
      </c>
      <c r="D202" s="3">
        <v>825220039</v>
      </c>
      <c r="E202" s="3" t="s">
        <v>143</v>
      </c>
      <c r="F202" s="80" t="s">
        <v>106</v>
      </c>
      <c r="G202" s="81"/>
      <c r="H202" s="1"/>
    </row>
    <row r="203" spans="1:8" ht="42.95" customHeight="1" x14ac:dyDescent="0.2">
      <c r="A203" s="8">
        <v>0</v>
      </c>
      <c r="B203" s="8">
        <v>6</v>
      </c>
      <c r="C203" s="8">
        <v>0</v>
      </c>
      <c r="D203" s="3">
        <v>825220050</v>
      </c>
      <c r="E203" s="3" t="s">
        <v>143</v>
      </c>
      <c r="F203" s="80" t="s">
        <v>106</v>
      </c>
      <c r="G203" s="81"/>
      <c r="H203" s="1"/>
    </row>
    <row r="204" spans="1:8" ht="44.1" customHeight="1" x14ac:dyDescent="0.2">
      <c r="A204" s="8">
        <v>0</v>
      </c>
      <c r="B204" s="8">
        <v>6</v>
      </c>
      <c r="C204" s="8">
        <v>0</v>
      </c>
      <c r="D204" s="3">
        <v>825220052</v>
      </c>
      <c r="E204" s="3" t="s">
        <v>143</v>
      </c>
      <c r="F204" s="80" t="s">
        <v>106</v>
      </c>
      <c r="G204" s="81"/>
      <c r="H204" s="1"/>
    </row>
    <row r="205" spans="1:8" ht="42.95" customHeight="1" x14ac:dyDescent="0.2">
      <c r="A205" s="8">
        <v>0</v>
      </c>
      <c r="B205" s="8">
        <v>6</v>
      </c>
      <c r="C205" s="8">
        <v>0</v>
      </c>
      <c r="D205" s="3">
        <v>825220066</v>
      </c>
      <c r="E205" s="3" t="s">
        <v>143</v>
      </c>
      <c r="F205" s="80" t="s">
        <v>106</v>
      </c>
      <c r="G205" s="81"/>
      <c r="H205" s="1"/>
    </row>
    <row r="206" spans="1:8" ht="43.7" customHeight="1" x14ac:dyDescent="0.2">
      <c r="A206" s="8">
        <v>0</v>
      </c>
      <c r="B206" s="8">
        <v>6</v>
      </c>
      <c r="C206" s="8">
        <v>0</v>
      </c>
      <c r="D206" s="3">
        <v>825220170</v>
      </c>
      <c r="E206" s="3" t="s">
        <v>143</v>
      </c>
      <c r="F206" s="80" t="s">
        <v>106</v>
      </c>
      <c r="G206" s="81"/>
      <c r="H206" s="1"/>
    </row>
    <row r="207" spans="1:8" ht="42.6" customHeight="1" x14ac:dyDescent="0.2">
      <c r="A207" s="8">
        <v>1</v>
      </c>
      <c r="B207" s="8">
        <v>6</v>
      </c>
      <c r="C207" s="8">
        <v>0</v>
      </c>
      <c r="D207" s="3">
        <v>825200094</v>
      </c>
      <c r="E207" s="3" t="s">
        <v>146</v>
      </c>
      <c r="F207" s="80" t="s">
        <v>106</v>
      </c>
      <c r="G207" s="81"/>
      <c r="H207" s="1"/>
    </row>
    <row r="208" spans="1:8" ht="44.1" customHeight="1" x14ac:dyDescent="0.2">
      <c r="A208" s="8">
        <v>1</v>
      </c>
      <c r="B208" s="8">
        <v>6</v>
      </c>
      <c r="C208" s="8">
        <v>0</v>
      </c>
      <c r="D208" s="3">
        <v>825220096</v>
      </c>
      <c r="E208" s="3" t="s">
        <v>146</v>
      </c>
      <c r="F208" s="80" t="s">
        <v>106</v>
      </c>
      <c r="G208" s="81"/>
      <c r="H208" s="1"/>
    </row>
    <row r="209" spans="1:8" ht="42.95" customHeight="1" x14ac:dyDescent="0.2">
      <c r="A209" s="8">
        <v>1</v>
      </c>
      <c r="B209" s="8">
        <v>6</v>
      </c>
      <c r="C209" s="8">
        <v>0</v>
      </c>
      <c r="D209" s="3">
        <v>535220185</v>
      </c>
      <c r="E209" s="3" t="s">
        <v>145</v>
      </c>
      <c r="F209" s="78" t="s">
        <v>107</v>
      </c>
      <c r="G209" s="79"/>
      <c r="H209" s="1"/>
    </row>
    <row r="210" spans="1:8" ht="44.1" customHeight="1" x14ac:dyDescent="0.2">
      <c r="A210" s="8">
        <v>1</v>
      </c>
      <c r="B210" s="8">
        <v>6</v>
      </c>
      <c r="C210" s="8">
        <v>0</v>
      </c>
      <c r="D210" s="3">
        <v>535220190</v>
      </c>
      <c r="E210" s="3" t="s">
        <v>145</v>
      </c>
      <c r="F210" s="78" t="s">
        <v>107</v>
      </c>
      <c r="G210" s="79"/>
      <c r="H210" s="1"/>
    </row>
    <row r="211" spans="1:8" ht="44.1" customHeight="1" x14ac:dyDescent="0.2">
      <c r="A211" s="8">
        <v>1</v>
      </c>
      <c r="B211" s="8">
        <v>6</v>
      </c>
      <c r="C211" s="8">
        <v>0</v>
      </c>
      <c r="D211" s="3">
        <v>535220192</v>
      </c>
      <c r="E211" s="3" t="s">
        <v>145</v>
      </c>
      <c r="F211" s="78" t="s">
        <v>107</v>
      </c>
      <c r="G211" s="79"/>
      <c r="H211" s="1"/>
    </row>
    <row r="212" spans="1:8" ht="43.5" customHeight="1" x14ac:dyDescent="0.2">
      <c r="A212" s="8">
        <v>2</v>
      </c>
      <c r="B212" s="8">
        <v>6</v>
      </c>
      <c r="C212" s="8">
        <v>0</v>
      </c>
      <c r="D212" s="3">
        <v>535220227</v>
      </c>
      <c r="E212" s="3" t="s">
        <v>145</v>
      </c>
      <c r="F212" s="78" t="s">
        <v>108</v>
      </c>
      <c r="G212" s="79"/>
      <c r="H212" s="1"/>
    </row>
    <row r="213" spans="1:8" ht="44.1" customHeight="1" x14ac:dyDescent="0.2">
      <c r="A213" s="8">
        <v>2</v>
      </c>
      <c r="B213" s="8">
        <v>6</v>
      </c>
      <c r="C213" s="8">
        <v>0</v>
      </c>
      <c r="D213" s="3">
        <v>825220001</v>
      </c>
      <c r="E213" s="3" t="s">
        <v>145</v>
      </c>
      <c r="F213" s="78" t="s">
        <v>108</v>
      </c>
      <c r="G213" s="79"/>
      <c r="H213" s="1"/>
    </row>
    <row r="214" spans="1:8" ht="42.95" customHeight="1" x14ac:dyDescent="0.2">
      <c r="A214" s="8">
        <v>2</v>
      </c>
      <c r="B214" s="8">
        <v>6</v>
      </c>
      <c r="C214" s="8">
        <v>0</v>
      </c>
      <c r="D214" s="3">
        <v>825220029</v>
      </c>
      <c r="E214" s="3" t="s">
        <v>145</v>
      </c>
      <c r="F214" s="80" t="s">
        <v>109</v>
      </c>
      <c r="G214" s="81"/>
      <c r="H214" s="1"/>
    </row>
    <row r="215" spans="1:8" ht="44.1" customHeight="1" x14ac:dyDescent="0.2">
      <c r="A215" s="8">
        <v>2</v>
      </c>
      <c r="B215" s="8">
        <v>6</v>
      </c>
      <c r="C215" s="8">
        <v>0</v>
      </c>
      <c r="D215" s="3">
        <v>825220030</v>
      </c>
      <c r="E215" s="3" t="s">
        <v>145</v>
      </c>
      <c r="F215" s="78" t="s">
        <v>108</v>
      </c>
      <c r="G215" s="79"/>
      <c r="H215" s="1"/>
    </row>
    <row r="216" spans="1:8" ht="43.5" customHeight="1" x14ac:dyDescent="0.2">
      <c r="A216" s="8">
        <v>2</v>
      </c>
      <c r="B216" s="8">
        <v>6</v>
      </c>
      <c r="C216" s="8">
        <v>0</v>
      </c>
      <c r="D216" s="3">
        <v>825220069</v>
      </c>
      <c r="E216" s="3" t="s">
        <v>145</v>
      </c>
      <c r="F216" s="80" t="s">
        <v>109</v>
      </c>
      <c r="G216" s="81"/>
      <c r="H216" s="1"/>
    </row>
    <row r="217" spans="1:8" ht="43.5" customHeight="1" x14ac:dyDescent="0.2">
      <c r="A217" s="8">
        <v>3</v>
      </c>
      <c r="B217" s="8">
        <v>6</v>
      </c>
      <c r="C217" s="8">
        <v>0</v>
      </c>
      <c r="D217" s="3">
        <v>825220112</v>
      </c>
      <c r="E217" s="3" t="s">
        <v>145</v>
      </c>
      <c r="F217" s="78" t="s">
        <v>110</v>
      </c>
      <c r="G217" s="79"/>
      <c r="H217" s="1"/>
    </row>
    <row r="218" spans="1:8" ht="42.95" customHeight="1" x14ac:dyDescent="0.2">
      <c r="A218" s="8">
        <v>3</v>
      </c>
      <c r="B218" s="8">
        <v>6</v>
      </c>
      <c r="C218" s="8">
        <v>0</v>
      </c>
      <c r="D218" s="3">
        <v>535220145</v>
      </c>
      <c r="E218" s="3" t="s">
        <v>147</v>
      </c>
      <c r="F218" s="78" t="s">
        <v>111</v>
      </c>
      <c r="G218" s="79"/>
      <c r="H218" s="1"/>
    </row>
    <row r="219" spans="1:8" ht="44.1" customHeight="1" x14ac:dyDescent="0.2">
      <c r="A219" s="8">
        <v>3</v>
      </c>
      <c r="B219" s="8">
        <v>6</v>
      </c>
      <c r="C219" s="8">
        <v>0</v>
      </c>
      <c r="D219" s="3">
        <v>535220228</v>
      </c>
      <c r="E219" s="3" t="s">
        <v>147</v>
      </c>
      <c r="F219" s="78" t="s">
        <v>111</v>
      </c>
      <c r="G219" s="79"/>
      <c r="H219" s="1"/>
    </row>
    <row r="220" spans="1:8" ht="44.1" customHeight="1" x14ac:dyDescent="0.2">
      <c r="A220" s="8">
        <v>3</v>
      </c>
      <c r="B220" s="8">
        <v>6</v>
      </c>
      <c r="C220" s="8">
        <v>0</v>
      </c>
      <c r="D220" s="3">
        <v>535220229</v>
      </c>
      <c r="E220" s="3" t="s">
        <v>147</v>
      </c>
      <c r="F220" s="78" t="s">
        <v>111</v>
      </c>
      <c r="G220" s="79"/>
      <c r="H220" s="1"/>
    </row>
    <row r="221" spans="1:8" ht="43.5" customHeight="1" x14ac:dyDescent="0.2">
      <c r="A221" s="8">
        <v>3</v>
      </c>
      <c r="B221" s="8">
        <v>6</v>
      </c>
      <c r="C221" s="8">
        <v>0</v>
      </c>
      <c r="D221" s="3">
        <v>825220022</v>
      </c>
      <c r="E221" s="3" t="s">
        <v>147</v>
      </c>
      <c r="F221" s="80" t="s">
        <v>112</v>
      </c>
      <c r="G221" s="81"/>
      <c r="H221" s="1"/>
    </row>
    <row r="222" spans="1:8" ht="44.1" customHeight="1" x14ac:dyDescent="0.2">
      <c r="A222" s="8">
        <v>0</v>
      </c>
      <c r="B222" s="8">
        <v>6</v>
      </c>
      <c r="C222" s="8">
        <v>1</v>
      </c>
      <c r="D222" s="3">
        <v>825210038</v>
      </c>
      <c r="E222" s="3" t="s">
        <v>142</v>
      </c>
      <c r="F222" s="78" t="s">
        <v>113</v>
      </c>
      <c r="G222" s="79"/>
      <c r="H222" s="1"/>
    </row>
    <row r="223" spans="1:8" ht="42.95" customHeight="1" x14ac:dyDescent="0.2">
      <c r="A223" s="8">
        <v>0</v>
      </c>
      <c r="B223" s="8">
        <v>6</v>
      </c>
      <c r="C223" s="8">
        <v>1</v>
      </c>
      <c r="D223" s="3">
        <v>825220080</v>
      </c>
      <c r="E223" s="3" t="s">
        <v>142</v>
      </c>
      <c r="F223" s="80" t="s">
        <v>114</v>
      </c>
      <c r="G223" s="81"/>
      <c r="H223" s="1"/>
    </row>
    <row r="224" spans="1:8" ht="44.1" customHeight="1" x14ac:dyDescent="0.2">
      <c r="A224" s="8">
        <v>0</v>
      </c>
      <c r="B224" s="8">
        <v>6</v>
      </c>
      <c r="C224" s="8">
        <v>1</v>
      </c>
      <c r="D224" s="3">
        <v>825220082</v>
      </c>
      <c r="E224" s="3" t="s">
        <v>142</v>
      </c>
      <c r="F224" s="78" t="s">
        <v>113</v>
      </c>
      <c r="G224" s="79"/>
      <c r="H224" s="1"/>
    </row>
    <row r="225" spans="1:8" ht="42.95" customHeight="1" x14ac:dyDescent="0.2">
      <c r="A225" s="8">
        <v>0</v>
      </c>
      <c r="B225" s="8">
        <v>6</v>
      </c>
      <c r="C225" s="8">
        <v>1</v>
      </c>
      <c r="D225" s="3">
        <v>825220085</v>
      </c>
      <c r="E225" s="3" t="s">
        <v>142</v>
      </c>
      <c r="F225" s="80" t="s">
        <v>114</v>
      </c>
      <c r="G225" s="81"/>
      <c r="H225" s="1"/>
    </row>
    <row r="226" spans="1:8" ht="43.7" customHeight="1" x14ac:dyDescent="0.2">
      <c r="A226" s="8">
        <v>0</v>
      </c>
      <c r="B226" s="8">
        <v>6</v>
      </c>
      <c r="C226" s="8">
        <v>1</v>
      </c>
      <c r="D226" s="3">
        <v>825220086</v>
      </c>
      <c r="E226" s="3" t="s">
        <v>142</v>
      </c>
      <c r="F226" s="78" t="s">
        <v>113</v>
      </c>
      <c r="G226" s="79"/>
      <c r="H226" s="1"/>
    </row>
    <row r="227" spans="1:8" ht="42.6" customHeight="1" x14ac:dyDescent="0.2">
      <c r="A227" s="8">
        <v>1</v>
      </c>
      <c r="B227" s="8">
        <v>6</v>
      </c>
      <c r="C227" s="8">
        <v>1</v>
      </c>
      <c r="D227" s="3">
        <v>825220026</v>
      </c>
      <c r="E227" s="3" t="s">
        <v>142</v>
      </c>
      <c r="F227" s="78" t="s">
        <v>115</v>
      </c>
      <c r="G227" s="79"/>
      <c r="H227" s="1"/>
    </row>
    <row r="228" spans="1:8" ht="44.1" customHeight="1" x14ac:dyDescent="0.2">
      <c r="A228" s="8">
        <v>1</v>
      </c>
      <c r="B228" s="8">
        <v>6</v>
      </c>
      <c r="C228" s="8">
        <v>1</v>
      </c>
      <c r="D228" s="3">
        <v>825220042</v>
      </c>
      <c r="E228" s="3" t="s">
        <v>142</v>
      </c>
      <c r="F228" s="78" t="s">
        <v>115</v>
      </c>
      <c r="G228" s="79"/>
      <c r="H228" s="1"/>
    </row>
    <row r="229" spans="1:8" ht="42.95" customHeight="1" x14ac:dyDescent="0.2">
      <c r="A229" s="8">
        <v>1</v>
      </c>
      <c r="B229" s="8">
        <v>6</v>
      </c>
      <c r="C229" s="8">
        <v>1</v>
      </c>
      <c r="D229" s="3">
        <v>825220043</v>
      </c>
      <c r="E229" s="3" t="s">
        <v>142</v>
      </c>
      <c r="F229" s="78" t="s">
        <v>115</v>
      </c>
      <c r="G229" s="79"/>
      <c r="H229" s="1"/>
    </row>
    <row r="230" spans="1:8" ht="44.1" customHeight="1" x14ac:dyDescent="0.2">
      <c r="A230" s="8">
        <v>1</v>
      </c>
      <c r="B230" s="8">
        <v>6</v>
      </c>
      <c r="C230" s="8">
        <v>1</v>
      </c>
      <c r="D230" s="3">
        <v>825220044</v>
      </c>
      <c r="E230" s="3" t="s">
        <v>142</v>
      </c>
      <c r="F230" s="78" t="s">
        <v>115</v>
      </c>
      <c r="G230" s="79"/>
      <c r="H230" s="1"/>
    </row>
    <row r="231" spans="1:8" ht="44.1" customHeight="1" x14ac:dyDescent="0.2">
      <c r="A231" s="8">
        <v>1</v>
      </c>
      <c r="B231" s="8">
        <v>6</v>
      </c>
      <c r="C231" s="8">
        <v>1</v>
      </c>
      <c r="D231" s="3">
        <v>825220053</v>
      </c>
      <c r="E231" s="3" t="s">
        <v>142</v>
      </c>
      <c r="F231" s="78" t="s">
        <v>115</v>
      </c>
      <c r="G231" s="79"/>
      <c r="H231" s="1"/>
    </row>
    <row r="232" spans="1:8" ht="43.5" customHeight="1" x14ac:dyDescent="0.2">
      <c r="A232" s="8">
        <v>2</v>
      </c>
      <c r="B232" s="8">
        <v>6</v>
      </c>
      <c r="C232" s="8">
        <v>1</v>
      </c>
      <c r="D232" s="3">
        <v>535220052</v>
      </c>
      <c r="E232" s="3" t="s">
        <v>142</v>
      </c>
      <c r="F232" s="80" t="s">
        <v>116</v>
      </c>
      <c r="G232" s="81"/>
      <c r="H232" s="1"/>
    </row>
    <row r="233" spans="1:8" ht="44.1" customHeight="1" x14ac:dyDescent="0.2">
      <c r="A233" s="8">
        <v>2</v>
      </c>
      <c r="B233" s="8">
        <v>6</v>
      </c>
      <c r="C233" s="8">
        <v>1</v>
      </c>
      <c r="D233" s="3">
        <v>535220085</v>
      </c>
      <c r="E233" s="3" t="s">
        <v>142</v>
      </c>
      <c r="F233" s="80" t="s">
        <v>116</v>
      </c>
      <c r="G233" s="81"/>
      <c r="H233" s="1"/>
    </row>
    <row r="234" spans="1:8" ht="42.95" customHeight="1" x14ac:dyDescent="0.2">
      <c r="A234" s="8">
        <v>2</v>
      </c>
      <c r="B234" s="8">
        <v>6</v>
      </c>
      <c r="C234" s="8">
        <v>1</v>
      </c>
      <c r="D234" s="3">
        <v>535220087</v>
      </c>
      <c r="E234" s="3" t="s">
        <v>142</v>
      </c>
      <c r="F234" s="80" t="s">
        <v>116</v>
      </c>
      <c r="G234" s="81"/>
      <c r="H234" s="1"/>
    </row>
    <row r="235" spans="1:8" ht="44.1" customHeight="1" x14ac:dyDescent="0.2">
      <c r="A235" s="8">
        <v>2</v>
      </c>
      <c r="B235" s="8">
        <v>6</v>
      </c>
      <c r="C235" s="8">
        <v>1</v>
      </c>
      <c r="D235" s="3">
        <v>535220089</v>
      </c>
      <c r="E235" s="3" t="s">
        <v>142</v>
      </c>
      <c r="F235" s="80" t="s">
        <v>116</v>
      </c>
      <c r="G235" s="81"/>
      <c r="H235" s="1"/>
    </row>
    <row r="236" spans="1:8" ht="43.5" customHeight="1" x14ac:dyDescent="0.2">
      <c r="A236" s="8">
        <v>2</v>
      </c>
      <c r="B236" s="8">
        <v>6</v>
      </c>
      <c r="C236" s="8">
        <v>1</v>
      </c>
      <c r="D236" s="3">
        <v>535220091</v>
      </c>
      <c r="E236" s="3" t="s">
        <v>142</v>
      </c>
      <c r="F236" s="80" t="s">
        <v>116</v>
      </c>
      <c r="G236" s="81"/>
      <c r="H236" s="1"/>
    </row>
    <row r="237" spans="1:8" ht="43.5" customHeight="1" x14ac:dyDescent="0.2">
      <c r="A237" s="8">
        <v>3</v>
      </c>
      <c r="B237" s="8">
        <v>6</v>
      </c>
      <c r="C237" s="8">
        <v>1</v>
      </c>
      <c r="D237" s="3">
        <v>825220076</v>
      </c>
      <c r="E237" s="3" t="s">
        <v>142</v>
      </c>
      <c r="F237" s="80" t="s">
        <v>118</v>
      </c>
      <c r="G237" s="81"/>
      <c r="H237" s="1"/>
    </row>
    <row r="238" spans="1:8" ht="42.95" customHeight="1" x14ac:dyDescent="0.2">
      <c r="A238" s="8">
        <v>3</v>
      </c>
      <c r="B238" s="8">
        <v>6</v>
      </c>
      <c r="C238" s="8">
        <v>1</v>
      </c>
      <c r="D238" s="3">
        <v>825220077</v>
      </c>
      <c r="E238" s="3" t="s">
        <v>142</v>
      </c>
      <c r="F238" s="80" t="s">
        <v>118</v>
      </c>
      <c r="G238" s="81"/>
      <c r="H238" s="1"/>
    </row>
    <row r="239" spans="1:8" ht="44.1" customHeight="1" x14ac:dyDescent="0.2">
      <c r="A239" s="8">
        <v>3</v>
      </c>
      <c r="B239" s="8">
        <v>6</v>
      </c>
      <c r="C239" s="8">
        <v>1</v>
      </c>
      <c r="D239" s="3">
        <v>825220078</v>
      </c>
      <c r="E239" s="3" t="s">
        <v>142</v>
      </c>
      <c r="F239" s="80" t="s">
        <v>118</v>
      </c>
      <c r="G239" s="81"/>
      <c r="H239" s="1"/>
    </row>
    <row r="240" spans="1:8" ht="44.1" customHeight="1" x14ac:dyDescent="0.2">
      <c r="A240" s="8">
        <v>3</v>
      </c>
      <c r="B240" s="8">
        <v>6</v>
      </c>
      <c r="C240" s="8">
        <v>1</v>
      </c>
      <c r="D240" s="3">
        <v>825220079</v>
      </c>
      <c r="E240" s="3" t="s">
        <v>142</v>
      </c>
      <c r="F240" s="80" t="s">
        <v>118</v>
      </c>
      <c r="G240" s="81"/>
      <c r="H240" s="1"/>
    </row>
    <row r="241" spans="1:8" ht="43.5" customHeight="1" x14ac:dyDescent="0.2">
      <c r="A241" s="8">
        <v>3</v>
      </c>
      <c r="B241" s="8">
        <v>6</v>
      </c>
      <c r="C241" s="8">
        <v>1</v>
      </c>
      <c r="D241" s="3">
        <v>825220127</v>
      </c>
      <c r="E241" s="3" t="s">
        <v>142</v>
      </c>
      <c r="F241" s="80" t="s">
        <v>118</v>
      </c>
      <c r="G241" s="81"/>
      <c r="H241" s="1"/>
    </row>
    <row r="242" spans="1:8" ht="44.1" customHeight="1" x14ac:dyDescent="0.2">
      <c r="A242" s="8">
        <v>0</v>
      </c>
      <c r="B242" s="8">
        <v>6</v>
      </c>
      <c r="C242" s="8">
        <v>2</v>
      </c>
      <c r="D242" s="3">
        <v>535220039</v>
      </c>
      <c r="E242" s="3" t="s">
        <v>142</v>
      </c>
      <c r="F242" s="80" t="s">
        <v>119</v>
      </c>
      <c r="G242" s="81"/>
      <c r="H242" s="1"/>
    </row>
    <row r="243" spans="1:8" ht="42.95" customHeight="1" x14ac:dyDescent="0.2">
      <c r="A243" s="8">
        <v>0</v>
      </c>
      <c r="B243" s="8">
        <v>6</v>
      </c>
      <c r="C243" s="8">
        <v>2</v>
      </c>
      <c r="D243" s="3">
        <v>535220041</v>
      </c>
      <c r="E243" s="3" t="s">
        <v>142</v>
      </c>
      <c r="F243" s="80" t="s">
        <v>119</v>
      </c>
      <c r="G243" s="81"/>
      <c r="H243" s="1"/>
    </row>
    <row r="244" spans="1:8" ht="44.1" customHeight="1" x14ac:dyDescent="0.2">
      <c r="A244" s="8">
        <v>0</v>
      </c>
      <c r="B244" s="8">
        <v>6</v>
      </c>
      <c r="C244" s="8">
        <v>2</v>
      </c>
      <c r="D244" s="3">
        <v>535220051</v>
      </c>
      <c r="E244" s="3" t="s">
        <v>142</v>
      </c>
      <c r="F244" s="80" t="s">
        <v>119</v>
      </c>
      <c r="G244" s="81"/>
      <c r="H244" s="1"/>
    </row>
    <row r="245" spans="1:8" ht="42.95" customHeight="1" x14ac:dyDescent="0.2">
      <c r="A245" s="8">
        <v>0</v>
      </c>
      <c r="B245" s="8">
        <v>6</v>
      </c>
      <c r="C245" s="8">
        <v>2</v>
      </c>
      <c r="D245" s="3">
        <v>535220146</v>
      </c>
      <c r="E245" s="3" t="s">
        <v>142</v>
      </c>
      <c r="F245" s="80" t="s">
        <v>119</v>
      </c>
      <c r="G245" s="81"/>
      <c r="H245" s="1"/>
    </row>
    <row r="246" spans="1:8" ht="43.7" customHeight="1" x14ac:dyDescent="0.2">
      <c r="A246" s="8">
        <v>0</v>
      </c>
      <c r="B246" s="8">
        <v>6</v>
      </c>
      <c r="C246" s="8">
        <v>2</v>
      </c>
      <c r="D246" s="3">
        <v>535220151</v>
      </c>
      <c r="E246" s="3" t="s">
        <v>142</v>
      </c>
      <c r="F246" s="80" t="s">
        <v>119</v>
      </c>
      <c r="G246" s="81"/>
      <c r="H246" s="1"/>
    </row>
    <row r="247" spans="1:8" ht="42.6" customHeight="1" x14ac:dyDescent="0.2">
      <c r="A247" s="8">
        <v>1</v>
      </c>
      <c r="B247" s="8">
        <v>6</v>
      </c>
      <c r="C247" s="8">
        <v>2</v>
      </c>
      <c r="D247" s="3">
        <v>535220161</v>
      </c>
      <c r="E247" s="3" t="s">
        <v>142</v>
      </c>
      <c r="F247" s="80" t="s">
        <v>119</v>
      </c>
      <c r="G247" s="81"/>
      <c r="H247" s="1"/>
    </row>
    <row r="248" spans="1:8" ht="44.1" customHeight="1" x14ac:dyDescent="0.2">
      <c r="A248" s="8">
        <v>1</v>
      </c>
      <c r="B248" s="8">
        <v>6</v>
      </c>
      <c r="C248" s="8">
        <v>2</v>
      </c>
      <c r="D248" s="3">
        <v>535220235</v>
      </c>
      <c r="E248" s="3" t="s">
        <v>142</v>
      </c>
      <c r="F248" s="80" t="s">
        <v>119</v>
      </c>
      <c r="G248" s="81"/>
      <c r="H248" s="1"/>
    </row>
    <row r="249" spans="1:8" ht="42.95" customHeight="1" x14ac:dyDescent="0.2">
      <c r="A249" s="8">
        <v>1</v>
      </c>
      <c r="B249" s="8">
        <v>6</v>
      </c>
      <c r="C249" s="8">
        <v>2</v>
      </c>
      <c r="D249" s="3">
        <v>535220056</v>
      </c>
      <c r="E249" s="3" t="s">
        <v>142</v>
      </c>
      <c r="F249" s="78" t="s">
        <v>120</v>
      </c>
      <c r="G249" s="79"/>
      <c r="H249" s="1"/>
    </row>
    <row r="250" spans="1:8" ht="44.1" customHeight="1" x14ac:dyDescent="0.2">
      <c r="A250" s="8">
        <v>1</v>
      </c>
      <c r="B250" s="8">
        <v>6</v>
      </c>
      <c r="C250" s="8">
        <v>2</v>
      </c>
      <c r="D250" s="3">
        <v>535220057</v>
      </c>
      <c r="E250" s="3" t="s">
        <v>142</v>
      </c>
      <c r="F250" s="78" t="s">
        <v>120</v>
      </c>
      <c r="G250" s="79"/>
      <c r="H250" s="1"/>
    </row>
    <row r="251" spans="1:8" ht="44.1" customHeight="1" x14ac:dyDescent="0.2">
      <c r="A251" s="8">
        <v>1</v>
      </c>
      <c r="B251" s="8">
        <v>6</v>
      </c>
      <c r="C251" s="8">
        <v>2</v>
      </c>
      <c r="D251" s="3">
        <v>535220106</v>
      </c>
      <c r="E251" s="3" t="s">
        <v>142</v>
      </c>
      <c r="F251" s="78" t="s">
        <v>120</v>
      </c>
      <c r="G251" s="79"/>
      <c r="H251" s="1"/>
    </row>
    <row r="252" spans="1:8" ht="44.1" customHeight="1" x14ac:dyDescent="0.2">
      <c r="A252" s="8">
        <v>2</v>
      </c>
      <c r="B252" s="8">
        <v>6</v>
      </c>
      <c r="C252" s="8">
        <v>2</v>
      </c>
      <c r="D252" s="3">
        <v>535220108</v>
      </c>
      <c r="E252" s="3" t="s">
        <v>142</v>
      </c>
      <c r="F252" s="78" t="s">
        <v>121</v>
      </c>
      <c r="G252" s="79"/>
      <c r="H252" s="1"/>
    </row>
    <row r="253" spans="1:8" ht="44.1" customHeight="1" x14ac:dyDescent="0.2">
      <c r="A253" s="8">
        <v>2</v>
      </c>
      <c r="B253" s="8">
        <v>6</v>
      </c>
      <c r="C253" s="8">
        <v>2</v>
      </c>
      <c r="D253" s="3">
        <v>535220109</v>
      </c>
      <c r="E253" s="3" t="s">
        <v>142</v>
      </c>
      <c r="F253" s="78" t="s">
        <v>121</v>
      </c>
      <c r="G253" s="79"/>
      <c r="H253" s="1"/>
    </row>
    <row r="254" spans="1:8" ht="42.95" customHeight="1" x14ac:dyDescent="0.2">
      <c r="A254" s="8">
        <v>2</v>
      </c>
      <c r="B254" s="8">
        <v>6</v>
      </c>
      <c r="C254" s="8">
        <v>2</v>
      </c>
      <c r="D254" s="3">
        <v>535220162</v>
      </c>
      <c r="E254" s="3" t="s">
        <v>142</v>
      </c>
      <c r="F254" s="80" t="s">
        <v>122</v>
      </c>
      <c r="G254" s="81"/>
      <c r="H254" s="1"/>
    </row>
    <row r="255" spans="1:8" ht="44.1" customHeight="1" x14ac:dyDescent="0.2">
      <c r="A255" s="8">
        <v>2</v>
      </c>
      <c r="B255" s="8">
        <v>6</v>
      </c>
      <c r="C255" s="8">
        <v>2</v>
      </c>
      <c r="D255" s="3">
        <v>535220166</v>
      </c>
      <c r="E255" s="3" t="s">
        <v>142</v>
      </c>
      <c r="F255" s="78" t="s">
        <v>121</v>
      </c>
      <c r="G255" s="79"/>
      <c r="H255" s="1"/>
    </row>
    <row r="256" spans="1:8" ht="43.5" customHeight="1" x14ac:dyDescent="0.2">
      <c r="A256" s="8">
        <v>2</v>
      </c>
      <c r="B256" s="8">
        <v>6</v>
      </c>
      <c r="C256" s="8">
        <v>2</v>
      </c>
      <c r="D256" s="3">
        <v>535220170</v>
      </c>
      <c r="E256" s="3" t="s">
        <v>142</v>
      </c>
      <c r="F256" s="80" t="s">
        <v>122</v>
      </c>
      <c r="G256" s="81"/>
      <c r="H256" s="1"/>
    </row>
    <row r="257" spans="1:8" ht="44.1" customHeight="1" x14ac:dyDescent="0.2">
      <c r="A257" s="8">
        <v>0</v>
      </c>
      <c r="B257" s="8">
        <v>7</v>
      </c>
      <c r="C257" s="8">
        <v>0</v>
      </c>
      <c r="D257" s="3">
        <v>825220021</v>
      </c>
      <c r="E257" s="3" t="s">
        <v>143</v>
      </c>
      <c r="F257" s="80" t="s">
        <v>123</v>
      </c>
      <c r="G257" s="81"/>
      <c r="H257" s="1"/>
    </row>
    <row r="258" spans="1:8" ht="42.95" customHeight="1" x14ac:dyDescent="0.2">
      <c r="A258" s="8">
        <v>0</v>
      </c>
      <c r="B258" s="8">
        <v>7</v>
      </c>
      <c r="C258" s="8">
        <v>0</v>
      </c>
      <c r="D258" s="3">
        <v>825220031</v>
      </c>
      <c r="E258" s="3" t="s">
        <v>143</v>
      </c>
      <c r="F258" s="80" t="s">
        <v>123</v>
      </c>
      <c r="G258" s="81"/>
      <c r="H258" s="1"/>
    </row>
    <row r="259" spans="1:8" ht="44.1" customHeight="1" x14ac:dyDescent="0.2">
      <c r="A259" s="8">
        <v>0</v>
      </c>
      <c r="B259" s="8">
        <v>7</v>
      </c>
      <c r="C259" s="8">
        <v>0</v>
      </c>
      <c r="D259" s="3">
        <v>825220032</v>
      </c>
      <c r="E259" s="3" t="s">
        <v>143</v>
      </c>
      <c r="F259" s="80" t="s">
        <v>123</v>
      </c>
      <c r="G259" s="81"/>
      <c r="H259" s="1"/>
    </row>
    <row r="260" spans="1:8" ht="44.1" customHeight="1" x14ac:dyDescent="0.2">
      <c r="A260" s="8">
        <v>0</v>
      </c>
      <c r="B260" s="8">
        <v>7</v>
      </c>
      <c r="C260" s="8">
        <v>0</v>
      </c>
      <c r="D260" s="3">
        <v>825220033</v>
      </c>
      <c r="E260" s="3" t="s">
        <v>143</v>
      </c>
      <c r="F260" s="80" t="s">
        <v>123</v>
      </c>
      <c r="G260" s="81"/>
      <c r="H260" s="1"/>
    </row>
    <row r="261" spans="1:8" ht="33" customHeight="1" x14ac:dyDescent="0.2">
      <c r="A261" s="8">
        <v>0</v>
      </c>
      <c r="B261" s="8">
        <v>7</v>
      </c>
      <c r="C261" s="8">
        <v>0</v>
      </c>
      <c r="D261" s="4">
        <v>825220035</v>
      </c>
      <c r="E261" s="3" t="s">
        <v>143</v>
      </c>
      <c r="F261" s="82" t="s">
        <v>124</v>
      </c>
      <c r="G261" s="83"/>
      <c r="H261" s="1"/>
    </row>
    <row r="262" spans="1:8" ht="42.95" customHeight="1" x14ac:dyDescent="0.2">
      <c r="A262" s="8">
        <v>1</v>
      </c>
      <c r="B262" s="8">
        <v>7</v>
      </c>
      <c r="C262" s="8">
        <v>0</v>
      </c>
      <c r="D262" s="3">
        <v>535220160</v>
      </c>
      <c r="E262" s="3" t="s">
        <v>143</v>
      </c>
      <c r="F262" s="80" t="s">
        <v>124</v>
      </c>
      <c r="G262" s="81"/>
    </row>
    <row r="263" spans="1:8" ht="44.1" customHeight="1" x14ac:dyDescent="0.2">
      <c r="A263" s="8">
        <v>1</v>
      </c>
      <c r="B263" s="8">
        <v>7</v>
      </c>
      <c r="C263" s="8">
        <v>0</v>
      </c>
      <c r="D263" s="3">
        <v>535220178</v>
      </c>
      <c r="E263" s="3" t="s">
        <v>143</v>
      </c>
      <c r="F263" s="78" t="s">
        <v>125</v>
      </c>
      <c r="G263" s="79"/>
    </row>
    <row r="264" spans="1:8" ht="42.95" customHeight="1" x14ac:dyDescent="0.2">
      <c r="A264" s="8">
        <v>1</v>
      </c>
      <c r="B264" s="8">
        <v>7</v>
      </c>
      <c r="C264" s="8">
        <v>0</v>
      </c>
      <c r="D264" s="3">
        <v>535220196</v>
      </c>
      <c r="E264" s="3" t="s">
        <v>143</v>
      </c>
      <c r="F264" s="80" t="s">
        <v>124</v>
      </c>
      <c r="G264" s="81"/>
    </row>
    <row r="265" spans="1:8" ht="44.1" customHeight="1" x14ac:dyDescent="0.2">
      <c r="A265" s="8">
        <v>1</v>
      </c>
      <c r="B265" s="8">
        <v>7</v>
      </c>
      <c r="C265" s="8">
        <v>0</v>
      </c>
      <c r="D265" s="3">
        <v>535220216</v>
      </c>
      <c r="E265" s="3" t="s">
        <v>143</v>
      </c>
      <c r="F265" s="78" t="s">
        <v>125</v>
      </c>
      <c r="G265" s="79"/>
    </row>
    <row r="266" spans="1:8" ht="42.6" customHeight="1" x14ac:dyDescent="0.2">
      <c r="A266" s="8">
        <v>1</v>
      </c>
      <c r="B266" s="8">
        <v>7</v>
      </c>
      <c r="C266" s="8">
        <v>0</v>
      </c>
      <c r="D266" s="3">
        <v>535220219</v>
      </c>
      <c r="E266" s="3" t="s">
        <v>143</v>
      </c>
      <c r="F266" s="78" t="s">
        <v>125</v>
      </c>
      <c r="G266" s="79"/>
    </row>
    <row r="267" spans="1:8" ht="44.1" customHeight="1" x14ac:dyDescent="0.2">
      <c r="A267" s="8">
        <v>2</v>
      </c>
      <c r="B267" s="8">
        <v>7</v>
      </c>
      <c r="C267" s="8">
        <v>0</v>
      </c>
      <c r="D267" s="3">
        <v>535220222</v>
      </c>
      <c r="E267" s="3" t="s">
        <v>143</v>
      </c>
      <c r="F267" s="78" t="s">
        <v>126</v>
      </c>
      <c r="G267" s="79"/>
    </row>
    <row r="268" spans="1:8" ht="42.95" customHeight="1" x14ac:dyDescent="0.2">
      <c r="A268" s="8">
        <v>2</v>
      </c>
      <c r="B268" s="8">
        <v>7</v>
      </c>
      <c r="C268" s="8">
        <v>0</v>
      </c>
      <c r="D268" s="3">
        <v>535220226</v>
      </c>
      <c r="E268" s="3" t="s">
        <v>143</v>
      </c>
      <c r="F268" s="78" t="s">
        <v>126</v>
      </c>
      <c r="G268" s="79"/>
    </row>
    <row r="269" spans="1:8" ht="44.1" customHeight="1" x14ac:dyDescent="0.2">
      <c r="A269" s="8">
        <v>2</v>
      </c>
      <c r="B269" s="8">
        <v>7</v>
      </c>
      <c r="C269" s="8">
        <v>0</v>
      </c>
      <c r="D269" s="3">
        <v>535220231</v>
      </c>
      <c r="E269" s="3" t="s">
        <v>143</v>
      </c>
      <c r="F269" s="78" t="s">
        <v>126</v>
      </c>
      <c r="G269" s="79"/>
    </row>
    <row r="270" spans="1:8" ht="44.1" customHeight="1" x14ac:dyDescent="0.2">
      <c r="A270" s="8">
        <v>2</v>
      </c>
      <c r="B270" s="8">
        <v>7</v>
      </c>
      <c r="C270" s="8">
        <v>0</v>
      </c>
      <c r="D270" s="3">
        <v>535220237</v>
      </c>
      <c r="E270" s="3" t="s">
        <v>143</v>
      </c>
      <c r="F270" s="78" t="s">
        <v>126</v>
      </c>
      <c r="G270" s="79"/>
    </row>
    <row r="271" spans="1:8" ht="43.35" customHeight="1" x14ac:dyDescent="0.2">
      <c r="A271" s="8">
        <v>2</v>
      </c>
      <c r="B271" s="8">
        <v>7</v>
      </c>
      <c r="C271" s="8">
        <v>0</v>
      </c>
      <c r="D271" s="3">
        <v>535220241</v>
      </c>
      <c r="E271" s="3" t="s">
        <v>143</v>
      </c>
      <c r="F271" s="80" t="s">
        <v>127</v>
      </c>
      <c r="G271" s="81"/>
    </row>
    <row r="272" spans="1:8" ht="44.1" customHeight="1" x14ac:dyDescent="0.2">
      <c r="A272" s="8">
        <v>3</v>
      </c>
      <c r="B272" s="8">
        <v>7</v>
      </c>
      <c r="C272" s="8">
        <v>0</v>
      </c>
      <c r="D272" s="3">
        <v>535220243</v>
      </c>
      <c r="E272" s="3" t="s">
        <v>143</v>
      </c>
      <c r="F272" s="80" t="s">
        <v>128</v>
      </c>
      <c r="G272" s="81"/>
    </row>
    <row r="273" spans="1:8" ht="44.1" customHeight="1" x14ac:dyDescent="0.2">
      <c r="A273" s="8">
        <v>3</v>
      </c>
      <c r="B273" s="8">
        <v>7</v>
      </c>
      <c r="C273" s="8">
        <v>0</v>
      </c>
      <c r="D273" s="3">
        <v>535220248</v>
      </c>
      <c r="E273" s="3" t="s">
        <v>143</v>
      </c>
      <c r="F273" s="80" t="s">
        <v>128</v>
      </c>
      <c r="G273" s="81"/>
    </row>
    <row r="274" spans="1:8" ht="42.95" customHeight="1" x14ac:dyDescent="0.2">
      <c r="A274" s="8">
        <v>3</v>
      </c>
      <c r="B274" s="8">
        <v>7</v>
      </c>
      <c r="C274" s="8">
        <v>0</v>
      </c>
      <c r="D274" s="3">
        <v>535220252</v>
      </c>
      <c r="E274" s="3" t="s">
        <v>143</v>
      </c>
      <c r="F274" s="80" t="s">
        <v>128</v>
      </c>
      <c r="G274" s="81"/>
    </row>
    <row r="275" spans="1:8" ht="44.1" customHeight="1" x14ac:dyDescent="0.2">
      <c r="A275" s="8">
        <v>3</v>
      </c>
      <c r="B275" s="8">
        <v>7</v>
      </c>
      <c r="C275" s="8">
        <v>0</v>
      </c>
      <c r="D275" s="3">
        <v>535220254</v>
      </c>
      <c r="E275" s="3" t="s">
        <v>143</v>
      </c>
      <c r="F275" s="80" t="s">
        <v>128</v>
      </c>
      <c r="G275" s="81"/>
    </row>
    <row r="276" spans="1:8" ht="42.6" customHeight="1" x14ac:dyDescent="0.2">
      <c r="A276" s="8">
        <v>3</v>
      </c>
      <c r="B276" s="8">
        <v>7</v>
      </c>
      <c r="C276" s="8">
        <v>0</v>
      </c>
      <c r="D276" s="3">
        <v>535220261</v>
      </c>
      <c r="E276" s="3" t="s">
        <v>143</v>
      </c>
      <c r="F276" s="80" t="s">
        <v>128</v>
      </c>
      <c r="G276" s="81"/>
    </row>
    <row r="277" spans="1:8" ht="44.1" customHeight="1" x14ac:dyDescent="0.2">
      <c r="A277" s="8">
        <v>4</v>
      </c>
      <c r="B277" s="8">
        <v>7</v>
      </c>
      <c r="C277" s="8">
        <v>0</v>
      </c>
      <c r="D277" s="3">
        <v>825220141</v>
      </c>
      <c r="E277" s="3" t="s">
        <v>142</v>
      </c>
      <c r="F277" s="78" t="s">
        <v>115</v>
      </c>
      <c r="G277" s="79"/>
    </row>
    <row r="278" spans="1:8" ht="42.95" customHeight="1" x14ac:dyDescent="0.2">
      <c r="A278" s="8">
        <v>4</v>
      </c>
      <c r="B278" s="8">
        <v>7</v>
      </c>
      <c r="C278" s="8">
        <v>0</v>
      </c>
      <c r="D278" s="3">
        <v>825220143</v>
      </c>
      <c r="E278" s="3" t="s">
        <v>142</v>
      </c>
      <c r="F278" s="78" t="s">
        <v>115</v>
      </c>
      <c r="G278" s="79"/>
    </row>
    <row r="279" spans="1:8" ht="44.1" customHeight="1" x14ac:dyDescent="0.2">
      <c r="A279" s="8">
        <v>4</v>
      </c>
      <c r="B279" s="8">
        <v>7</v>
      </c>
      <c r="C279" s="8">
        <v>0</v>
      </c>
      <c r="D279" s="3">
        <v>825220156</v>
      </c>
      <c r="E279" s="3" t="s">
        <v>142</v>
      </c>
      <c r="F279" s="78" t="s">
        <v>115</v>
      </c>
      <c r="G279" s="79"/>
    </row>
    <row r="280" spans="1:8" ht="44.1" customHeight="1" x14ac:dyDescent="0.2">
      <c r="A280" s="8">
        <v>4</v>
      </c>
      <c r="B280" s="8">
        <v>7</v>
      </c>
      <c r="C280" s="8">
        <v>0</v>
      </c>
      <c r="D280" s="3">
        <v>825220172</v>
      </c>
      <c r="E280" s="3" t="s">
        <v>142</v>
      </c>
      <c r="F280" s="78" t="s">
        <v>115</v>
      </c>
      <c r="G280" s="79"/>
    </row>
    <row r="281" spans="1:8" ht="42.6" customHeight="1" x14ac:dyDescent="0.2">
      <c r="A281" s="8">
        <v>4</v>
      </c>
      <c r="B281" s="8">
        <v>7</v>
      </c>
      <c r="C281" s="8">
        <v>0</v>
      </c>
      <c r="D281" s="3">
        <v>825220173</v>
      </c>
      <c r="E281" s="3" t="s">
        <v>142</v>
      </c>
      <c r="F281" s="80" t="s">
        <v>129</v>
      </c>
      <c r="G281" s="81"/>
    </row>
    <row r="282" spans="1:8" ht="60" customHeight="1" x14ac:dyDescent="0.2">
      <c r="A282" s="11">
        <v>5</v>
      </c>
      <c r="B282" s="8">
        <v>7</v>
      </c>
      <c r="C282" s="8">
        <v>0</v>
      </c>
      <c r="D282" s="4">
        <v>825220070</v>
      </c>
      <c r="E282" s="3" t="s">
        <v>142</v>
      </c>
      <c r="F282" s="89" t="s">
        <v>881</v>
      </c>
      <c r="G282" s="79"/>
    </row>
    <row r="283" spans="1:8" ht="44.1" customHeight="1" x14ac:dyDescent="0.2">
      <c r="A283" s="11">
        <v>5</v>
      </c>
      <c r="B283" s="8">
        <v>7</v>
      </c>
      <c r="C283" s="8">
        <v>0</v>
      </c>
      <c r="D283" s="3">
        <v>825220090</v>
      </c>
      <c r="E283" s="3" t="s">
        <v>142</v>
      </c>
      <c r="F283" s="78" t="s">
        <v>113</v>
      </c>
      <c r="G283" s="79"/>
      <c r="H283" s="1"/>
    </row>
    <row r="284" spans="1:8" ht="42.95" customHeight="1" x14ac:dyDescent="0.2">
      <c r="A284" s="11">
        <v>5</v>
      </c>
      <c r="B284" s="8">
        <v>7</v>
      </c>
      <c r="C284" s="8">
        <v>0</v>
      </c>
      <c r="D284" s="3">
        <v>825220091</v>
      </c>
      <c r="E284" s="3" t="s">
        <v>142</v>
      </c>
      <c r="F284" s="80" t="s">
        <v>114</v>
      </c>
      <c r="G284" s="81"/>
      <c r="H284" s="1"/>
    </row>
    <row r="285" spans="1:8" ht="44.1" customHeight="1" x14ac:dyDescent="0.2">
      <c r="A285" s="11">
        <v>5</v>
      </c>
      <c r="B285" s="8">
        <v>7</v>
      </c>
      <c r="C285" s="8">
        <v>0</v>
      </c>
      <c r="D285" s="3">
        <v>825220092</v>
      </c>
      <c r="E285" s="3" t="s">
        <v>142</v>
      </c>
      <c r="F285" s="78" t="s">
        <v>113</v>
      </c>
      <c r="G285" s="79"/>
      <c r="H285" s="1"/>
    </row>
    <row r="286" spans="1:8" ht="43.5" customHeight="1" x14ac:dyDescent="0.2">
      <c r="A286" s="11">
        <v>5</v>
      </c>
      <c r="B286" s="8">
        <v>7</v>
      </c>
      <c r="C286" s="8">
        <v>0</v>
      </c>
      <c r="D286" s="3">
        <v>825220097</v>
      </c>
      <c r="E286" s="3" t="s">
        <v>142</v>
      </c>
      <c r="F286" s="80" t="s">
        <v>114</v>
      </c>
      <c r="G286" s="81"/>
      <c r="H286" s="1"/>
    </row>
    <row r="287" spans="1:8" ht="43.5" customHeight="1" x14ac:dyDescent="0.2">
      <c r="A287" s="8">
        <v>6</v>
      </c>
      <c r="B287" s="8">
        <v>7</v>
      </c>
      <c r="C287" s="8">
        <v>0</v>
      </c>
      <c r="D287" s="3">
        <v>535220094</v>
      </c>
      <c r="E287" s="3" t="s">
        <v>142</v>
      </c>
      <c r="F287" s="80" t="s">
        <v>116</v>
      </c>
      <c r="G287" s="81"/>
      <c r="H287" s="1"/>
    </row>
    <row r="288" spans="1:8" ht="42.95" customHeight="1" x14ac:dyDescent="0.2">
      <c r="A288" s="8">
        <v>6</v>
      </c>
      <c r="B288" s="8">
        <v>7</v>
      </c>
      <c r="C288" s="8">
        <v>0</v>
      </c>
      <c r="D288" s="3">
        <v>535220098</v>
      </c>
      <c r="E288" s="3" t="s">
        <v>142</v>
      </c>
      <c r="F288" s="80" t="s">
        <v>116</v>
      </c>
      <c r="G288" s="81"/>
      <c r="H288" s="1"/>
    </row>
    <row r="289" spans="1:8" ht="44.1" customHeight="1" x14ac:dyDescent="0.2">
      <c r="A289" s="8">
        <v>6</v>
      </c>
      <c r="B289" s="8">
        <v>7</v>
      </c>
      <c r="C289" s="8">
        <v>0</v>
      </c>
      <c r="D289" s="3">
        <v>535220102</v>
      </c>
      <c r="E289" s="3" t="s">
        <v>142</v>
      </c>
      <c r="F289" s="80" t="s">
        <v>116</v>
      </c>
      <c r="G289" s="81"/>
      <c r="H289" s="1"/>
    </row>
    <row r="290" spans="1:8" ht="44.1" customHeight="1" x14ac:dyDescent="0.2">
      <c r="A290" s="8">
        <v>6</v>
      </c>
      <c r="B290" s="8">
        <v>7</v>
      </c>
      <c r="C290" s="8">
        <v>0</v>
      </c>
      <c r="D290" s="3">
        <v>535220155</v>
      </c>
      <c r="E290" s="3" t="s">
        <v>142</v>
      </c>
      <c r="F290" s="80" t="s">
        <v>116</v>
      </c>
      <c r="G290" s="81"/>
      <c r="H290" s="1"/>
    </row>
    <row r="291" spans="1:8" ht="43.5" customHeight="1" x14ac:dyDescent="0.2">
      <c r="A291" s="8">
        <v>6</v>
      </c>
      <c r="B291" s="8">
        <v>7</v>
      </c>
      <c r="C291" s="8">
        <v>0</v>
      </c>
      <c r="D291" s="3">
        <v>535220156</v>
      </c>
      <c r="E291" s="3" t="s">
        <v>142</v>
      </c>
      <c r="F291" s="80" t="s">
        <v>116</v>
      </c>
      <c r="G291" s="81"/>
      <c r="H291" s="1"/>
    </row>
    <row r="292" spans="1:8" ht="44.1" customHeight="1" x14ac:dyDescent="0.2">
      <c r="A292" s="8">
        <v>0</v>
      </c>
      <c r="B292" s="8">
        <v>7</v>
      </c>
      <c r="C292" s="8">
        <v>1</v>
      </c>
      <c r="D292" s="3">
        <v>825220098</v>
      </c>
      <c r="E292" s="3" t="s">
        <v>142</v>
      </c>
      <c r="F292" s="78" t="s">
        <v>130</v>
      </c>
      <c r="G292" s="79"/>
    </row>
    <row r="293" spans="1:8" ht="44.1" customHeight="1" x14ac:dyDescent="0.2">
      <c r="A293" s="8">
        <v>0</v>
      </c>
      <c r="B293" s="8">
        <v>7</v>
      </c>
      <c r="C293" s="8">
        <v>1</v>
      </c>
      <c r="D293" s="3">
        <v>825220099</v>
      </c>
      <c r="E293" s="3" t="s">
        <v>142</v>
      </c>
      <c r="F293" s="78" t="s">
        <v>130</v>
      </c>
      <c r="G293" s="79"/>
    </row>
    <row r="294" spans="1:8" ht="42.95" customHeight="1" x14ac:dyDescent="0.2">
      <c r="A294" s="8">
        <v>0</v>
      </c>
      <c r="B294" s="8">
        <v>7</v>
      </c>
      <c r="C294" s="8">
        <v>1</v>
      </c>
      <c r="D294" s="3">
        <v>825220102</v>
      </c>
      <c r="E294" s="3" t="s">
        <v>142</v>
      </c>
      <c r="F294" s="80" t="s">
        <v>131</v>
      </c>
      <c r="G294" s="81"/>
    </row>
    <row r="295" spans="1:8" ht="44.1" customHeight="1" x14ac:dyDescent="0.2">
      <c r="A295" s="8">
        <v>0</v>
      </c>
      <c r="B295" s="8">
        <v>7</v>
      </c>
      <c r="C295" s="8">
        <v>1</v>
      </c>
      <c r="D295" s="3">
        <v>825220103</v>
      </c>
      <c r="E295" s="3" t="s">
        <v>142</v>
      </c>
      <c r="F295" s="78" t="s">
        <v>130</v>
      </c>
      <c r="G295" s="79"/>
    </row>
    <row r="296" spans="1:8" ht="42.6" customHeight="1" x14ac:dyDescent="0.2">
      <c r="A296" s="8">
        <v>0</v>
      </c>
      <c r="B296" s="8">
        <v>7</v>
      </c>
      <c r="C296" s="8">
        <v>1</v>
      </c>
      <c r="D296" s="3">
        <v>825220110</v>
      </c>
      <c r="E296" s="3" t="s">
        <v>142</v>
      </c>
      <c r="F296" s="80" t="s">
        <v>131</v>
      </c>
      <c r="G296" s="81"/>
    </row>
    <row r="297" spans="1:8" ht="44.1" customHeight="1" x14ac:dyDescent="0.2">
      <c r="A297" s="8">
        <v>1</v>
      </c>
      <c r="B297" s="8">
        <v>7</v>
      </c>
      <c r="C297" s="8">
        <v>1</v>
      </c>
      <c r="D297" s="3">
        <v>825220111</v>
      </c>
      <c r="E297" s="3" t="s">
        <v>142</v>
      </c>
      <c r="F297" s="78" t="s">
        <v>132</v>
      </c>
      <c r="G297" s="79"/>
    </row>
    <row r="298" spans="1:8" ht="42.95" customHeight="1" x14ac:dyDescent="0.2">
      <c r="A298" s="8">
        <v>1</v>
      </c>
      <c r="B298" s="8">
        <v>7</v>
      </c>
      <c r="C298" s="8">
        <v>1</v>
      </c>
      <c r="D298" s="3">
        <v>825220117</v>
      </c>
      <c r="E298" s="3" t="s">
        <v>142</v>
      </c>
      <c r="F298" s="78" t="s">
        <v>132</v>
      </c>
      <c r="G298" s="79"/>
    </row>
    <row r="299" spans="1:8" ht="44.1" customHeight="1" x14ac:dyDescent="0.2">
      <c r="A299" s="8">
        <v>1</v>
      </c>
      <c r="B299" s="8">
        <v>7</v>
      </c>
      <c r="C299" s="8">
        <v>1</v>
      </c>
      <c r="D299" s="3">
        <v>535220157</v>
      </c>
      <c r="E299" s="3" t="s">
        <v>142</v>
      </c>
      <c r="F299" s="80" t="s">
        <v>116</v>
      </c>
      <c r="G299" s="81"/>
    </row>
    <row r="300" spans="1:8" ht="44.1" customHeight="1" x14ac:dyDescent="0.2">
      <c r="A300" s="8">
        <v>1</v>
      </c>
      <c r="B300" s="8">
        <v>7</v>
      </c>
      <c r="C300" s="8">
        <v>1</v>
      </c>
      <c r="D300" s="3">
        <v>535220159</v>
      </c>
      <c r="E300" s="3" t="s">
        <v>142</v>
      </c>
      <c r="F300" s="80" t="s">
        <v>116</v>
      </c>
      <c r="G300" s="81"/>
    </row>
    <row r="301" spans="1:8" ht="42.6" customHeight="1" x14ac:dyDescent="0.2">
      <c r="A301" s="8">
        <v>1</v>
      </c>
      <c r="B301" s="8">
        <v>7</v>
      </c>
      <c r="C301" s="8">
        <v>1</v>
      </c>
      <c r="D301" s="3">
        <v>535220220</v>
      </c>
      <c r="E301" s="3" t="s">
        <v>142</v>
      </c>
      <c r="F301" s="80" t="s">
        <v>116</v>
      </c>
      <c r="G301" s="81"/>
    </row>
    <row r="302" spans="1:8" ht="56.25" customHeight="1" x14ac:dyDescent="0.2">
      <c r="A302" s="11">
        <v>2</v>
      </c>
      <c r="B302" s="8">
        <v>7</v>
      </c>
      <c r="C302" s="8">
        <v>1</v>
      </c>
      <c r="D302" s="4">
        <v>535220225</v>
      </c>
      <c r="E302" s="3" t="s">
        <v>142</v>
      </c>
      <c r="F302" s="78" t="s">
        <v>133</v>
      </c>
      <c r="G302" s="79"/>
    </row>
    <row r="303" spans="1:8" ht="44.1" customHeight="1" x14ac:dyDescent="0.2">
      <c r="A303" s="11">
        <v>2</v>
      </c>
      <c r="B303" s="8">
        <v>7</v>
      </c>
      <c r="C303" s="8">
        <v>1</v>
      </c>
      <c r="D303" s="3">
        <v>535220246</v>
      </c>
      <c r="E303" s="3" t="s">
        <v>142</v>
      </c>
      <c r="F303" s="78" t="s">
        <v>133</v>
      </c>
      <c r="G303" s="79"/>
      <c r="H303" s="1"/>
    </row>
    <row r="304" spans="1:8" ht="42.95" customHeight="1" x14ac:dyDescent="0.2">
      <c r="A304" s="11">
        <v>2</v>
      </c>
      <c r="B304" s="8">
        <v>7</v>
      </c>
      <c r="C304" s="8">
        <v>1</v>
      </c>
      <c r="D304" s="3">
        <v>535220258</v>
      </c>
      <c r="E304" s="3" t="s">
        <v>142</v>
      </c>
      <c r="F304" s="80" t="s">
        <v>134</v>
      </c>
      <c r="G304" s="81"/>
      <c r="H304" s="1"/>
    </row>
    <row r="305" spans="1:8" ht="44.1" customHeight="1" x14ac:dyDescent="0.2">
      <c r="A305" s="11">
        <v>2</v>
      </c>
      <c r="B305" s="8">
        <v>7</v>
      </c>
      <c r="C305" s="8">
        <v>1</v>
      </c>
      <c r="D305" s="3">
        <v>535220042</v>
      </c>
      <c r="E305" s="3" t="s">
        <v>142</v>
      </c>
      <c r="F305" s="78" t="s">
        <v>135</v>
      </c>
      <c r="G305" s="79"/>
      <c r="H305" s="1"/>
    </row>
    <row r="306" spans="1:8" ht="43.5" customHeight="1" x14ac:dyDescent="0.2">
      <c r="A306" s="11">
        <v>2</v>
      </c>
      <c r="B306" s="8">
        <v>7</v>
      </c>
      <c r="C306" s="8">
        <v>1</v>
      </c>
      <c r="D306" s="3">
        <v>535220043</v>
      </c>
      <c r="E306" s="3" t="s">
        <v>142</v>
      </c>
      <c r="F306" s="80" t="s">
        <v>136</v>
      </c>
      <c r="G306" s="81"/>
      <c r="H306" s="1"/>
    </row>
    <row r="307" spans="1:8" ht="43.5" customHeight="1" x14ac:dyDescent="0.2">
      <c r="A307" s="8">
        <v>3</v>
      </c>
      <c r="B307" s="8">
        <v>7</v>
      </c>
      <c r="C307" s="8">
        <v>1</v>
      </c>
      <c r="D307" s="3">
        <v>535220048</v>
      </c>
      <c r="E307" s="3" t="s">
        <v>142</v>
      </c>
      <c r="F307" s="78" t="s">
        <v>135</v>
      </c>
      <c r="G307" s="79"/>
      <c r="H307" s="1"/>
    </row>
    <row r="308" spans="1:8" ht="42.95" customHeight="1" x14ac:dyDescent="0.2">
      <c r="A308" s="8">
        <v>3</v>
      </c>
      <c r="B308" s="8">
        <v>7</v>
      </c>
      <c r="C308" s="8">
        <v>1</v>
      </c>
      <c r="D308" s="3">
        <v>535220049</v>
      </c>
      <c r="E308" s="3" t="s">
        <v>142</v>
      </c>
      <c r="F308" s="78" t="s">
        <v>135</v>
      </c>
      <c r="G308" s="79"/>
      <c r="H308" s="1"/>
    </row>
    <row r="309" spans="1:8" ht="44.1" customHeight="1" x14ac:dyDescent="0.2">
      <c r="A309" s="8">
        <v>3</v>
      </c>
      <c r="B309" s="8">
        <v>7</v>
      </c>
      <c r="C309" s="8">
        <v>1</v>
      </c>
      <c r="D309" s="3">
        <v>535220073</v>
      </c>
      <c r="E309" s="3" t="s">
        <v>142</v>
      </c>
      <c r="F309" s="78" t="s">
        <v>135</v>
      </c>
      <c r="G309" s="79"/>
      <c r="H309" s="1"/>
    </row>
    <row r="310" spans="1:8" ht="44.1" customHeight="1" x14ac:dyDescent="0.2">
      <c r="A310" s="8">
        <v>3</v>
      </c>
      <c r="B310" s="8">
        <v>7</v>
      </c>
      <c r="C310" s="8">
        <v>1</v>
      </c>
      <c r="D310" s="3">
        <v>535220074</v>
      </c>
      <c r="E310" s="3" t="s">
        <v>142</v>
      </c>
      <c r="F310" s="78" t="s">
        <v>135</v>
      </c>
      <c r="G310" s="79"/>
      <c r="H310" s="1"/>
    </row>
    <row r="311" spans="1:8" ht="43.5" customHeight="1" x14ac:dyDescent="0.2">
      <c r="A311" s="8">
        <v>3</v>
      </c>
      <c r="B311" s="8">
        <v>7</v>
      </c>
      <c r="C311" s="8">
        <v>1</v>
      </c>
      <c r="D311" s="3">
        <v>535220081</v>
      </c>
      <c r="E311" s="3" t="s">
        <v>142</v>
      </c>
      <c r="F311" s="80" t="s">
        <v>136</v>
      </c>
      <c r="G311" s="81"/>
      <c r="H311" s="1"/>
    </row>
    <row r="312" spans="1:8" ht="44.1" customHeight="1" x14ac:dyDescent="0.2">
      <c r="A312" s="8">
        <v>0</v>
      </c>
      <c r="B312" s="8">
        <v>8</v>
      </c>
      <c r="C312" s="8">
        <v>0</v>
      </c>
      <c r="D312" s="3">
        <v>825220094</v>
      </c>
      <c r="E312" s="3" t="s">
        <v>143</v>
      </c>
      <c r="F312" s="80" t="s">
        <v>137</v>
      </c>
      <c r="G312" s="81"/>
    </row>
    <row r="313" spans="1:8" ht="44.1" customHeight="1" x14ac:dyDescent="0.2">
      <c r="A313" s="8">
        <v>0</v>
      </c>
      <c r="B313" s="8">
        <v>8</v>
      </c>
      <c r="C313" s="8">
        <v>0</v>
      </c>
      <c r="D313" s="3">
        <v>825220095</v>
      </c>
      <c r="E313" s="3" t="s">
        <v>143</v>
      </c>
      <c r="F313" s="80" t="s">
        <v>137</v>
      </c>
      <c r="G313" s="81"/>
    </row>
    <row r="314" spans="1:8" ht="42.95" customHeight="1" x14ac:dyDescent="0.2">
      <c r="A314" s="8">
        <v>0</v>
      </c>
      <c r="B314" s="8">
        <v>8</v>
      </c>
      <c r="C314" s="8">
        <v>0</v>
      </c>
      <c r="D314" s="3">
        <v>825220105</v>
      </c>
      <c r="E314" s="3" t="s">
        <v>143</v>
      </c>
      <c r="F314" s="80" t="s">
        <v>137</v>
      </c>
      <c r="G314" s="81"/>
    </row>
    <row r="315" spans="1:8" ht="44.1" customHeight="1" x14ac:dyDescent="0.2">
      <c r="A315" s="8">
        <v>0</v>
      </c>
      <c r="B315" s="8">
        <v>8</v>
      </c>
      <c r="C315" s="8">
        <v>0</v>
      </c>
      <c r="D315" s="3">
        <v>825220113</v>
      </c>
      <c r="E315" s="3" t="s">
        <v>143</v>
      </c>
      <c r="F315" s="80" t="s">
        <v>137</v>
      </c>
      <c r="G315" s="81"/>
    </row>
    <row r="316" spans="1:8" ht="42.6" customHeight="1" x14ac:dyDescent="0.2">
      <c r="A316" s="8">
        <v>0</v>
      </c>
      <c r="B316" s="8">
        <v>8</v>
      </c>
      <c r="C316" s="8">
        <v>0</v>
      </c>
      <c r="D316" s="3">
        <v>825220114</v>
      </c>
      <c r="E316" s="3" t="s">
        <v>143</v>
      </c>
      <c r="F316" s="80" t="s">
        <v>137</v>
      </c>
      <c r="G316" s="81"/>
    </row>
    <row r="317" spans="1:8" ht="44.1" customHeight="1" x14ac:dyDescent="0.2">
      <c r="A317" s="8">
        <v>1</v>
      </c>
      <c r="B317" s="8">
        <v>8</v>
      </c>
      <c r="C317" s="8">
        <v>0</v>
      </c>
      <c r="D317" s="3">
        <v>825220115</v>
      </c>
      <c r="E317" s="3" t="s">
        <v>143</v>
      </c>
      <c r="F317" s="80" t="s">
        <v>137</v>
      </c>
      <c r="G317" s="81"/>
    </row>
    <row r="318" spans="1:8" ht="42.95" customHeight="1" x14ac:dyDescent="0.2">
      <c r="A318" s="8">
        <v>1</v>
      </c>
      <c r="B318" s="8">
        <v>8</v>
      </c>
      <c r="C318" s="8">
        <v>0</v>
      </c>
      <c r="D318" s="3">
        <v>825220121</v>
      </c>
      <c r="E318" s="3" t="s">
        <v>143</v>
      </c>
      <c r="F318" s="80" t="s">
        <v>137</v>
      </c>
      <c r="G318" s="81"/>
    </row>
    <row r="319" spans="1:8" ht="44.1" customHeight="1" x14ac:dyDescent="0.2">
      <c r="A319" s="8">
        <v>1</v>
      </c>
      <c r="B319" s="8">
        <v>8</v>
      </c>
      <c r="C319" s="8">
        <v>0</v>
      </c>
      <c r="D319" s="3">
        <v>825220124</v>
      </c>
      <c r="E319" s="3" t="s">
        <v>143</v>
      </c>
      <c r="F319" s="80" t="s">
        <v>137</v>
      </c>
      <c r="G319" s="81"/>
    </row>
    <row r="320" spans="1:8" ht="44.1" customHeight="1" x14ac:dyDescent="0.2">
      <c r="A320" s="8">
        <v>1</v>
      </c>
      <c r="B320" s="8">
        <v>8</v>
      </c>
      <c r="C320" s="8">
        <v>0</v>
      </c>
      <c r="D320" s="3">
        <v>825220131</v>
      </c>
      <c r="E320" s="3" t="s">
        <v>143</v>
      </c>
      <c r="F320" s="80" t="s">
        <v>137</v>
      </c>
      <c r="G320" s="81"/>
    </row>
    <row r="321" spans="1:7" ht="42.6" customHeight="1" x14ac:dyDescent="0.2">
      <c r="A321" s="8">
        <v>1</v>
      </c>
      <c r="B321" s="8">
        <v>8</v>
      </c>
      <c r="C321" s="8">
        <v>0</v>
      </c>
      <c r="D321" s="3">
        <v>825220133</v>
      </c>
      <c r="E321" s="3" t="s">
        <v>143</v>
      </c>
      <c r="F321" s="80" t="s">
        <v>137</v>
      </c>
      <c r="G321" s="81"/>
    </row>
    <row r="322" spans="1:7" ht="61.5" customHeight="1" x14ac:dyDescent="0.2">
      <c r="A322" s="11">
        <v>2</v>
      </c>
      <c r="B322" s="8">
        <v>8</v>
      </c>
      <c r="C322" s="8">
        <v>0</v>
      </c>
      <c r="D322" s="4">
        <v>825220137</v>
      </c>
      <c r="E322" s="3" t="s">
        <v>143</v>
      </c>
      <c r="F322" s="80" t="s">
        <v>137</v>
      </c>
      <c r="G322" s="81"/>
    </row>
    <row r="323" spans="1:7" ht="44.1" customHeight="1" x14ac:dyDescent="0.2">
      <c r="A323" s="11">
        <v>2</v>
      </c>
      <c r="B323" s="8">
        <v>8</v>
      </c>
      <c r="C323" s="8">
        <v>0</v>
      </c>
      <c r="D323" s="3">
        <v>825220005</v>
      </c>
      <c r="E323" s="3" t="s">
        <v>143</v>
      </c>
      <c r="F323" s="80" t="s">
        <v>123</v>
      </c>
      <c r="G323" s="81"/>
    </row>
    <row r="324" spans="1:7" ht="42.95" customHeight="1" x14ac:dyDescent="0.2">
      <c r="A324" s="11">
        <v>2</v>
      </c>
      <c r="B324" s="8">
        <v>8</v>
      </c>
      <c r="C324" s="8">
        <v>0</v>
      </c>
      <c r="D324" s="3">
        <v>825220007</v>
      </c>
      <c r="E324" s="3" t="s">
        <v>143</v>
      </c>
      <c r="F324" s="80" t="s">
        <v>123</v>
      </c>
      <c r="G324" s="81"/>
    </row>
    <row r="325" spans="1:7" ht="44.1" customHeight="1" x14ac:dyDescent="0.2">
      <c r="A325" s="11">
        <v>2</v>
      </c>
      <c r="B325" s="8">
        <v>8</v>
      </c>
      <c r="C325" s="8">
        <v>0</v>
      </c>
      <c r="D325" s="3">
        <v>825220015</v>
      </c>
      <c r="E325" s="3" t="s">
        <v>143</v>
      </c>
      <c r="F325" s="80" t="s">
        <v>123</v>
      </c>
      <c r="G325" s="81"/>
    </row>
    <row r="326" spans="1:7" ht="42.6" customHeight="1" x14ac:dyDescent="0.2">
      <c r="A326" s="11">
        <v>2</v>
      </c>
      <c r="B326" s="8">
        <v>8</v>
      </c>
      <c r="C326" s="8">
        <v>0</v>
      </c>
      <c r="D326" s="3">
        <v>825220017</v>
      </c>
      <c r="E326" s="3" t="s">
        <v>143</v>
      </c>
      <c r="F326" s="80" t="s">
        <v>123</v>
      </c>
      <c r="G326" s="81"/>
    </row>
    <row r="327" spans="1:7" ht="44.1" customHeight="1" x14ac:dyDescent="0.2">
      <c r="A327" s="8">
        <v>3</v>
      </c>
      <c r="B327" s="8">
        <v>8</v>
      </c>
      <c r="C327" s="8">
        <v>0</v>
      </c>
      <c r="D327" s="3">
        <v>825220087</v>
      </c>
      <c r="E327" s="3" t="s">
        <v>143</v>
      </c>
      <c r="F327" s="80" t="s">
        <v>137</v>
      </c>
      <c r="G327" s="81"/>
    </row>
    <row r="328" spans="1:7" ht="42.95" customHeight="1" x14ac:dyDescent="0.2">
      <c r="A328" s="8">
        <v>3</v>
      </c>
      <c r="B328" s="8">
        <v>8</v>
      </c>
      <c r="C328" s="8">
        <v>0</v>
      </c>
      <c r="D328" s="3">
        <v>825220088</v>
      </c>
      <c r="E328" s="3" t="s">
        <v>143</v>
      </c>
      <c r="F328" s="80" t="s">
        <v>137</v>
      </c>
      <c r="G328" s="81"/>
    </row>
    <row r="329" spans="1:7" ht="44.1" customHeight="1" x14ac:dyDescent="0.2">
      <c r="A329" s="8">
        <v>3</v>
      </c>
      <c r="B329" s="8">
        <v>8</v>
      </c>
      <c r="C329" s="8">
        <v>0</v>
      </c>
      <c r="D329" s="3">
        <v>825220093</v>
      </c>
      <c r="E329" s="3" t="s">
        <v>143</v>
      </c>
      <c r="F329" s="80" t="s">
        <v>137</v>
      </c>
      <c r="G329" s="81"/>
    </row>
    <row r="330" spans="1:7" ht="44.1" customHeight="1" x14ac:dyDescent="0.2">
      <c r="A330" s="8">
        <v>3</v>
      </c>
      <c r="B330" s="8">
        <v>8</v>
      </c>
      <c r="C330" s="8">
        <v>0</v>
      </c>
      <c r="D330" s="3">
        <v>825220075</v>
      </c>
      <c r="E330" s="3" t="s">
        <v>142</v>
      </c>
      <c r="F330" s="80" t="s">
        <v>137</v>
      </c>
      <c r="G330" s="81"/>
    </row>
    <row r="331" spans="1:7" ht="42.6" customHeight="1" x14ac:dyDescent="0.2">
      <c r="A331" s="8">
        <v>3</v>
      </c>
      <c r="B331" s="8">
        <v>8</v>
      </c>
      <c r="C331" s="8">
        <v>0</v>
      </c>
      <c r="D331" s="3">
        <v>825220084</v>
      </c>
      <c r="E331" s="3" t="s">
        <v>142</v>
      </c>
      <c r="F331" s="80" t="s">
        <v>137</v>
      </c>
      <c r="G331" s="81"/>
    </row>
    <row r="332" spans="1:7" ht="43.7" customHeight="1" x14ac:dyDescent="0.2">
      <c r="A332" s="8">
        <v>4</v>
      </c>
      <c r="B332" s="8">
        <v>8</v>
      </c>
      <c r="C332" s="8">
        <v>0</v>
      </c>
      <c r="D332" s="3">
        <v>535220092</v>
      </c>
      <c r="E332" s="3" t="s">
        <v>143</v>
      </c>
      <c r="F332" s="78" t="s">
        <v>139</v>
      </c>
      <c r="G332" s="79"/>
    </row>
    <row r="333" spans="1:7" ht="44.1" customHeight="1" x14ac:dyDescent="0.2">
      <c r="A333" s="8">
        <v>4</v>
      </c>
      <c r="B333" s="8">
        <v>8</v>
      </c>
      <c r="C333" s="8">
        <v>0</v>
      </c>
      <c r="D333" s="3">
        <v>535220136</v>
      </c>
      <c r="E333" s="3" t="s">
        <v>143</v>
      </c>
      <c r="F333" s="78" t="s">
        <v>139</v>
      </c>
      <c r="G333" s="79"/>
    </row>
    <row r="334" spans="1:7" ht="42.95" customHeight="1" x14ac:dyDescent="0.2">
      <c r="A334" s="8">
        <v>4</v>
      </c>
      <c r="B334" s="8">
        <v>8</v>
      </c>
      <c r="C334" s="8">
        <v>0</v>
      </c>
      <c r="D334" s="3">
        <v>535220139</v>
      </c>
      <c r="E334" s="3" t="s">
        <v>143</v>
      </c>
      <c r="F334" s="80" t="s">
        <v>140</v>
      </c>
      <c r="G334" s="81"/>
    </row>
    <row r="335" spans="1:7" ht="44.1" customHeight="1" x14ac:dyDescent="0.2">
      <c r="A335" s="8">
        <v>4</v>
      </c>
      <c r="B335" s="8">
        <v>8</v>
      </c>
      <c r="C335" s="8">
        <v>0</v>
      </c>
      <c r="D335" s="3">
        <v>535220142</v>
      </c>
      <c r="E335" s="3" t="s">
        <v>143</v>
      </c>
      <c r="F335" s="78" t="s">
        <v>139</v>
      </c>
      <c r="G335" s="79"/>
    </row>
    <row r="336" spans="1:7" ht="42.6" customHeight="1" x14ac:dyDescent="0.2">
      <c r="A336" s="8">
        <v>4</v>
      </c>
      <c r="B336" s="8">
        <v>8</v>
      </c>
      <c r="C336" s="8">
        <v>0</v>
      </c>
      <c r="D336" s="3">
        <v>535220143</v>
      </c>
      <c r="E336" s="3" t="s">
        <v>143</v>
      </c>
      <c r="F336" s="80" t="s">
        <v>140</v>
      </c>
      <c r="G336" s="81"/>
    </row>
    <row r="337" spans="1:7" ht="44.1" customHeight="1" x14ac:dyDescent="0.2">
      <c r="A337" s="8">
        <v>5</v>
      </c>
      <c r="B337" s="8">
        <v>8</v>
      </c>
      <c r="C337" s="8">
        <v>0</v>
      </c>
      <c r="D337" s="3">
        <v>825220054</v>
      </c>
      <c r="E337" s="3" t="s">
        <v>142</v>
      </c>
      <c r="F337" s="80" t="s">
        <v>141</v>
      </c>
      <c r="G337" s="81"/>
    </row>
    <row r="338" spans="1:7" ht="42.95" customHeight="1" x14ac:dyDescent="0.2">
      <c r="A338" s="8">
        <v>5</v>
      </c>
      <c r="B338" s="8">
        <v>8</v>
      </c>
      <c r="C338" s="8">
        <v>0</v>
      </c>
      <c r="D338" s="3">
        <v>825220129</v>
      </c>
      <c r="E338" s="3" t="s">
        <v>142</v>
      </c>
      <c r="F338" s="80" t="s">
        <v>141</v>
      </c>
      <c r="G338" s="81"/>
    </row>
    <row r="339" spans="1:7" ht="44.1" customHeight="1" x14ac:dyDescent="0.2">
      <c r="A339" s="8">
        <v>5</v>
      </c>
      <c r="B339" s="8">
        <v>8</v>
      </c>
      <c r="C339" s="8">
        <v>0</v>
      </c>
      <c r="D339" s="3">
        <v>825220147</v>
      </c>
      <c r="E339" s="3" t="s">
        <v>142</v>
      </c>
      <c r="F339" s="80" t="s">
        <v>141</v>
      </c>
      <c r="G339" s="81"/>
    </row>
    <row r="340" spans="1:7" ht="42.95" customHeight="1" x14ac:dyDescent="0.2">
      <c r="A340" s="8">
        <v>5</v>
      </c>
      <c r="B340" s="8">
        <v>8</v>
      </c>
      <c r="C340" s="8">
        <v>0</v>
      </c>
      <c r="D340" s="3">
        <v>825220153</v>
      </c>
      <c r="E340" s="3" t="s">
        <v>142</v>
      </c>
      <c r="F340" s="80" t="s">
        <v>141</v>
      </c>
      <c r="G340" s="81"/>
    </row>
    <row r="341" spans="1:7" ht="44.1" customHeight="1" x14ac:dyDescent="0.2">
      <c r="A341" s="8">
        <v>5</v>
      </c>
      <c r="B341" s="8">
        <v>8</v>
      </c>
      <c r="C341" s="8">
        <v>0</v>
      </c>
      <c r="D341" s="3">
        <v>825220168</v>
      </c>
      <c r="E341" s="3" t="s">
        <v>142</v>
      </c>
      <c r="F341" s="80" t="s">
        <v>141</v>
      </c>
      <c r="G341" s="81"/>
    </row>
  </sheetData>
  <mergeCells count="340">
    <mergeCell ref="F338:G338"/>
    <mergeCell ref="F339:G339"/>
    <mergeCell ref="F340:G340"/>
    <mergeCell ref="F341:G341"/>
    <mergeCell ref="F332:G332"/>
    <mergeCell ref="F333:G333"/>
    <mergeCell ref="F334:G334"/>
    <mergeCell ref="F335:G335"/>
    <mergeCell ref="F336:G336"/>
    <mergeCell ref="F337:G337"/>
    <mergeCell ref="F326:G326"/>
    <mergeCell ref="F327:G327"/>
    <mergeCell ref="F328:G328"/>
    <mergeCell ref="F329:G329"/>
    <mergeCell ref="F330:G330"/>
    <mergeCell ref="F331:G331"/>
    <mergeCell ref="F320:G320"/>
    <mergeCell ref="F321:G321"/>
    <mergeCell ref="F322:G322"/>
    <mergeCell ref="F323:G323"/>
    <mergeCell ref="F324:G324"/>
    <mergeCell ref="F325:G325"/>
    <mergeCell ref="F314:G314"/>
    <mergeCell ref="F315:G315"/>
    <mergeCell ref="F316:G316"/>
    <mergeCell ref="F317:G317"/>
    <mergeCell ref="F318:G318"/>
    <mergeCell ref="F319:G319"/>
    <mergeCell ref="F308:G308"/>
    <mergeCell ref="F309:G309"/>
    <mergeCell ref="F310:G310"/>
    <mergeCell ref="F311:G311"/>
    <mergeCell ref="F312:G312"/>
    <mergeCell ref="F313:G313"/>
    <mergeCell ref="F302:G302"/>
    <mergeCell ref="F303:G303"/>
    <mergeCell ref="F304:G304"/>
    <mergeCell ref="F305:G305"/>
    <mergeCell ref="F306:G306"/>
    <mergeCell ref="F307:G307"/>
    <mergeCell ref="F296:G296"/>
    <mergeCell ref="F297:G297"/>
    <mergeCell ref="F298:G298"/>
    <mergeCell ref="F299:G299"/>
    <mergeCell ref="F300:G300"/>
    <mergeCell ref="F301:G301"/>
    <mergeCell ref="F290:G290"/>
    <mergeCell ref="F291:G291"/>
    <mergeCell ref="F292:G292"/>
    <mergeCell ref="F293:G293"/>
    <mergeCell ref="F294:G294"/>
    <mergeCell ref="F295:G295"/>
    <mergeCell ref="F284:G284"/>
    <mergeCell ref="F285:G285"/>
    <mergeCell ref="F286:G286"/>
    <mergeCell ref="F287:G287"/>
    <mergeCell ref="F288:G288"/>
    <mergeCell ref="F289:G289"/>
    <mergeCell ref="F278:G278"/>
    <mergeCell ref="F279:G279"/>
    <mergeCell ref="F280:G280"/>
    <mergeCell ref="F281:G281"/>
    <mergeCell ref="F282:G282"/>
    <mergeCell ref="F283:G283"/>
    <mergeCell ref="F272:G272"/>
    <mergeCell ref="F273:G273"/>
    <mergeCell ref="F274:G274"/>
    <mergeCell ref="F275:G275"/>
    <mergeCell ref="F276:G276"/>
    <mergeCell ref="F277:G277"/>
    <mergeCell ref="F266:G266"/>
    <mergeCell ref="F267:G267"/>
    <mergeCell ref="F268:G268"/>
    <mergeCell ref="F269:G269"/>
    <mergeCell ref="F270:G270"/>
    <mergeCell ref="F271:G271"/>
    <mergeCell ref="F260:G260"/>
    <mergeCell ref="F261:G261"/>
    <mergeCell ref="F262:G262"/>
    <mergeCell ref="F263:G263"/>
    <mergeCell ref="F264:G264"/>
    <mergeCell ref="F265:G265"/>
    <mergeCell ref="F254:G254"/>
    <mergeCell ref="F255:G255"/>
    <mergeCell ref="F256:G256"/>
    <mergeCell ref="F257:G257"/>
    <mergeCell ref="F258:G258"/>
    <mergeCell ref="F259:G259"/>
    <mergeCell ref="F248:G248"/>
    <mergeCell ref="F249:G249"/>
    <mergeCell ref="F250:G250"/>
    <mergeCell ref="F251:G251"/>
    <mergeCell ref="F252:G252"/>
    <mergeCell ref="F253:G253"/>
    <mergeCell ref="F242:G242"/>
    <mergeCell ref="F243:G243"/>
    <mergeCell ref="F244:G244"/>
    <mergeCell ref="F245:G245"/>
    <mergeCell ref="F246:G246"/>
    <mergeCell ref="F247:G247"/>
    <mergeCell ref="F236:G236"/>
    <mergeCell ref="F237:G237"/>
    <mergeCell ref="F238:G238"/>
    <mergeCell ref="F239:G239"/>
    <mergeCell ref="F240:G240"/>
    <mergeCell ref="F241:G241"/>
    <mergeCell ref="F230:G230"/>
    <mergeCell ref="F231:G231"/>
    <mergeCell ref="F232:G232"/>
    <mergeCell ref="F233:G233"/>
    <mergeCell ref="F234:G234"/>
    <mergeCell ref="F235:G235"/>
    <mergeCell ref="F224:G224"/>
    <mergeCell ref="F225:G225"/>
    <mergeCell ref="F226:G226"/>
    <mergeCell ref="F227:G227"/>
    <mergeCell ref="F228:G228"/>
    <mergeCell ref="F229:G229"/>
    <mergeCell ref="F218:G218"/>
    <mergeCell ref="F219:G219"/>
    <mergeCell ref="F220:G220"/>
    <mergeCell ref="F221:G221"/>
    <mergeCell ref="F222:G222"/>
    <mergeCell ref="F223:G223"/>
    <mergeCell ref="F212:G212"/>
    <mergeCell ref="F213:G213"/>
    <mergeCell ref="F214:G214"/>
    <mergeCell ref="F215:G215"/>
    <mergeCell ref="F216:G216"/>
    <mergeCell ref="F217:G217"/>
    <mergeCell ref="F206:G206"/>
    <mergeCell ref="F207:G207"/>
    <mergeCell ref="F208:G208"/>
    <mergeCell ref="F209:G209"/>
    <mergeCell ref="F210:G210"/>
    <mergeCell ref="F211:G211"/>
    <mergeCell ref="F200:G200"/>
    <mergeCell ref="F201:G201"/>
    <mergeCell ref="F202:G202"/>
    <mergeCell ref="F203:G203"/>
    <mergeCell ref="F204:G204"/>
    <mergeCell ref="F205:G205"/>
    <mergeCell ref="F194:G194"/>
    <mergeCell ref="F195:G195"/>
    <mergeCell ref="F196:G196"/>
    <mergeCell ref="F197:G197"/>
    <mergeCell ref="F198:G198"/>
    <mergeCell ref="F199:G199"/>
    <mergeCell ref="F188:G188"/>
    <mergeCell ref="F189:G189"/>
    <mergeCell ref="F190:G190"/>
    <mergeCell ref="F191:G191"/>
    <mergeCell ref="F192:G192"/>
    <mergeCell ref="F193:G193"/>
    <mergeCell ref="F182:G182"/>
    <mergeCell ref="F183:G183"/>
    <mergeCell ref="F184:G184"/>
    <mergeCell ref="F185:G185"/>
    <mergeCell ref="F186:G186"/>
    <mergeCell ref="F187:G187"/>
    <mergeCell ref="F176:G176"/>
    <mergeCell ref="F177:G177"/>
    <mergeCell ref="F178:G178"/>
    <mergeCell ref="F179:G179"/>
    <mergeCell ref="F180:G180"/>
    <mergeCell ref="F181:G181"/>
    <mergeCell ref="F170:G170"/>
    <mergeCell ref="F171:G171"/>
    <mergeCell ref="F172:G172"/>
    <mergeCell ref="F173:G173"/>
    <mergeCell ref="F174:G174"/>
    <mergeCell ref="F175:G175"/>
    <mergeCell ref="F164:G164"/>
    <mergeCell ref="F165:G165"/>
    <mergeCell ref="F166:G166"/>
    <mergeCell ref="F167:G167"/>
    <mergeCell ref="F168:G168"/>
    <mergeCell ref="F169:G169"/>
    <mergeCell ref="F158:G158"/>
    <mergeCell ref="F159:G159"/>
    <mergeCell ref="F160:G160"/>
    <mergeCell ref="F161:G161"/>
    <mergeCell ref="F162:G162"/>
    <mergeCell ref="F163:G163"/>
    <mergeCell ref="F152:G152"/>
    <mergeCell ref="F153:G153"/>
    <mergeCell ref="F154:G154"/>
    <mergeCell ref="F155:G155"/>
    <mergeCell ref="F156:G156"/>
    <mergeCell ref="F157:G157"/>
    <mergeCell ref="F146:G146"/>
    <mergeCell ref="F147:G147"/>
    <mergeCell ref="F148:G148"/>
    <mergeCell ref="F149:G149"/>
    <mergeCell ref="F150:G150"/>
    <mergeCell ref="F151:G151"/>
    <mergeCell ref="F140:G140"/>
    <mergeCell ref="F141:G141"/>
    <mergeCell ref="F142:G142"/>
    <mergeCell ref="F143:G143"/>
    <mergeCell ref="F144:G144"/>
    <mergeCell ref="F145:G145"/>
    <mergeCell ref="F134:G134"/>
    <mergeCell ref="F135:G135"/>
    <mergeCell ref="F136:G136"/>
    <mergeCell ref="F137:G137"/>
    <mergeCell ref="F138:G138"/>
    <mergeCell ref="F139:G139"/>
    <mergeCell ref="F128:G128"/>
    <mergeCell ref="F129:G129"/>
    <mergeCell ref="F130:G130"/>
    <mergeCell ref="F131:G131"/>
    <mergeCell ref="F132:G132"/>
    <mergeCell ref="F133:G133"/>
    <mergeCell ref="F122:G122"/>
    <mergeCell ref="F123:G123"/>
    <mergeCell ref="F124:G124"/>
    <mergeCell ref="F125:G125"/>
    <mergeCell ref="F126:G126"/>
    <mergeCell ref="F127:G127"/>
    <mergeCell ref="F116:G116"/>
    <mergeCell ref="F117:G117"/>
    <mergeCell ref="F118:G118"/>
    <mergeCell ref="F119:G119"/>
    <mergeCell ref="F120:G120"/>
    <mergeCell ref="F121:G121"/>
    <mergeCell ref="F110:G110"/>
    <mergeCell ref="F111:G111"/>
    <mergeCell ref="F112:G112"/>
    <mergeCell ref="F113:G113"/>
    <mergeCell ref="F114:G114"/>
    <mergeCell ref="F115:G115"/>
    <mergeCell ref="F104:G104"/>
    <mergeCell ref="F105:G105"/>
    <mergeCell ref="F106:G106"/>
    <mergeCell ref="F107:G107"/>
    <mergeCell ref="F108:G108"/>
    <mergeCell ref="F109:G109"/>
    <mergeCell ref="F98:G98"/>
    <mergeCell ref="F99:G99"/>
    <mergeCell ref="F100:G100"/>
    <mergeCell ref="F101:G101"/>
    <mergeCell ref="F102:G102"/>
    <mergeCell ref="F103:G103"/>
    <mergeCell ref="F92:G92"/>
    <mergeCell ref="F93:G93"/>
    <mergeCell ref="F94:G94"/>
    <mergeCell ref="F95:G95"/>
    <mergeCell ref="F96:G96"/>
    <mergeCell ref="F97:G97"/>
    <mergeCell ref="F86:G86"/>
    <mergeCell ref="F87:G87"/>
    <mergeCell ref="F88:G88"/>
    <mergeCell ref="F89:G89"/>
    <mergeCell ref="F90:G90"/>
    <mergeCell ref="F91:G91"/>
    <mergeCell ref="F80:G80"/>
    <mergeCell ref="F81:G81"/>
    <mergeCell ref="F82:G82"/>
    <mergeCell ref="F83:G83"/>
    <mergeCell ref="F84:G84"/>
    <mergeCell ref="F85:G85"/>
    <mergeCell ref="F74:G74"/>
    <mergeCell ref="F75:G75"/>
    <mergeCell ref="F76:G76"/>
    <mergeCell ref="F77:G77"/>
    <mergeCell ref="F78:G78"/>
    <mergeCell ref="F79:G79"/>
    <mergeCell ref="F68:G68"/>
    <mergeCell ref="F69:G69"/>
    <mergeCell ref="F70:G70"/>
    <mergeCell ref="F71:G71"/>
    <mergeCell ref="F72:G72"/>
    <mergeCell ref="F73:G73"/>
    <mergeCell ref="F62:G62"/>
    <mergeCell ref="F63:G63"/>
    <mergeCell ref="F64:G64"/>
    <mergeCell ref="F65:G65"/>
    <mergeCell ref="F66:G66"/>
    <mergeCell ref="F67:G67"/>
    <mergeCell ref="F56:G56"/>
    <mergeCell ref="F57:G57"/>
    <mergeCell ref="F58:G58"/>
    <mergeCell ref="F59:G59"/>
    <mergeCell ref="F60:G60"/>
    <mergeCell ref="F61:G61"/>
    <mergeCell ref="F50:G50"/>
    <mergeCell ref="F51:G51"/>
    <mergeCell ref="F52:G52"/>
    <mergeCell ref="F53:G53"/>
    <mergeCell ref="F54:G54"/>
    <mergeCell ref="F55:G55"/>
    <mergeCell ref="F44:G44"/>
    <mergeCell ref="F45:G45"/>
    <mergeCell ref="F46:G46"/>
    <mergeCell ref="F47:G47"/>
    <mergeCell ref="F48:G48"/>
    <mergeCell ref="F49:G49"/>
    <mergeCell ref="F38:G38"/>
    <mergeCell ref="F39:G39"/>
    <mergeCell ref="F40:G40"/>
    <mergeCell ref="F41:G41"/>
    <mergeCell ref="F42:G42"/>
    <mergeCell ref="F43:G43"/>
    <mergeCell ref="F32:G32"/>
    <mergeCell ref="F33:G33"/>
    <mergeCell ref="F34:G34"/>
    <mergeCell ref="F35:G35"/>
    <mergeCell ref="F36:G36"/>
    <mergeCell ref="F37:G37"/>
    <mergeCell ref="F26:G26"/>
    <mergeCell ref="F27:G27"/>
    <mergeCell ref="F28:G28"/>
    <mergeCell ref="F29:G29"/>
    <mergeCell ref="F30:G30"/>
    <mergeCell ref="F31:G31"/>
    <mergeCell ref="F20:G20"/>
    <mergeCell ref="F21:G21"/>
    <mergeCell ref="F22:G22"/>
    <mergeCell ref="F23:G23"/>
    <mergeCell ref="F24:G24"/>
    <mergeCell ref="F25:G25"/>
    <mergeCell ref="F17:G17"/>
    <mergeCell ref="F18:G18"/>
    <mergeCell ref="F19:G19"/>
    <mergeCell ref="F8:G8"/>
    <mergeCell ref="F9:G9"/>
    <mergeCell ref="F10:G10"/>
    <mergeCell ref="F11:G11"/>
    <mergeCell ref="F12:G12"/>
    <mergeCell ref="F13:G13"/>
    <mergeCell ref="F2:G2"/>
    <mergeCell ref="F3:G3"/>
    <mergeCell ref="F4:G4"/>
    <mergeCell ref="F5:G5"/>
    <mergeCell ref="F6:G6"/>
    <mergeCell ref="F7:G7"/>
    <mergeCell ref="F14:G14"/>
    <mergeCell ref="F15:G15"/>
    <mergeCell ref="F16:G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E9B01-24BE-4CC9-BAB7-B1DC797E4DCA}">
  <dimension ref="A1:X339"/>
  <sheetViews>
    <sheetView zoomScale="70" zoomScaleNormal="70" workbookViewId="0">
      <pane ySplit="1" topLeftCell="A2" activePane="bottomLeft" state="frozen"/>
      <selection pane="bottomLeft" activeCell="R4" sqref="R4"/>
    </sheetView>
  </sheetViews>
  <sheetFormatPr defaultRowHeight="12.75" x14ac:dyDescent="0.2"/>
  <cols>
    <col min="1" max="1" width="4.6640625" customWidth="1"/>
    <col min="2" max="2" width="7.5" customWidth="1"/>
    <col min="3" max="3" width="12.6640625" customWidth="1"/>
    <col min="4" max="4" width="15.1640625" customWidth="1"/>
    <col min="5" max="5" width="42.6640625" bestFit="1" customWidth="1"/>
    <col min="6" max="6" width="48.33203125" bestFit="1" customWidth="1"/>
    <col min="7" max="7" width="25.33203125" customWidth="1"/>
    <col min="8" max="8" width="17.83203125" customWidth="1"/>
    <col min="9" max="9" width="19.6640625" customWidth="1"/>
    <col min="11" max="16" width="9.33203125" style="5"/>
    <col min="17" max="17" width="49.5" style="5" bestFit="1" customWidth="1"/>
    <col min="22" max="22" width="12.33203125" bestFit="1" customWidth="1"/>
  </cols>
  <sheetData>
    <row r="1" spans="1:24" x14ac:dyDescent="0.2">
      <c r="A1" t="s">
        <v>878</v>
      </c>
      <c r="B1" t="s">
        <v>879</v>
      </c>
      <c r="C1" t="s">
        <v>880</v>
      </c>
      <c r="D1" s="30" t="s">
        <v>176</v>
      </c>
      <c r="E1" t="s">
        <v>151</v>
      </c>
      <c r="F1" s="30" t="s">
        <v>152</v>
      </c>
      <c r="G1" s="27" t="s">
        <v>886</v>
      </c>
      <c r="H1" s="24" t="s">
        <v>883</v>
      </c>
      <c r="I1" s="26" t="s">
        <v>885</v>
      </c>
      <c r="K1" s="5" t="s">
        <v>149</v>
      </c>
      <c r="L1" s="5" t="s">
        <v>148</v>
      </c>
      <c r="M1" s="5" t="s">
        <v>150</v>
      </c>
      <c r="N1" s="5" t="s">
        <v>887</v>
      </c>
      <c r="O1" s="5" t="s">
        <v>176</v>
      </c>
      <c r="P1" s="5" t="s">
        <v>151</v>
      </c>
      <c r="Q1" s="5" t="s">
        <v>152</v>
      </c>
      <c r="S1" s="5" t="s">
        <v>149</v>
      </c>
      <c r="T1" s="5" t="s">
        <v>148</v>
      </c>
      <c r="U1" s="5" t="s">
        <v>150</v>
      </c>
      <c r="V1" s="5" t="s">
        <v>176</v>
      </c>
      <c r="W1" s="5" t="s">
        <v>151</v>
      </c>
      <c r="X1" s="5" t="s">
        <v>152</v>
      </c>
    </row>
    <row r="2" spans="1:24" ht="44.1" customHeight="1" x14ac:dyDescent="0.2">
      <c r="A2" s="8">
        <v>0</v>
      </c>
      <c r="B2" s="8">
        <v>0</v>
      </c>
      <c r="C2" s="8">
        <v>0</v>
      </c>
      <c r="D2" s="3">
        <v>825220024</v>
      </c>
      <c r="E2" s="3" t="s">
        <v>142</v>
      </c>
      <c r="F2" t="s">
        <v>160</v>
      </c>
      <c r="G2" s="25">
        <f t="shared" ref="G2:G65" si="0">IF(F2=M2,1,0)</f>
        <v>0</v>
      </c>
      <c r="H2" s="25"/>
      <c r="K2" s="5">
        <v>0</v>
      </c>
      <c r="L2" s="5">
        <v>0</v>
      </c>
      <c r="M2" s="5">
        <v>0</v>
      </c>
      <c r="N2" s="5" t="s">
        <v>888</v>
      </c>
      <c r="O2" s="5" t="s">
        <v>177</v>
      </c>
      <c r="P2" s="5" t="s">
        <v>142</v>
      </c>
      <c r="Q2" s="5" t="s">
        <v>153</v>
      </c>
      <c r="S2" cm="1">
        <f t="array" ref="S2:X336">_xlfn._xlws.SORT(K2:P336,{2,3,1},{1,1,1})</f>
        <v>0</v>
      </c>
      <c r="T2">
        <v>0</v>
      </c>
      <c r="U2">
        <v>0</v>
      </c>
      <c r="V2" t="str">
        <v>JONATHAN FERDINAND</v>
      </c>
      <c r="W2" t="str">
        <v>825220046</v>
      </c>
      <c r="X2" t="str">
        <v>Magang</v>
      </c>
    </row>
    <row r="3" spans="1:24" ht="42.95" customHeight="1" x14ac:dyDescent="0.2">
      <c r="A3" s="8">
        <v>0</v>
      </c>
      <c r="B3" s="8">
        <v>0</v>
      </c>
      <c r="C3" s="8">
        <v>0</v>
      </c>
      <c r="D3" s="3">
        <v>825220040</v>
      </c>
      <c r="E3" s="3" t="s">
        <v>142</v>
      </c>
      <c r="F3" t="s">
        <v>160</v>
      </c>
      <c r="G3" s="25">
        <f t="shared" si="0"/>
        <v>0</v>
      </c>
      <c r="H3" s="24"/>
      <c r="K3" s="5">
        <v>0</v>
      </c>
      <c r="L3" s="5">
        <v>0</v>
      </c>
      <c r="M3" s="5">
        <v>0</v>
      </c>
      <c r="N3" s="5" t="s">
        <v>889</v>
      </c>
      <c r="O3" s="5" t="s">
        <v>178</v>
      </c>
      <c r="P3" s="5" t="s">
        <v>142</v>
      </c>
      <c r="Q3" s="5" t="s">
        <v>153</v>
      </c>
      <c r="S3">
        <v>0</v>
      </c>
      <c r="T3">
        <v>0</v>
      </c>
      <c r="U3">
        <v>0</v>
      </c>
      <c r="V3" t="str">
        <v>JUSTIN BRUNELT LAUWDE</v>
      </c>
      <c r="W3" t="str">
        <v>825220048</v>
      </c>
      <c r="X3" t="str">
        <v>Magang</v>
      </c>
    </row>
    <row r="4" spans="1:24" ht="44.1" customHeight="1" x14ac:dyDescent="0.2">
      <c r="A4" s="8">
        <v>0</v>
      </c>
      <c r="B4" s="8">
        <v>0</v>
      </c>
      <c r="C4" s="8">
        <v>0</v>
      </c>
      <c r="D4" s="3">
        <v>825220045</v>
      </c>
      <c r="E4" s="3" t="s">
        <v>142</v>
      </c>
      <c r="F4" t="s">
        <v>160</v>
      </c>
      <c r="G4" s="25">
        <f t="shared" si="0"/>
        <v>0</v>
      </c>
      <c r="H4" s="24"/>
      <c r="K4" s="5">
        <v>0</v>
      </c>
      <c r="L4" s="5">
        <v>0</v>
      </c>
      <c r="M4" s="5">
        <v>0</v>
      </c>
      <c r="N4" s="5" t="s">
        <v>890</v>
      </c>
      <c r="O4" s="5" t="s">
        <v>179</v>
      </c>
      <c r="P4" s="5" t="s">
        <v>142</v>
      </c>
      <c r="Q4" s="5" t="s">
        <v>153</v>
      </c>
      <c r="S4">
        <v>0</v>
      </c>
      <c r="T4">
        <v>0</v>
      </c>
      <c r="U4">
        <v>0</v>
      </c>
      <c r="V4" t="str">
        <v>IE CHEN</v>
      </c>
      <c r="W4" t="str">
        <v>825220057</v>
      </c>
      <c r="X4" t="str">
        <v>Magang</v>
      </c>
    </row>
    <row r="5" spans="1:24" ht="42.95" customHeight="1" x14ac:dyDescent="0.2">
      <c r="A5" s="8">
        <v>0</v>
      </c>
      <c r="B5" s="8">
        <v>0</v>
      </c>
      <c r="C5" s="8">
        <v>0</v>
      </c>
      <c r="D5" s="3">
        <v>825220049</v>
      </c>
      <c r="E5" s="3" t="s">
        <v>142</v>
      </c>
      <c r="F5" t="s">
        <v>160</v>
      </c>
      <c r="G5" s="25">
        <f t="shared" si="0"/>
        <v>0</v>
      </c>
      <c r="H5" s="24"/>
      <c r="K5" s="5">
        <v>0</v>
      </c>
      <c r="L5" s="5">
        <v>0</v>
      </c>
      <c r="M5" s="5">
        <v>0</v>
      </c>
      <c r="N5" s="5" t="s">
        <v>891</v>
      </c>
      <c r="O5" s="5" t="s">
        <v>180</v>
      </c>
      <c r="P5" s="5" t="s">
        <v>142</v>
      </c>
      <c r="Q5" s="5" t="s">
        <v>153</v>
      </c>
      <c r="S5">
        <v>0</v>
      </c>
      <c r="T5">
        <v>0</v>
      </c>
      <c r="U5">
        <v>0</v>
      </c>
      <c r="V5" t="str">
        <v>VANESSA</v>
      </c>
      <c r="W5" t="str">
        <v>825220060</v>
      </c>
      <c r="X5" t="str">
        <v>Magang</v>
      </c>
    </row>
    <row r="6" spans="1:24" ht="44.1" customHeight="1" x14ac:dyDescent="0.2">
      <c r="A6" s="8">
        <v>0</v>
      </c>
      <c r="B6" s="8">
        <v>0</v>
      </c>
      <c r="C6" s="8">
        <v>0</v>
      </c>
      <c r="D6" s="3">
        <v>825220055</v>
      </c>
      <c r="E6" s="3" t="s">
        <v>142</v>
      </c>
      <c r="F6" t="s">
        <v>160</v>
      </c>
      <c r="G6" s="25">
        <f t="shared" si="0"/>
        <v>0</v>
      </c>
      <c r="H6" s="24"/>
      <c r="K6" s="5">
        <v>0</v>
      </c>
      <c r="L6" s="5">
        <v>0</v>
      </c>
      <c r="M6" s="5">
        <v>0</v>
      </c>
      <c r="N6" s="5" t="s">
        <v>892</v>
      </c>
      <c r="O6" s="5" t="s">
        <v>181</v>
      </c>
      <c r="P6" s="5" t="s">
        <v>142</v>
      </c>
      <c r="Q6" s="5" t="s">
        <v>153</v>
      </c>
      <c r="S6">
        <v>0</v>
      </c>
      <c r="T6">
        <v>0</v>
      </c>
      <c r="U6">
        <v>0</v>
      </c>
      <c r="V6" t="str">
        <v>HANSEN CHRISTIAN LIE</v>
      </c>
      <c r="W6" t="str">
        <v>825220061</v>
      </c>
      <c r="X6" t="str">
        <v>Magang</v>
      </c>
    </row>
    <row r="7" spans="1:24" ht="42.6" customHeight="1" x14ac:dyDescent="0.2">
      <c r="A7" s="8">
        <v>1</v>
      </c>
      <c r="B7" s="8">
        <v>0</v>
      </c>
      <c r="C7" s="8">
        <v>0</v>
      </c>
      <c r="D7" s="3">
        <v>825220089</v>
      </c>
      <c r="E7" s="3" t="s">
        <v>142</v>
      </c>
      <c r="F7" t="s">
        <v>160</v>
      </c>
      <c r="G7" s="25">
        <f t="shared" si="0"/>
        <v>0</v>
      </c>
      <c r="H7" s="25"/>
      <c r="K7" s="5">
        <v>0</v>
      </c>
      <c r="L7" s="5">
        <v>0</v>
      </c>
      <c r="M7" s="5">
        <v>1</v>
      </c>
      <c r="N7" s="5" t="s">
        <v>893</v>
      </c>
      <c r="O7" s="5" t="s">
        <v>182</v>
      </c>
      <c r="P7" s="5" t="s">
        <v>142</v>
      </c>
      <c r="Q7" s="5" t="s">
        <v>154</v>
      </c>
      <c r="S7">
        <v>1</v>
      </c>
      <c r="T7">
        <v>0</v>
      </c>
      <c r="U7">
        <v>0</v>
      </c>
      <c r="V7" t="str">
        <v>JESSICA WIDODO</v>
      </c>
      <c r="W7" t="str">
        <v>825220064</v>
      </c>
      <c r="X7" t="str">
        <v>Magang</v>
      </c>
    </row>
    <row r="8" spans="1:24" ht="47.25" customHeight="1" x14ac:dyDescent="0.2">
      <c r="A8" s="8">
        <v>1</v>
      </c>
      <c r="B8" s="8">
        <v>0</v>
      </c>
      <c r="C8" s="8">
        <v>0</v>
      </c>
      <c r="D8" s="4">
        <v>825220132</v>
      </c>
      <c r="E8" s="3" t="s">
        <v>142</v>
      </c>
      <c r="F8" t="s">
        <v>160</v>
      </c>
      <c r="G8" s="25">
        <f t="shared" si="0"/>
        <v>0</v>
      </c>
      <c r="H8" s="24"/>
      <c r="K8" s="5">
        <v>0</v>
      </c>
      <c r="L8" s="5">
        <v>0</v>
      </c>
      <c r="M8" s="5">
        <v>1</v>
      </c>
      <c r="N8" s="5" t="s">
        <v>894</v>
      </c>
      <c r="O8" s="5" t="s">
        <v>183</v>
      </c>
      <c r="P8" s="5" t="s">
        <v>142</v>
      </c>
      <c r="Q8" s="5" t="s">
        <v>154</v>
      </c>
      <c r="S8">
        <v>1</v>
      </c>
      <c r="T8">
        <v>0</v>
      </c>
      <c r="U8">
        <v>0</v>
      </c>
      <c r="V8" t="str">
        <v>PAMELA METTA OKTAVIANA</v>
      </c>
      <c r="W8" t="str">
        <v>825220068</v>
      </c>
      <c r="X8" t="str">
        <v>Magang</v>
      </c>
    </row>
    <row r="9" spans="1:24" ht="44.1" customHeight="1" x14ac:dyDescent="0.2">
      <c r="A9" s="8">
        <v>1</v>
      </c>
      <c r="B9" s="8">
        <v>0</v>
      </c>
      <c r="C9" s="8">
        <v>0</v>
      </c>
      <c r="D9" s="3">
        <v>825220151</v>
      </c>
      <c r="E9" s="3" t="s">
        <v>142</v>
      </c>
      <c r="F9" t="s">
        <v>160</v>
      </c>
      <c r="G9" s="25">
        <f t="shared" si="0"/>
        <v>0</v>
      </c>
      <c r="H9" s="24"/>
      <c r="K9" s="5">
        <v>0</v>
      </c>
      <c r="L9" s="5">
        <v>0</v>
      </c>
      <c r="M9" s="5">
        <v>1</v>
      </c>
      <c r="N9" s="5" t="s">
        <v>895</v>
      </c>
      <c r="O9" s="5" t="s">
        <v>184</v>
      </c>
      <c r="P9" s="5" t="s">
        <v>142</v>
      </c>
      <c r="Q9" s="5" t="s">
        <v>154</v>
      </c>
      <c r="S9">
        <v>1</v>
      </c>
      <c r="T9">
        <v>0</v>
      </c>
      <c r="U9">
        <v>0</v>
      </c>
      <c r="V9" t="str">
        <v>MICHAEL TRISTAN PRAMONO</v>
      </c>
      <c r="W9" t="str">
        <v>825220071</v>
      </c>
      <c r="X9" t="str">
        <v>Magang</v>
      </c>
    </row>
    <row r="10" spans="1:24" ht="42.95" customHeight="1" x14ac:dyDescent="0.2">
      <c r="A10" s="8">
        <v>1</v>
      </c>
      <c r="B10" s="8">
        <v>0</v>
      </c>
      <c r="C10" s="8">
        <v>0</v>
      </c>
      <c r="D10" s="3">
        <v>825220154</v>
      </c>
      <c r="E10" s="3" t="s">
        <v>142</v>
      </c>
      <c r="F10" t="s">
        <v>160</v>
      </c>
      <c r="G10" s="25">
        <f t="shared" si="0"/>
        <v>0</v>
      </c>
      <c r="H10" s="24"/>
      <c r="K10" s="5">
        <v>0</v>
      </c>
      <c r="L10" s="5">
        <v>0</v>
      </c>
      <c r="M10" s="5">
        <v>1</v>
      </c>
      <c r="N10" s="5" t="s">
        <v>896</v>
      </c>
      <c r="O10" s="5" t="s">
        <v>185</v>
      </c>
      <c r="P10" s="5" t="s">
        <v>142</v>
      </c>
      <c r="Q10" s="5" t="s">
        <v>154</v>
      </c>
      <c r="S10">
        <v>1</v>
      </c>
      <c r="T10">
        <v>0</v>
      </c>
      <c r="U10">
        <v>0</v>
      </c>
      <c r="V10" t="str">
        <v>RAFAEL DAVRIO SUTHYA</v>
      </c>
      <c r="W10" t="str">
        <v>825220072</v>
      </c>
      <c r="X10" t="str">
        <v>Magang</v>
      </c>
    </row>
    <row r="11" spans="1:24" ht="43.5" customHeight="1" x14ac:dyDescent="0.2">
      <c r="A11" s="8">
        <v>1</v>
      </c>
      <c r="B11" s="8">
        <v>0</v>
      </c>
      <c r="C11" s="8">
        <v>0</v>
      </c>
      <c r="D11" s="3">
        <v>825220046</v>
      </c>
      <c r="E11" s="3" t="s">
        <v>142</v>
      </c>
      <c r="F11" t="s">
        <v>153</v>
      </c>
      <c r="G11" s="25">
        <f t="shared" si="0"/>
        <v>0</v>
      </c>
      <c r="H11" s="24"/>
      <c r="K11" s="5">
        <v>0</v>
      </c>
      <c r="L11" s="5">
        <v>0</v>
      </c>
      <c r="M11" s="5">
        <v>1</v>
      </c>
      <c r="N11" s="5" t="s">
        <v>897</v>
      </c>
      <c r="O11" s="5" t="s">
        <v>186</v>
      </c>
      <c r="P11" s="5" t="s">
        <v>142</v>
      </c>
      <c r="Q11" s="5" t="s">
        <v>154</v>
      </c>
      <c r="S11">
        <v>1</v>
      </c>
      <c r="T11">
        <v>0</v>
      </c>
      <c r="U11">
        <v>0</v>
      </c>
      <c r="V11" t="str">
        <v>JOHANES NICHOLAS VIERY</v>
      </c>
      <c r="W11" t="str">
        <v>825220073</v>
      </c>
      <c r="X11" t="str">
        <v>Magang</v>
      </c>
    </row>
    <row r="12" spans="1:24" ht="42.95" customHeight="1" x14ac:dyDescent="0.2">
      <c r="A12" s="8">
        <v>2</v>
      </c>
      <c r="B12" s="8">
        <v>0</v>
      </c>
      <c r="C12" s="8">
        <v>0</v>
      </c>
      <c r="D12" s="3">
        <v>825220048</v>
      </c>
      <c r="E12" s="3" t="s">
        <v>142</v>
      </c>
      <c r="F12" t="s">
        <v>153</v>
      </c>
      <c r="G12" s="25">
        <f t="shared" si="0"/>
        <v>0</v>
      </c>
      <c r="H12" s="24"/>
      <c r="K12" s="5">
        <v>0</v>
      </c>
      <c r="L12" s="5">
        <v>0</v>
      </c>
      <c r="M12" s="5">
        <v>2</v>
      </c>
      <c r="N12" s="5" t="s">
        <v>898</v>
      </c>
      <c r="O12" s="5" t="s">
        <v>187</v>
      </c>
      <c r="P12" s="5" t="s">
        <v>142</v>
      </c>
      <c r="Q12" s="5" t="s">
        <v>155</v>
      </c>
      <c r="S12">
        <v>2</v>
      </c>
      <c r="T12">
        <v>0</v>
      </c>
      <c r="U12">
        <v>0</v>
      </c>
      <c r="V12" t="str">
        <v xml:space="preserve">NICO SUWANTO </v>
      </c>
      <c r="W12" t="str">
        <v>825220074</v>
      </c>
      <c r="X12" t="str">
        <v>Magang</v>
      </c>
    </row>
    <row r="13" spans="1:24" ht="44.1" customHeight="1" x14ac:dyDescent="0.2">
      <c r="A13" s="8">
        <v>2</v>
      </c>
      <c r="B13" s="8">
        <v>0</v>
      </c>
      <c r="C13" s="8">
        <v>0</v>
      </c>
      <c r="D13" s="3">
        <v>825220057</v>
      </c>
      <c r="E13" s="3" t="s">
        <v>142</v>
      </c>
      <c r="F13" t="s">
        <v>153</v>
      </c>
      <c r="G13" s="25">
        <f t="shared" si="0"/>
        <v>0</v>
      </c>
      <c r="H13" s="24"/>
      <c r="K13" s="5">
        <v>0</v>
      </c>
      <c r="L13" s="5">
        <v>0</v>
      </c>
      <c r="M13" s="5">
        <v>2</v>
      </c>
      <c r="N13" s="5" t="s">
        <v>899</v>
      </c>
      <c r="O13" s="5" t="s">
        <v>188</v>
      </c>
      <c r="P13" s="5" t="s">
        <v>142</v>
      </c>
      <c r="Q13" s="5" t="s">
        <v>155</v>
      </c>
      <c r="S13">
        <v>2</v>
      </c>
      <c r="T13">
        <v>0</v>
      </c>
      <c r="U13">
        <v>0</v>
      </c>
      <c r="V13" t="str">
        <v>JONATHAN LUCAS PAKPAHAN</v>
      </c>
      <c r="W13" t="str">
        <v>825220159</v>
      </c>
      <c r="X13" t="str">
        <v>Magang</v>
      </c>
    </row>
    <row r="14" spans="1:24" ht="42.95" customHeight="1" x14ac:dyDescent="0.2">
      <c r="A14" s="8">
        <v>2</v>
      </c>
      <c r="B14" s="8">
        <v>0</v>
      </c>
      <c r="C14" s="8">
        <v>0</v>
      </c>
      <c r="D14" s="3">
        <v>825220060</v>
      </c>
      <c r="E14" s="3" t="s">
        <v>142</v>
      </c>
      <c r="F14" t="s">
        <v>153</v>
      </c>
      <c r="G14" s="25">
        <f t="shared" si="0"/>
        <v>0</v>
      </c>
      <c r="H14" s="24"/>
      <c r="K14" s="5">
        <v>0</v>
      </c>
      <c r="L14" s="5">
        <v>0</v>
      </c>
      <c r="M14" s="5">
        <v>2</v>
      </c>
      <c r="N14" s="5" t="s">
        <v>900</v>
      </c>
      <c r="O14" s="5" t="s">
        <v>189</v>
      </c>
      <c r="P14" s="5" t="s">
        <v>142</v>
      </c>
      <c r="Q14" s="5" t="s">
        <v>155</v>
      </c>
      <c r="S14">
        <v>2</v>
      </c>
      <c r="T14">
        <v>0</v>
      </c>
      <c r="U14">
        <v>0</v>
      </c>
      <c r="V14" t="str">
        <v>GRASYA B LAMPALA L MUNTHE</v>
      </c>
      <c r="W14" t="str">
        <v>825220160</v>
      </c>
      <c r="X14" t="str">
        <v>Magang</v>
      </c>
    </row>
    <row r="15" spans="1:24" ht="44.1" customHeight="1" x14ac:dyDescent="0.2">
      <c r="A15" s="8">
        <v>2</v>
      </c>
      <c r="B15" s="8">
        <v>0</v>
      </c>
      <c r="C15" s="8">
        <v>0</v>
      </c>
      <c r="D15" s="3">
        <v>825220061</v>
      </c>
      <c r="E15" s="3" t="s">
        <v>142</v>
      </c>
      <c r="F15" t="s">
        <v>153</v>
      </c>
      <c r="G15" s="25">
        <f t="shared" si="0"/>
        <v>0</v>
      </c>
      <c r="H15" s="24"/>
      <c r="K15" s="5">
        <v>0</v>
      </c>
      <c r="L15" s="5">
        <v>0</v>
      </c>
      <c r="M15" s="5">
        <v>2</v>
      </c>
      <c r="N15" s="5" t="s">
        <v>901</v>
      </c>
      <c r="O15" s="5" t="s">
        <v>190</v>
      </c>
      <c r="P15" s="5" t="s">
        <v>142</v>
      </c>
      <c r="Q15" s="5" t="s">
        <v>155</v>
      </c>
      <c r="S15">
        <v>2</v>
      </c>
      <c r="T15">
        <v>0</v>
      </c>
      <c r="U15">
        <v>0</v>
      </c>
      <c r="V15" t="str">
        <v>GRACE APRILIANI PUTERI SANTOSO</v>
      </c>
      <c r="W15" t="str">
        <v>825220161</v>
      </c>
      <c r="X15" t="str">
        <v>Magang</v>
      </c>
    </row>
    <row r="16" spans="1:24" ht="43.5" customHeight="1" x14ac:dyDescent="0.2">
      <c r="A16" s="8">
        <v>2</v>
      </c>
      <c r="B16" s="8">
        <v>0</v>
      </c>
      <c r="C16" s="8">
        <v>0</v>
      </c>
      <c r="D16" s="3">
        <v>825220064</v>
      </c>
      <c r="E16" s="3" t="s">
        <v>142</v>
      </c>
      <c r="F16" t="s">
        <v>153</v>
      </c>
      <c r="G16" s="25">
        <f t="shared" si="0"/>
        <v>0</v>
      </c>
      <c r="H16" s="24"/>
      <c r="K16" s="5">
        <v>0</v>
      </c>
      <c r="L16" s="5">
        <v>0</v>
      </c>
      <c r="M16" s="5">
        <v>2</v>
      </c>
      <c r="N16" s="5" t="s">
        <v>902</v>
      </c>
      <c r="O16" s="5" t="s">
        <v>191</v>
      </c>
      <c r="P16" s="5" t="s">
        <v>142</v>
      </c>
      <c r="Q16" s="5" t="s">
        <v>155</v>
      </c>
      <c r="S16">
        <v>2</v>
      </c>
      <c r="T16">
        <v>0</v>
      </c>
      <c r="U16">
        <v>0</v>
      </c>
      <c r="V16" t="str">
        <v>DEA AULIYA RAHMAWATI</v>
      </c>
      <c r="W16" t="str">
        <v>825220163</v>
      </c>
      <c r="X16" t="str">
        <v>Magang</v>
      </c>
    </row>
    <row r="17" spans="1:24" ht="42.95" customHeight="1" x14ac:dyDescent="0.2">
      <c r="A17" s="8">
        <v>3</v>
      </c>
      <c r="B17" s="8">
        <v>0</v>
      </c>
      <c r="C17" s="8">
        <v>0</v>
      </c>
      <c r="D17" s="3">
        <v>825220012</v>
      </c>
      <c r="E17" s="3" t="s">
        <v>142</v>
      </c>
      <c r="F17" t="s">
        <v>155</v>
      </c>
      <c r="G17" s="25">
        <f t="shared" si="0"/>
        <v>0</v>
      </c>
      <c r="H17" s="24"/>
      <c r="K17" s="5">
        <v>1</v>
      </c>
      <c r="L17" s="5">
        <v>0</v>
      </c>
      <c r="M17" s="5">
        <v>0</v>
      </c>
      <c r="N17" s="5" t="s">
        <v>903</v>
      </c>
      <c r="O17" s="5" t="s">
        <v>192</v>
      </c>
      <c r="P17" s="5" t="s">
        <v>142</v>
      </c>
      <c r="Q17" s="5" t="s">
        <v>153</v>
      </c>
      <c r="S17">
        <v>3</v>
      </c>
      <c r="T17">
        <v>0</v>
      </c>
      <c r="U17">
        <v>0</v>
      </c>
      <c r="V17" t="str">
        <v>MUHAMMAD DAFFA AL HAKIM</v>
      </c>
      <c r="W17" t="str">
        <v>825220164</v>
      </c>
      <c r="X17" t="str">
        <v>Magang</v>
      </c>
    </row>
    <row r="18" spans="1:24" ht="43.7" customHeight="1" x14ac:dyDescent="0.2">
      <c r="A18" s="8">
        <v>3</v>
      </c>
      <c r="B18" s="8">
        <v>0</v>
      </c>
      <c r="C18" s="8">
        <v>0</v>
      </c>
      <c r="D18" s="3">
        <v>825220016</v>
      </c>
      <c r="E18" s="3" t="s">
        <v>142</v>
      </c>
      <c r="F18" t="s">
        <v>155</v>
      </c>
      <c r="G18" s="25">
        <f t="shared" si="0"/>
        <v>0</v>
      </c>
      <c r="H18" s="24"/>
      <c r="K18" s="5">
        <v>1</v>
      </c>
      <c r="L18" s="5">
        <v>0</v>
      </c>
      <c r="M18" s="5">
        <v>0</v>
      </c>
      <c r="N18" s="5" t="s">
        <v>904</v>
      </c>
      <c r="O18" s="5" t="s">
        <v>193</v>
      </c>
      <c r="P18" s="5" t="s">
        <v>142</v>
      </c>
      <c r="Q18" s="5" t="s">
        <v>153</v>
      </c>
      <c r="S18">
        <v>3</v>
      </c>
      <c r="T18">
        <v>0</v>
      </c>
      <c r="U18">
        <v>0</v>
      </c>
      <c r="V18" t="str">
        <v>RAKHA NAUFAL SUJANA</v>
      </c>
      <c r="W18" t="str">
        <v>535220006</v>
      </c>
      <c r="X18" t="str">
        <v>Magang</v>
      </c>
    </row>
    <row r="19" spans="1:24" ht="44.1" customHeight="1" x14ac:dyDescent="0.2">
      <c r="A19" s="8">
        <v>3</v>
      </c>
      <c r="B19" s="8">
        <v>0</v>
      </c>
      <c r="C19" s="8">
        <v>0</v>
      </c>
      <c r="D19" s="3">
        <v>825220020</v>
      </c>
      <c r="E19" s="3" t="s">
        <v>142</v>
      </c>
      <c r="F19" t="s">
        <v>155</v>
      </c>
      <c r="G19" s="25">
        <f t="shared" si="0"/>
        <v>0</v>
      </c>
      <c r="H19" s="24"/>
      <c r="K19" s="5">
        <v>1</v>
      </c>
      <c r="L19" s="5">
        <v>0</v>
      </c>
      <c r="M19" s="5">
        <v>0</v>
      </c>
      <c r="N19" s="5" t="s">
        <v>905</v>
      </c>
      <c r="O19" s="5" t="s">
        <v>194</v>
      </c>
      <c r="P19" s="5" t="s">
        <v>142</v>
      </c>
      <c r="Q19" s="5" t="s">
        <v>153</v>
      </c>
      <c r="S19">
        <v>3</v>
      </c>
      <c r="T19">
        <v>0</v>
      </c>
      <c r="U19">
        <v>0</v>
      </c>
      <c r="V19" t="str">
        <v>KANE PRADIPA KOMALA</v>
      </c>
      <c r="W19" t="str">
        <v>535220007</v>
      </c>
      <c r="X19" t="str">
        <v>Magang</v>
      </c>
    </row>
    <row r="20" spans="1:24" ht="42.95" customHeight="1" x14ac:dyDescent="0.2">
      <c r="A20" s="8">
        <v>3</v>
      </c>
      <c r="B20" s="8">
        <v>0</v>
      </c>
      <c r="C20" s="8">
        <v>0</v>
      </c>
      <c r="D20" s="3">
        <v>825220023</v>
      </c>
      <c r="E20" s="3" t="s">
        <v>142</v>
      </c>
      <c r="F20" t="s">
        <v>155</v>
      </c>
      <c r="G20" s="25">
        <f t="shared" si="0"/>
        <v>0</v>
      </c>
      <c r="H20" s="24"/>
      <c r="K20" s="5">
        <v>1</v>
      </c>
      <c r="L20" s="5">
        <v>0</v>
      </c>
      <c r="M20" s="5">
        <v>0</v>
      </c>
      <c r="N20" s="5" t="s">
        <v>906</v>
      </c>
      <c r="O20" s="5" t="s">
        <v>195</v>
      </c>
      <c r="P20" s="5" t="s">
        <v>142</v>
      </c>
      <c r="Q20" s="5" t="s">
        <v>153</v>
      </c>
      <c r="S20">
        <v>3</v>
      </c>
      <c r="T20">
        <v>0</v>
      </c>
      <c r="U20">
        <v>0</v>
      </c>
      <c r="V20" t="str">
        <v>BENNY DWIYANTO</v>
      </c>
      <c r="W20" t="str">
        <v>535220012</v>
      </c>
      <c r="X20" t="str">
        <v>Magang</v>
      </c>
    </row>
    <row r="21" spans="1:24" ht="43.5" customHeight="1" x14ac:dyDescent="0.2">
      <c r="A21" s="8">
        <v>3</v>
      </c>
      <c r="B21" s="8">
        <v>0</v>
      </c>
      <c r="C21" s="8">
        <v>0</v>
      </c>
      <c r="D21" s="3">
        <v>825220028</v>
      </c>
      <c r="E21" s="3" t="s">
        <v>142</v>
      </c>
      <c r="F21" t="s">
        <v>155</v>
      </c>
      <c r="G21" s="25">
        <f t="shared" si="0"/>
        <v>0</v>
      </c>
      <c r="H21" s="24"/>
      <c r="K21" s="5">
        <v>1</v>
      </c>
      <c r="L21" s="5">
        <v>0</v>
      </c>
      <c r="M21" s="5">
        <v>0</v>
      </c>
      <c r="N21" s="5" t="s">
        <v>907</v>
      </c>
      <c r="O21" s="5" t="s">
        <v>196</v>
      </c>
      <c r="P21" s="5" t="s">
        <v>142</v>
      </c>
      <c r="Q21" s="5" t="s">
        <v>153</v>
      </c>
      <c r="S21">
        <v>3</v>
      </c>
      <c r="T21">
        <v>0</v>
      </c>
      <c r="U21">
        <v>0</v>
      </c>
      <c r="V21" t="str">
        <v>CHRISTIAN FERNANDO</v>
      </c>
      <c r="W21" t="str">
        <v>535220055</v>
      </c>
      <c r="X21" t="str">
        <v>Magang</v>
      </c>
    </row>
    <row r="22" spans="1:24" ht="42.95" customHeight="1" x14ac:dyDescent="0.2">
      <c r="A22" s="8">
        <v>4</v>
      </c>
      <c r="B22" s="8">
        <v>0</v>
      </c>
      <c r="C22" s="8">
        <v>0</v>
      </c>
      <c r="D22" s="3">
        <v>825220167</v>
      </c>
      <c r="E22" s="3" t="s">
        <v>143</v>
      </c>
      <c r="F22" t="s">
        <v>168</v>
      </c>
      <c r="G22" s="25">
        <f t="shared" si="0"/>
        <v>0</v>
      </c>
      <c r="H22" s="24"/>
      <c r="K22" s="5">
        <v>1</v>
      </c>
      <c r="L22" s="5">
        <v>0</v>
      </c>
      <c r="M22" s="5">
        <v>1</v>
      </c>
      <c r="N22" s="5" t="s">
        <v>908</v>
      </c>
      <c r="O22" s="5" t="s">
        <v>197</v>
      </c>
      <c r="P22" s="5" t="s">
        <v>142</v>
      </c>
      <c r="Q22" s="5" t="s">
        <v>154</v>
      </c>
      <c r="S22">
        <v>4</v>
      </c>
      <c r="T22">
        <v>0</v>
      </c>
      <c r="U22">
        <v>0</v>
      </c>
      <c r="V22" t="str">
        <v>JONATAN PUTRA GUNAWAN</v>
      </c>
      <c r="W22" t="str">
        <v>535220009</v>
      </c>
      <c r="X22" t="str">
        <v>Stupen</v>
      </c>
    </row>
    <row r="23" spans="1:24" ht="44.1" customHeight="1" x14ac:dyDescent="0.2">
      <c r="A23" s="8">
        <v>4</v>
      </c>
      <c r="B23" s="8">
        <v>0</v>
      </c>
      <c r="C23" s="8">
        <v>0</v>
      </c>
      <c r="D23" s="3">
        <v>535220097</v>
      </c>
      <c r="E23" s="3" t="s">
        <v>143</v>
      </c>
      <c r="F23" t="s">
        <v>165</v>
      </c>
      <c r="G23" s="25">
        <f t="shared" si="0"/>
        <v>0</v>
      </c>
      <c r="H23" s="24"/>
      <c r="K23" s="5">
        <v>1</v>
      </c>
      <c r="L23" s="5">
        <v>0</v>
      </c>
      <c r="M23" s="5">
        <v>1</v>
      </c>
      <c r="N23" s="5" t="s">
        <v>909</v>
      </c>
      <c r="O23" s="5" t="s">
        <v>198</v>
      </c>
      <c r="P23" s="5" t="s">
        <v>142</v>
      </c>
      <c r="Q23" s="5" t="s">
        <v>154</v>
      </c>
      <c r="S23">
        <v>4</v>
      </c>
      <c r="T23">
        <v>0</v>
      </c>
      <c r="U23">
        <v>0</v>
      </c>
      <c r="V23" t="str">
        <v>DEVIN SAPUTRA WIJAYA</v>
      </c>
      <c r="W23" t="str">
        <v>535220011</v>
      </c>
      <c r="X23" t="str">
        <v>Stupen</v>
      </c>
    </row>
    <row r="24" spans="1:24" ht="42.95" customHeight="1" x14ac:dyDescent="0.2">
      <c r="A24" s="8">
        <v>4</v>
      </c>
      <c r="B24" s="8">
        <v>0</v>
      </c>
      <c r="C24" s="8">
        <v>0</v>
      </c>
      <c r="D24" s="3">
        <v>535220105</v>
      </c>
      <c r="E24" s="3" t="s">
        <v>143</v>
      </c>
      <c r="F24" t="s">
        <v>165</v>
      </c>
      <c r="G24" s="25">
        <f t="shared" si="0"/>
        <v>0</v>
      </c>
      <c r="H24" s="24"/>
      <c r="K24" s="5">
        <v>1</v>
      </c>
      <c r="L24" s="5">
        <v>0</v>
      </c>
      <c r="M24" s="5">
        <v>1</v>
      </c>
      <c r="N24" s="5" t="s">
        <v>910</v>
      </c>
      <c r="O24" s="5" t="s">
        <v>199</v>
      </c>
      <c r="P24" s="5" t="s">
        <v>142</v>
      </c>
      <c r="Q24" s="5" t="s">
        <v>154</v>
      </c>
      <c r="S24">
        <v>4</v>
      </c>
      <c r="T24">
        <v>0</v>
      </c>
      <c r="U24">
        <v>0</v>
      </c>
      <c r="V24" t="str">
        <v>JONATHAN</v>
      </c>
      <c r="W24" t="str">
        <v>535220026</v>
      </c>
      <c r="X24" t="str">
        <v>Stupen</v>
      </c>
    </row>
    <row r="25" spans="1:24" ht="44.1" customHeight="1" x14ac:dyDescent="0.2">
      <c r="A25" s="8">
        <v>4</v>
      </c>
      <c r="B25" s="8">
        <v>0</v>
      </c>
      <c r="C25" s="8">
        <v>0</v>
      </c>
      <c r="D25" s="3">
        <v>535220127</v>
      </c>
      <c r="E25" s="3" t="s">
        <v>143</v>
      </c>
      <c r="F25" t="s">
        <v>165</v>
      </c>
      <c r="G25" s="25">
        <f t="shared" si="0"/>
        <v>0</v>
      </c>
      <c r="H25" s="24"/>
      <c r="K25" s="5">
        <v>1</v>
      </c>
      <c r="L25" s="5">
        <v>0</v>
      </c>
      <c r="M25" s="5">
        <v>1</v>
      </c>
      <c r="N25" s="5" t="s">
        <v>911</v>
      </c>
      <c r="O25" s="5" t="s">
        <v>200</v>
      </c>
      <c r="P25" s="5" t="s">
        <v>142</v>
      </c>
      <c r="Q25" s="5" t="s">
        <v>154</v>
      </c>
      <c r="S25">
        <v>4</v>
      </c>
      <c r="T25">
        <v>0</v>
      </c>
      <c r="U25">
        <v>0</v>
      </c>
      <c r="V25" t="str">
        <v>GARRENT NATHANAEL</v>
      </c>
      <c r="W25" t="str">
        <v>535220072</v>
      </c>
      <c r="X25" t="str">
        <v>Stupen</v>
      </c>
    </row>
    <row r="26" spans="1:24" ht="42.6" customHeight="1" x14ac:dyDescent="0.2">
      <c r="A26" s="8">
        <v>4</v>
      </c>
      <c r="B26" s="8">
        <v>0</v>
      </c>
      <c r="C26" s="8">
        <v>0</v>
      </c>
      <c r="D26" s="3">
        <v>535220130</v>
      </c>
      <c r="E26" s="3" t="s">
        <v>143</v>
      </c>
      <c r="F26" t="s">
        <v>165</v>
      </c>
      <c r="G26" s="25">
        <f t="shared" si="0"/>
        <v>0</v>
      </c>
      <c r="H26" s="24"/>
      <c r="K26" s="5">
        <v>1</v>
      </c>
      <c r="L26" s="5">
        <v>0</v>
      </c>
      <c r="M26" s="5">
        <v>1</v>
      </c>
      <c r="N26" s="5" t="s">
        <v>912</v>
      </c>
      <c r="O26" s="5" t="s">
        <v>201</v>
      </c>
      <c r="P26" s="5" t="s">
        <v>142</v>
      </c>
      <c r="Q26" s="5" t="s">
        <v>154</v>
      </c>
      <c r="S26">
        <v>4</v>
      </c>
      <c r="T26">
        <v>0</v>
      </c>
      <c r="U26">
        <v>0</v>
      </c>
      <c r="V26" t="str">
        <v>CHELSIA CINDELERIA HERWANTO</v>
      </c>
      <c r="W26" t="str">
        <v>535220083</v>
      </c>
      <c r="X26" t="str">
        <v>Stupen</v>
      </c>
    </row>
    <row r="27" spans="1:24" ht="42.95" customHeight="1" x14ac:dyDescent="0.2">
      <c r="A27" s="8">
        <v>5</v>
      </c>
      <c r="B27" s="8">
        <v>0</v>
      </c>
      <c r="C27" s="8">
        <v>0</v>
      </c>
      <c r="D27" s="3">
        <v>535220009</v>
      </c>
      <c r="E27" s="3" t="s">
        <v>143</v>
      </c>
      <c r="F27" t="s">
        <v>159</v>
      </c>
      <c r="G27" s="25">
        <f t="shared" si="0"/>
        <v>0</v>
      </c>
      <c r="H27" s="24"/>
      <c r="K27" s="5">
        <v>1</v>
      </c>
      <c r="L27" s="5">
        <v>0</v>
      </c>
      <c r="M27" s="5">
        <v>2</v>
      </c>
      <c r="N27" s="5" t="s">
        <v>913</v>
      </c>
      <c r="O27" s="5" t="s">
        <v>202</v>
      </c>
      <c r="P27" s="5" t="s">
        <v>142</v>
      </c>
      <c r="Q27" s="5" t="s">
        <v>155</v>
      </c>
      <c r="S27">
        <v>5</v>
      </c>
      <c r="T27">
        <v>0</v>
      </c>
      <c r="U27">
        <v>0</v>
      </c>
      <c r="V27" t="str">
        <v>RAFAEL EVALDO SETIANTO</v>
      </c>
      <c r="W27" t="str">
        <v>535220086</v>
      </c>
      <c r="X27" t="str">
        <v>Stupen</v>
      </c>
    </row>
    <row r="28" spans="1:24" ht="44.1" customHeight="1" x14ac:dyDescent="0.2">
      <c r="A28" s="8">
        <v>5</v>
      </c>
      <c r="B28" s="8">
        <v>0</v>
      </c>
      <c r="C28" s="8">
        <v>0</v>
      </c>
      <c r="D28" s="3">
        <v>535220011</v>
      </c>
      <c r="E28" s="3" t="s">
        <v>143</v>
      </c>
      <c r="F28" t="s">
        <v>159</v>
      </c>
      <c r="G28" s="25">
        <f t="shared" si="0"/>
        <v>0</v>
      </c>
      <c r="H28" s="24"/>
      <c r="K28" s="5">
        <v>1</v>
      </c>
      <c r="L28" s="5">
        <v>0</v>
      </c>
      <c r="M28" s="5">
        <v>2</v>
      </c>
      <c r="N28" s="5" t="s">
        <v>914</v>
      </c>
      <c r="O28" s="5" t="s">
        <v>203</v>
      </c>
      <c r="P28" s="5" t="s">
        <v>142</v>
      </c>
      <c r="Q28" s="5" t="s">
        <v>155</v>
      </c>
      <c r="S28">
        <v>5</v>
      </c>
      <c r="T28">
        <v>0</v>
      </c>
      <c r="U28">
        <v>0</v>
      </c>
      <c r="V28" t="str">
        <v>ALEK PITER WARDOYO</v>
      </c>
      <c r="W28" t="str">
        <v>535220088</v>
      </c>
      <c r="X28" t="str">
        <v>Stupen</v>
      </c>
    </row>
    <row r="29" spans="1:24" ht="33" customHeight="1" x14ac:dyDescent="0.2">
      <c r="A29" s="8">
        <v>5</v>
      </c>
      <c r="B29" s="8">
        <v>0</v>
      </c>
      <c r="C29" s="8">
        <v>0</v>
      </c>
      <c r="D29" s="4">
        <v>535220026</v>
      </c>
      <c r="E29" s="3" t="s">
        <v>143</v>
      </c>
      <c r="F29" t="s">
        <v>159</v>
      </c>
      <c r="G29" s="25">
        <f t="shared" si="0"/>
        <v>0</v>
      </c>
      <c r="H29" s="24"/>
      <c r="K29" s="5">
        <v>1</v>
      </c>
      <c r="L29" s="5">
        <v>0</v>
      </c>
      <c r="M29" s="5">
        <v>2</v>
      </c>
      <c r="N29" s="5" t="s">
        <v>915</v>
      </c>
      <c r="O29" s="5" t="s">
        <v>204</v>
      </c>
      <c r="P29" s="5" t="s">
        <v>142</v>
      </c>
      <c r="Q29" s="5" t="s">
        <v>155</v>
      </c>
      <c r="S29">
        <v>5</v>
      </c>
      <c r="T29">
        <v>0</v>
      </c>
      <c r="U29">
        <v>0</v>
      </c>
      <c r="V29" t="str">
        <v>MARCHELINO BENEDIKTUS LEINTAN</v>
      </c>
      <c r="W29" t="str">
        <v>535220107</v>
      </c>
      <c r="X29" t="str">
        <v>Stupen</v>
      </c>
    </row>
    <row r="30" spans="1:24" ht="44.1" customHeight="1" x14ac:dyDescent="0.2">
      <c r="A30" s="8">
        <v>5</v>
      </c>
      <c r="B30" s="8">
        <v>0</v>
      </c>
      <c r="C30" s="8">
        <v>0</v>
      </c>
      <c r="D30" s="3">
        <v>535220072</v>
      </c>
      <c r="E30" s="3" t="s">
        <v>143</v>
      </c>
      <c r="F30" t="s">
        <v>159</v>
      </c>
      <c r="G30" s="25">
        <f t="shared" si="0"/>
        <v>0</v>
      </c>
      <c r="H30" s="24"/>
      <c r="K30" s="5">
        <v>1</v>
      </c>
      <c r="L30" s="5">
        <v>0</v>
      </c>
      <c r="M30" s="5">
        <v>2</v>
      </c>
      <c r="N30" s="5" t="s">
        <v>916</v>
      </c>
      <c r="O30" s="5" t="s">
        <v>205</v>
      </c>
      <c r="P30" s="5" t="s">
        <v>142</v>
      </c>
      <c r="Q30" s="5" t="s">
        <v>155</v>
      </c>
      <c r="S30">
        <v>5</v>
      </c>
      <c r="T30">
        <v>0</v>
      </c>
      <c r="U30">
        <v>0</v>
      </c>
      <c r="V30" t="str">
        <v>RIZKY SUGIHARTO</v>
      </c>
      <c r="W30" t="str">
        <v>535220113</v>
      </c>
      <c r="X30" t="str">
        <v>Stupen</v>
      </c>
    </row>
    <row r="31" spans="1:24" ht="43.7" customHeight="1" x14ac:dyDescent="0.2">
      <c r="A31" s="8">
        <v>5</v>
      </c>
      <c r="B31" s="8">
        <v>0</v>
      </c>
      <c r="C31" s="8">
        <v>0</v>
      </c>
      <c r="D31" s="3">
        <v>535220083</v>
      </c>
      <c r="E31" s="3" t="s">
        <v>143</v>
      </c>
      <c r="F31" t="s">
        <v>159</v>
      </c>
      <c r="G31" s="25">
        <f t="shared" si="0"/>
        <v>0</v>
      </c>
      <c r="H31" s="24"/>
      <c r="K31" s="5">
        <v>1</v>
      </c>
      <c r="L31" s="5">
        <v>0</v>
      </c>
      <c r="M31" s="5">
        <v>2</v>
      </c>
      <c r="N31" s="5" t="s">
        <v>917</v>
      </c>
      <c r="O31" s="5" t="s">
        <v>206</v>
      </c>
      <c r="P31" s="5" t="s">
        <v>142</v>
      </c>
      <c r="Q31" s="5" t="s">
        <v>155</v>
      </c>
      <c r="S31">
        <v>5</v>
      </c>
      <c r="T31">
        <v>0</v>
      </c>
      <c r="U31">
        <v>0</v>
      </c>
      <c r="V31" t="str">
        <v>RIDHWAN ARDIYANSYAH</v>
      </c>
      <c r="W31" t="str">
        <v>535220114</v>
      </c>
      <c r="X31" t="str">
        <v>Stupen</v>
      </c>
    </row>
    <row r="32" spans="1:24" ht="42.6" customHeight="1" x14ac:dyDescent="0.2">
      <c r="A32" s="8">
        <v>6</v>
      </c>
      <c r="B32" s="8">
        <v>0</v>
      </c>
      <c r="C32" s="8">
        <v>0</v>
      </c>
      <c r="D32" s="3">
        <v>535220086</v>
      </c>
      <c r="E32" s="3" t="s">
        <v>143</v>
      </c>
      <c r="F32" t="s">
        <v>159</v>
      </c>
      <c r="G32" s="25">
        <f t="shared" si="0"/>
        <v>0</v>
      </c>
      <c r="H32" s="24"/>
      <c r="K32" s="5">
        <v>2</v>
      </c>
      <c r="L32" s="5">
        <v>0</v>
      </c>
      <c r="M32" s="5">
        <v>0</v>
      </c>
      <c r="N32" s="5" t="s">
        <v>918</v>
      </c>
      <c r="O32" s="5" t="s">
        <v>207</v>
      </c>
      <c r="P32" s="5" t="s">
        <v>142</v>
      </c>
      <c r="Q32" s="5" t="s">
        <v>153</v>
      </c>
      <c r="S32">
        <v>6</v>
      </c>
      <c r="T32">
        <v>0</v>
      </c>
      <c r="U32">
        <v>0</v>
      </c>
      <c r="V32" t="str">
        <v>JOVANKA CESSYLIA TESALONIKA MIKHA WENAS</v>
      </c>
      <c r="W32" t="str">
        <v>535220115</v>
      </c>
      <c r="X32" t="str">
        <v>Stupen</v>
      </c>
    </row>
    <row r="33" spans="1:24" ht="44.1" customHeight="1" x14ac:dyDescent="0.2">
      <c r="A33" s="8">
        <v>6</v>
      </c>
      <c r="B33" s="8">
        <v>0</v>
      </c>
      <c r="C33" s="8">
        <v>0</v>
      </c>
      <c r="D33" s="3">
        <v>535220088</v>
      </c>
      <c r="E33" s="3" t="s">
        <v>143</v>
      </c>
      <c r="F33" t="s">
        <v>159</v>
      </c>
      <c r="G33" s="25">
        <f t="shared" si="0"/>
        <v>0</v>
      </c>
      <c r="H33" s="24"/>
      <c r="K33" s="5">
        <v>2</v>
      </c>
      <c r="L33" s="5">
        <v>0</v>
      </c>
      <c r="M33" s="5">
        <v>0</v>
      </c>
      <c r="N33" s="5" t="s">
        <v>919</v>
      </c>
      <c r="O33" s="5" t="s">
        <v>208</v>
      </c>
      <c r="P33" s="5" t="s">
        <v>142</v>
      </c>
      <c r="Q33" s="5" t="s">
        <v>153</v>
      </c>
      <c r="S33">
        <v>6</v>
      </c>
      <c r="T33">
        <v>0</v>
      </c>
      <c r="U33">
        <v>0</v>
      </c>
      <c r="V33" t="str">
        <v>LUIS FERNANDO</v>
      </c>
      <c r="W33" t="str">
        <v>535220116</v>
      </c>
      <c r="X33" t="str">
        <v>Stupen</v>
      </c>
    </row>
    <row r="34" spans="1:24" ht="42.95" customHeight="1" x14ac:dyDescent="0.2">
      <c r="A34" s="8">
        <v>6</v>
      </c>
      <c r="B34" s="8">
        <v>0</v>
      </c>
      <c r="C34" s="8">
        <v>0</v>
      </c>
      <c r="D34" s="3">
        <v>535220107</v>
      </c>
      <c r="E34" s="3" t="s">
        <v>143</v>
      </c>
      <c r="F34" t="s">
        <v>159</v>
      </c>
      <c r="G34" s="25">
        <f t="shared" si="0"/>
        <v>0</v>
      </c>
      <c r="H34" s="24"/>
      <c r="K34" s="5">
        <v>2</v>
      </c>
      <c r="L34" s="5">
        <v>0</v>
      </c>
      <c r="M34" s="5">
        <v>0</v>
      </c>
      <c r="N34" s="5" t="s">
        <v>920</v>
      </c>
      <c r="O34" s="5" t="s">
        <v>209</v>
      </c>
      <c r="P34" s="5" t="s">
        <v>142</v>
      </c>
      <c r="Q34" s="5" t="s">
        <v>153</v>
      </c>
      <c r="S34">
        <v>6</v>
      </c>
      <c r="T34">
        <v>0</v>
      </c>
      <c r="U34">
        <v>0</v>
      </c>
      <c r="V34" t="str">
        <v xml:space="preserve">SHINZI </v>
      </c>
      <c r="W34" t="str">
        <v>535220118</v>
      </c>
      <c r="X34" t="str">
        <v>Stupen</v>
      </c>
    </row>
    <row r="35" spans="1:24" ht="44.1" customHeight="1" x14ac:dyDescent="0.2">
      <c r="A35" s="8">
        <v>6</v>
      </c>
      <c r="B35" s="8">
        <v>0</v>
      </c>
      <c r="C35" s="8">
        <v>0</v>
      </c>
      <c r="D35" s="3">
        <v>535220113</v>
      </c>
      <c r="E35" s="3" t="s">
        <v>143</v>
      </c>
      <c r="F35" t="s">
        <v>159</v>
      </c>
      <c r="G35" s="25">
        <f t="shared" si="0"/>
        <v>0</v>
      </c>
      <c r="H35" s="24"/>
      <c r="K35" s="5">
        <v>2</v>
      </c>
      <c r="L35" s="5">
        <v>0</v>
      </c>
      <c r="M35" s="5">
        <v>0</v>
      </c>
      <c r="N35" s="5" t="s">
        <v>921</v>
      </c>
      <c r="O35" s="5" t="s">
        <v>210</v>
      </c>
      <c r="P35" s="5" t="s">
        <v>142</v>
      </c>
      <c r="Q35" s="5" t="s">
        <v>153</v>
      </c>
      <c r="S35">
        <v>6</v>
      </c>
      <c r="T35">
        <v>0</v>
      </c>
      <c r="U35">
        <v>0</v>
      </c>
      <c r="V35" t="str">
        <v>BRILIONA</v>
      </c>
      <c r="W35" t="str">
        <v>535220124</v>
      </c>
      <c r="X35" t="str">
        <v>Stupen</v>
      </c>
    </row>
    <row r="36" spans="1:24" ht="43.7" customHeight="1" x14ac:dyDescent="0.2">
      <c r="A36" s="8">
        <v>6</v>
      </c>
      <c r="B36" s="8">
        <v>0</v>
      </c>
      <c r="C36" s="8">
        <v>0</v>
      </c>
      <c r="D36" s="3">
        <v>535220114</v>
      </c>
      <c r="E36" s="3" t="s">
        <v>143</v>
      </c>
      <c r="F36" t="s">
        <v>159</v>
      </c>
      <c r="G36" s="25">
        <f t="shared" si="0"/>
        <v>0</v>
      </c>
      <c r="H36" s="24"/>
      <c r="K36" s="5">
        <v>2</v>
      </c>
      <c r="L36" s="5">
        <v>0</v>
      </c>
      <c r="M36" s="5">
        <v>0</v>
      </c>
      <c r="N36" s="5" t="s">
        <v>922</v>
      </c>
      <c r="O36" s="5" t="s">
        <v>211</v>
      </c>
      <c r="P36" s="5" t="s">
        <v>142</v>
      </c>
      <c r="Q36" s="5" t="s">
        <v>153</v>
      </c>
      <c r="S36">
        <v>6</v>
      </c>
      <c r="T36">
        <v>0</v>
      </c>
      <c r="U36">
        <v>0</v>
      </c>
      <c r="V36" t="str">
        <v>WITRIATNA KOSAHI</v>
      </c>
      <c r="W36" t="str">
        <v>535220125</v>
      </c>
      <c r="X36" t="str">
        <v>Stupen</v>
      </c>
    </row>
    <row r="37" spans="1:24" ht="44.1" customHeight="1" x14ac:dyDescent="0.2">
      <c r="A37" s="8">
        <v>0</v>
      </c>
      <c r="B37" s="8">
        <v>1</v>
      </c>
      <c r="C37" s="8">
        <v>0</v>
      </c>
      <c r="D37" s="3">
        <v>535220062</v>
      </c>
      <c r="E37" s="3" t="s">
        <v>142</v>
      </c>
      <c r="F37" t="s">
        <v>154</v>
      </c>
      <c r="G37" s="25">
        <f t="shared" si="0"/>
        <v>0</v>
      </c>
      <c r="H37" s="24"/>
      <c r="K37" s="5">
        <v>2</v>
      </c>
      <c r="L37" s="5">
        <v>0</v>
      </c>
      <c r="M37" s="5">
        <v>1</v>
      </c>
      <c r="N37" s="5" t="s">
        <v>923</v>
      </c>
      <c r="O37" s="5" t="s">
        <v>212</v>
      </c>
      <c r="P37" s="5" t="s">
        <v>142</v>
      </c>
      <c r="Q37" s="5" t="s">
        <v>154</v>
      </c>
      <c r="S37">
        <v>0</v>
      </c>
      <c r="T37">
        <v>0</v>
      </c>
      <c r="U37">
        <v>1</v>
      </c>
      <c r="V37" t="str">
        <v>DAVE KEANE WIJAYA</v>
      </c>
      <c r="W37" t="str">
        <v>535220022</v>
      </c>
      <c r="X37" t="str">
        <v>Magang</v>
      </c>
    </row>
    <row r="38" spans="1:24" ht="44.1" customHeight="1" x14ac:dyDescent="0.2">
      <c r="A38" s="8">
        <v>0</v>
      </c>
      <c r="B38" s="8">
        <v>1</v>
      </c>
      <c r="C38" s="8">
        <v>0</v>
      </c>
      <c r="D38" s="3">
        <v>535220063</v>
      </c>
      <c r="E38" s="3" t="s">
        <v>142</v>
      </c>
      <c r="F38" t="s">
        <v>154</v>
      </c>
      <c r="G38" s="25">
        <f t="shared" si="0"/>
        <v>0</v>
      </c>
      <c r="H38" s="24"/>
      <c r="K38" s="5">
        <v>2</v>
      </c>
      <c r="L38" s="5">
        <v>0</v>
      </c>
      <c r="M38" s="5">
        <v>1</v>
      </c>
      <c r="N38" s="5" t="s">
        <v>924</v>
      </c>
      <c r="O38" s="5" t="s">
        <v>213</v>
      </c>
      <c r="P38" s="5" t="s">
        <v>142</v>
      </c>
      <c r="Q38" s="5" t="s">
        <v>154</v>
      </c>
      <c r="S38">
        <v>0</v>
      </c>
      <c r="T38">
        <v>0</v>
      </c>
      <c r="U38">
        <v>1</v>
      </c>
      <c r="V38" t="str">
        <v>JESSEN CHAYADI</v>
      </c>
      <c r="W38" t="str">
        <v>535220023</v>
      </c>
      <c r="X38" t="str">
        <v>Magang</v>
      </c>
    </row>
    <row r="39" spans="1:24" ht="44.1" customHeight="1" x14ac:dyDescent="0.2">
      <c r="A39" s="8">
        <v>0</v>
      </c>
      <c r="B39" s="8">
        <v>1</v>
      </c>
      <c r="C39" s="8">
        <v>0</v>
      </c>
      <c r="D39" s="3">
        <v>535220071</v>
      </c>
      <c r="E39" s="3" t="s">
        <v>142</v>
      </c>
      <c r="F39" t="s">
        <v>154</v>
      </c>
      <c r="G39" s="25">
        <f t="shared" si="0"/>
        <v>0</v>
      </c>
      <c r="H39" s="24"/>
      <c r="K39" s="5">
        <v>2</v>
      </c>
      <c r="L39" s="5">
        <v>0</v>
      </c>
      <c r="M39" s="5">
        <v>1</v>
      </c>
      <c r="N39" s="5" t="s">
        <v>925</v>
      </c>
      <c r="O39" s="5" t="s">
        <v>214</v>
      </c>
      <c r="P39" s="5" t="s">
        <v>142</v>
      </c>
      <c r="Q39" s="5" t="s">
        <v>154</v>
      </c>
      <c r="S39">
        <v>0</v>
      </c>
      <c r="T39">
        <v>0</v>
      </c>
      <c r="U39">
        <v>1</v>
      </c>
      <c r="V39" t="str">
        <v>SHEILA TANIA</v>
      </c>
      <c r="W39" t="str">
        <v>535220028</v>
      </c>
      <c r="X39" t="str">
        <v>Magang</v>
      </c>
    </row>
    <row r="40" spans="1:24" ht="42.95" customHeight="1" x14ac:dyDescent="0.2">
      <c r="A40" s="8">
        <v>0</v>
      </c>
      <c r="B40" s="8">
        <v>1</v>
      </c>
      <c r="C40" s="8">
        <v>0</v>
      </c>
      <c r="D40" s="3">
        <v>535220123</v>
      </c>
      <c r="E40" s="3" t="s">
        <v>142</v>
      </c>
      <c r="F40" t="s">
        <v>154</v>
      </c>
      <c r="G40" s="25">
        <f t="shared" si="0"/>
        <v>0</v>
      </c>
      <c r="H40" s="24"/>
      <c r="K40" s="5">
        <v>2</v>
      </c>
      <c r="L40" s="5">
        <v>0</v>
      </c>
      <c r="M40" s="5">
        <v>1</v>
      </c>
      <c r="N40" s="5" t="s">
        <v>926</v>
      </c>
      <c r="O40" s="5" t="s">
        <v>215</v>
      </c>
      <c r="P40" s="5" t="s">
        <v>142</v>
      </c>
      <c r="Q40" s="5" t="s">
        <v>154</v>
      </c>
      <c r="S40">
        <v>0</v>
      </c>
      <c r="T40">
        <v>0</v>
      </c>
      <c r="U40">
        <v>1</v>
      </c>
      <c r="V40" t="str">
        <v>FERDINAND</v>
      </c>
      <c r="W40" t="str">
        <v>535220031</v>
      </c>
      <c r="X40" t="str">
        <v>Magang</v>
      </c>
    </row>
    <row r="41" spans="1:24" ht="43.5" customHeight="1" x14ac:dyDescent="0.2">
      <c r="A41" s="8">
        <v>0</v>
      </c>
      <c r="B41" s="8">
        <v>1</v>
      </c>
      <c r="C41" s="8">
        <v>0</v>
      </c>
      <c r="D41" s="3">
        <v>535220126</v>
      </c>
      <c r="E41" s="3" t="s">
        <v>142</v>
      </c>
      <c r="F41" t="s">
        <v>154</v>
      </c>
      <c r="G41" s="25">
        <f t="shared" si="0"/>
        <v>0</v>
      </c>
      <c r="H41" s="24"/>
      <c r="K41" s="5">
        <v>2</v>
      </c>
      <c r="L41" s="5">
        <v>0</v>
      </c>
      <c r="M41" s="5">
        <v>1</v>
      </c>
      <c r="N41" s="5" t="s">
        <v>927</v>
      </c>
      <c r="O41" s="5" t="s">
        <v>216</v>
      </c>
      <c r="P41" s="5" t="s">
        <v>142</v>
      </c>
      <c r="Q41" s="5" t="s">
        <v>154</v>
      </c>
      <c r="S41">
        <v>0</v>
      </c>
      <c r="T41">
        <v>0</v>
      </c>
      <c r="U41">
        <v>1</v>
      </c>
      <c r="V41" t="str">
        <v>ARI WIJAYA</v>
      </c>
      <c r="W41" t="str">
        <v>535220060</v>
      </c>
      <c r="X41" t="str">
        <v>Magang</v>
      </c>
    </row>
    <row r="42" spans="1:24" ht="42.95" customHeight="1" x14ac:dyDescent="0.2">
      <c r="A42" s="8">
        <v>1</v>
      </c>
      <c r="B42" s="8">
        <v>1</v>
      </c>
      <c r="C42" s="8">
        <v>0</v>
      </c>
      <c r="D42" s="3">
        <v>535220129</v>
      </c>
      <c r="E42" s="3" t="s">
        <v>142</v>
      </c>
      <c r="F42" t="s">
        <v>154</v>
      </c>
      <c r="G42" s="25">
        <f t="shared" si="0"/>
        <v>0</v>
      </c>
      <c r="H42" s="24"/>
      <c r="K42" s="5">
        <v>2</v>
      </c>
      <c r="L42" s="5">
        <v>0</v>
      </c>
      <c r="M42" s="5">
        <v>2</v>
      </c>
      <c r="N42" s="5" t="s">
        <v>928</v>
      </c>
      <c r="O42" s="5" t="s">
        <v>217</v>
      </c>
      <c r="P42" s="5" t="s">
        <v>142</v>
      </c>
      <c r="Q42" s="5" t="s">
        <v>155</v>
      </c>
      <c r="S42">
        <v>1</v>
      </c>
      <c r="T42">
        <v>0</v>
      </c>
      <c r="U42">
        <v>1</v>
      </c>
      <c r="V42" t="str">
        <v>KELVYN NATHANAEL MAULANA</v>
      </c>
      <c r="W42" t="str">
        <v>535220062</v>
      </c>
      <c r="X42" t="str">
        <v>Magang</v>
      </c>
    </row>
    <row r="43" spans="1:24" ht="44.1" customHeight="1" x14ac:dyDescent="0.2">
      <c r="A43" s="8">
        <v>1</v>
      </c>
      <c r="B43" s="8">
        <v>1</v>
      </c>
      <c r="C43" s="8">
        <v>0</v>
      </c>
      <c r="D43" s="3">
        <v>535220131</v>
      </c>
      <c r="E43" s="3" t="s">
        <v>142</v>
      </c>
      <c r="F43" t="s">
        <v>154</v>
      </c>
      <c r="G43" s="25">
        <f t="shared" si="0"/>
        <v>0</v>
      </c>
      <c r="H43" s="24"/>
      <c r="K43" s="5">
        <v>2</v>
      </c>
      <c r="L43" s="5">
        <v>0</v>
      </c>
      <c r="M43" s="5">
        <v>2</v>
      </c>
      <c r="N43" s="5" t="s">
        <v>929</v>
      </c>
      <c r="O43" s="5" t="s">
        <v>218</v>
      </c>
      <c r="P43" s="5" t="s">
        <v>142</v>
      </c>
      <c r="Q43" s="5" t="s">
        <v>155</v>
      </c>
      <c r="S43">
        <v>1</v>
      </c>
      <c r="T43">
        <v>0</v>
      </c>
      <c r="U43">
        <v>1</v>
      </c>
      <c r="V43" t="str">
        <v>KENT DYLAN SANJAYA</v>
      </c>
      <c r="W43" t="str">
        <v>535220063</v>
      </c>
      <c r="X43" t="str">
        <v>Magang</v>
      </c>
    </row>
    <row r="44" spans="1:24" ht="42.95" customHeight="1" x14ac:dyDescent="0.2">
      <c r="A44" s="8">
        <v>1</v>
      </c>
      <c r="B44" s="8">
        <v>1</v>
      </c>
      <c r="C44" s="8">
        <v>0</v>
      </c>
      <c r="D44" s="3">
        <v>535220186</v>
      </c>
      <c r="E44" s="3" t="s">
        <v>142</v>
      </c>
      <c r="F44" t="s">
        <v>154</v>
      </c>
      <c r="G44" s="25">
        <f t="shared" si="0"/>
        <v>0</v>
      </c>
      <c r="H44" s="24"/>
      <c r="K44" s="5">
        <v>2</v>
      </c>
      <c r="L44" s="5">
        <v>0</v>
      </c>
      <c r="M44" s="5">
        <v>2</v>
      </c>
      <c r="N44" s="5" t="s">
        <v>930</v>
      </c>
      <c r="O44" s="5" t="s">
        <v>219</v>
      </c>
      <c r="P44" s="5" t="s">
        <v>142</v>
      </c>
      <c r="Q44" s="5" t="s">
        <v>155</v>
      </c>
      <c r="S44">
        <v>1</v>
      </c>
      <c r="T44">
        <v>0</v>
      </c>
      <c r="U44">
        <v>1</v>
      </c>
      <c r="V44" t="str">
        <v>RAFEL SUTRA DHARMA</v>
      </c>
      <c r="W44" t="str">
        <v>535220071</v>
      </c>
      <c r="X44" t="str">
        <v>Magang</v>
      </c>
    </row>
    <row r="45" spans="1:24" ht="44.1" customHeight="1" x14ac:dyDescent="0.2">
      <c r="A45" s="8">
        <v>1</v>
      </c>
      <c r="B45" s="8">
        <v>1</v>
      </c>
      <c r="C45" s="8">
        <v>0</v>
      </c>
      <c r="D45" s="3">
        <v>535220187</v>
      </c>
      <c r="E45" s="3" t="s">
        <v>142</v>
      </c>
      <c r="F45" t="s">
        <v>154</v>
      </c>
      <c r="G45" s="25">
        <f t="shared" si="0"/>
        <v>0</v>
      </c>
      <c r="H45" s="24"/>
      <c r="K45" s="5">
        <v>2</v>
      </c>
      <c r="L45" s="5">
        <v>0</v>
      </c>
      <c r="M45" s="5">
        <v>2</v>
      </c>
      <c r="N45" s="5" t="s">
        <v>931</v>
      </c>
      <c r="O45" s="5" t="s">
        <v>220</v>
      </c>
      <c r="P45" s="5" t="s">
        <v>142</v>
      </c>
      <c r="Q45" s="5" t="s">
        <v>155</v>
      </c>
      <c r="S45">
        <v>1</v>
      </c>
      <c r="T45">
        <v>0</v>
      </c>
      <c r="U45">
        <v>1</v>
      </c>
      <c r="V45" t="str">
        <v>JASON SUNARYO</v>
      </c>
      <c r="W45" t="str">
        <v>535220123</v>
      </c>
      <c r="X45" t="str">
        <v>Magang</v>
      </c>
    </row>
    <row r="46" spans="1:24" ht="42.6" customHeight="1" x14ac:dyDescent="0.2">
      <c r="A46" s="8">
        <v>1</v>
      </c>
      <c r="B46" s="8">
        <v>1</v>
      </c>
      <c r="C46" s="8">
        <v>0</v>
      </c>
      <c r="D46" s="3">
        <v>535220198</v>
      </c>
      <c r="E46" s="3" t="s">
        <v>142</v>
      </c>
      <c r="F46" t="s">
        <v>154</v>
      </c>
      <c r="G46" s="25">
        <f t="shared" si="0"/>
        <v>0</v>
      </c>
      <c r="H46" s="24"/>
      <c r="K46" s="5">
        <v>2</v>
      </c>
      <c r="L46" s="5">
        <v>0</v>
      </c>
      <c r="M46" s="5">
        <v>2</v>
      </c>
      <c r="N46" s="5" t="s">
        <v>932</v>
      </c>
      <c r="O46" s="5" t="s">
        <v>221</v>
      </c>
      <c r="P46" s="5" t="s">
        <v>142</v>
      </c>
      <c r="Q46" s="5" t="s">
        <v>155</v>
      </c>
      <c r="S46">
        <v>1</v>
      </c>
      <c r="T46">
        <v>0</v>
      </c>
      <c r="U46">
        <v>1</v>
      </c>
      <c r="V46" t="str">
        <v>JEFFRY LINGAU</v>
      </c>
      <c r="W46" t="str">
        <v>535220126</v>
      </c>
      <c r="X46" t="str">
        <v>Magang</v>
      </c>
    </row>
    <row r="47" spans="1:24" ht="42.95" customHeight="1" x14ac:dyDescent="0.2">
      <c r="A47" s="8">
        <v>2</v>
      </c>
      <c r="B47" s="8">
        <v>1</v>
      </c>
      <c r="C47" s="8">
        <v>0</v>
      </c>
      <c r="D47" s="3">
        <v>535220204</v>
      </c>
      <c r="E47" s="3" t="s">
        <v>142</v>
      </c>
      <c r="F47" t="s">
        <v>154</v>
      </c>
      <c r="G47" s="25">
        <f t="shared" si="0"/>
        <v>0</v>
      </c>
      <c r="H47" s="24"/>
      <c r="K47" s="5">
        <v>3</v>
      </c>
      <c r="L47" s="5">
        <v>0</v>
      </c>
      <c r="M47" s="5">
        <v>0</v>
      </c>
      <c r="N47" s="5" t="s">
        <v>933</v>
      </c>
      <c r="O47" s="5" t="s">
        <v>222</v>
      </c>
      <c r="P47" s="5" t="s">
        <v>142</v>
      </c>
      <c r="Q47" s="5" t="s">
        <v>153</v>
      </c>
      <c r="S47">
        <v>2</v>
      </c>
      <c r="T47">
        <v>0</v>
      </c>
      <c r="U47">
        <v>1</v>
      </c>
      <c r="V47" t="str">
        <v>HANS SANTOSO</v>
      </c>
      <c r="W47" t="str">
        <v>535220129</v>
      </c>
      <c r="X47" t="str">
        <v>Magang</v>
      </c>
    </row>
    <row r="48" spans="1:24" ht="44.1" customHeight="1" x14ac:dyDescent="0.2">
      <c r="A48" s="8">
        <v>2</v>
      </c>
      <c r="B48" s="8">
        <v>1</v>
      </c>
      <c r="C48" s="8">
        <v>0</v>
      </c>
      <c r="D48" s="3">
        <v>535220006</v>
      </c>
      <c r="E48" s="3" t="s">
        <v>142</v>
      </c>
      <c r="F48" t="s">
        <v>156</v>
      </c>
      <c r="G48" s="25">
        <f t="shared" si="0"/>
        <v>0</v>
      </c>
      <c r="H48" s="24"/>
      <c r="K48" s="5">
        <v>3</v>
      </c>
      <c r="L48" s="5">
        <v>0</v>
      </c>
      <c r="M48" s="5">
        <v>0</v>
      </c>
      <c r="N48" s="5" t="s">
        <v>934</v>
      </c>
      <c r="O48" s="5" t="s">
        <v>223</v>
      </c>
      <c r="P48" s="5" t="s">
        <v>142</v>
      </c>
      <c r="Q48" s="5" t="s">
        <v>156</v>
      </c>
      <c r="S48">
        <v>2</v>
      </c>
      <c r="T48">
        <v>0</v>
      </c>
      <c r="U48">
        <v>1</v>
      </c>
      <c r="V48" t="str">
        <v>SABRINA PHALOSA PHAI</v>
      </c>
      <c r="W48" t="str">
        <v>535220131</v>
      </c>
      <c r="X48" t="str">
        <v>Magang</v>
      </c>
    </row>
    <row r="49" spans="1:24" ht="33" customHeight="1" x14ac:dyDescent="0.2">
      <c r="A49" s="8">
        <v>2</v>
      </c>
      <c r="B49" s="8">
        <v>1</v>
      </c>
      <c r="C49" s="8">
        <v>0</v>
      </c>
      <c r="D49" s="4">
        <v>535220007</v>
      </c>
      <c r="E49" s="3" t="s">
        <v>142</v>
      </c>
      <c r="F49" t="s">
        <v>156</v>
      </c>
      <c r="G49" s="25">
        <f t="shared" si="0"/>
        <v>0</v>
      </c>
      <c r="H49" s="24"/>
      <c r="K49" s="5">
        <v>3</v>
      </c>
      <c r="L49" s="5">
        <v>0</v>
      </c>
      <c r="M49" s="5">
        <v>0</v>
      </c>
      <c r="N49" s="5" t="s">
        <v>935</v>
      </c>
      <c r="O49" s="5" t="s">
        <v>224</v>
      </c>
      <c r="P49" s="5" t="s">
        <v>142</v>
      </c>
      <c r="Q49" s="5" t="s">
        <v>156</v>
      </c>
      <c r="S49">
        <v>2</v>
      </c>
      <c r="T49">
        <v>0</v>
      </c>
      <c r="U49">
        <v>1</v>
      </c>
      <c r="V49" t="str">
        <v>VALENTINO RICHARDO LIM</v>
      </c>
      <c r="W49" t="str">
        <v>535220186</v>
      </c>
      <c r="X49" t="str">
        <v>Magang</v>
      </c>
    </row>
    <row r="50" spans="1:24" ht="44.1" customHeight="1" x14ac:dyDescent="0.2">
      <c r="A50" s="8">
        <v>2</v>
      </c>
      <c r="B50" s="8">
        <v>1</v>
      </c>
      <c r="C50" s="8">
        <v>0</v>
      </c>
      <c r="D50" s="3">
        <v>535220012</v>
      </c>
      <c r="E50" s="3" t="s">
        <v>142</v>
      </c>
      <c r="F50" t="s">
        <v>156</v>
      </c>
      <c r="G50" s="25">
        <f t="shared" si="0"/>
        <v>0</v>
      </c>
      <c r="H50" s="24"/>
      <c r="K50" s="5">
        <v>3</v>
      </c>
      <c r="L50" s="5">
        <v>0</v>
      </c>
      <c r="M50" s="5">
        <v>0</v>
      </c>
      <c r="N50" s="5" t="s">
        <v>936</v>
      </c>
      <c r="O50" s="5" t="s">
        <v>225</v>
      </c>
      <c r="P50" s="5" t="s">
        <v>142</v>
      </c>
      <c r="Q50" s="5" t="s">
        <v>156</v>
      </c>
      <c r="S50">
        <v>2</v>
      </c>
      <c r="T50">
        <v>0</v>
      </c>
      <c r="U50">
        <v>1</v>
      </c>
      <c r="V50" t="str">
        <v>JESSICA HO</v>
      </c>
      <c r="W50" t="str">
        <v>535220187</v>
      </c>
      <c r="X50" t="str">
        <v>Magang</v>
      </c>
    </row>
    <row r="51" spans="1:24" ht="43.5" customHeight="1" x14ac:dyDescent="0.2">
      <c r="A51" s="8">
        <v>2</v>
      </c>
      <c r="B51" s="8">
        <v>1</v>
      </c>
      <c r="C51" s="8">
        <v>0</v>
      </c>
      <c r="D51" s="3">
        <v>535220055</v>
      </c>
      <c r="E51" s="3" t="s">
        <v>142</v>
      </c>
      <c r="F51" t="s">
        <v>156</v>
      </c>
      <c r="G51" s="25">
        <f t="shared" si="0"/>
        <v>0</v>
      </c>
      <c r="H51" s="24"/>
      <c r="K51" s="5">
        <v>3</v>
      </c>
      <c r="L51" s="5">
        <v>0</v>
      </c>
      <c r="M51" s="5">
        <v>0</v>
      </c>
      <c r="N51" s="5" t="s">
        <v>937</v>
      </c>
      <c r="O51" s="5" t="s">
        <v>226</v>
      </c>
      <c r="P51" s="5" t="s">
        <v>142</v>
      </c>
      <c r="Q51" s="5" t="s">
        <v>156</v>
      </c>
      <c r="S51">
        <v>2</v>
      </c>
      <c r="T51">
        <v>0</v>
      </c>
      <c r="U51">
        <v>1</v>
      </c>
      <c r="V51" t="str">
        <v>MARVIN GULTOM</v>
      </c>
      <c r="W51" t="str">
        <v>535220198</v>
      </c>
      <c r="X51" t="str">
        <v>Magang</v>
      </c>
    </row>
    <row r="52" spans="1:24" ht="42.95" customHeight="1" x14ac:dyDescent="0.2">
      <c r="A52" s="8">
        <v>3</v>
      </c>
      <c r="B52" s="8">
        <v>1</v>
      </c>
      <c r="C52" s="8">
        <v>0</v>
      </c>
      <c r="D52" s="3">
        <v>535220065</v>
      </c>
      <c r="E52" s="3" t="s">
        <v>142</v>
      </c>
      <c r="F52" t="s">
        <v>167</v>
      </c>
      <c r="G52" s="25">
        <f t="shared" si="0"/>
        <v>0</v>
      </c>
      <c r="H52" s="24"/>
      <c r="K52" s="5">
        <v>3</v>
      </c>
      <c r="L52" s="5">
        <v>0</v>
      </c>
      <c r="M52" s="5">
        <v>1</v>
      </c>
      <c r="N52" s="5" t="s">
        <v>938</v>
      </c>
      <c r="O52" s="5" t="s">
        <v>227</v>
      </c>
      <c r="P52" s="5" t="s">
        <v>142</v>
      </c>
      <c r="Q52" s="5" t="s">
        <v>154</v>
      </c>
      <c r="S52">
        <v>3</v>
      </c>
      <c r="T52">
        <v>0</v>
      </c>
      <c r="U52">
        <v>1</v>
      </c>
      <c r="V52" t="str">
        <v xml:space="preserve">SHANNON ANDREA </v>
      </c>
      <c r="W52" t="str">
        <v>535220204</v>
      </c>
      <c r="X52" t="str">
        <v>Magang</v>
      </c>
    </row>
    <row r="53" spans="1:24" ht="44.1" customHeight="1" x14ac:dyDescent="0.2">
      <c r="A53" s="8">
        <v>3</v>
      </c>
      <c r="B53" s="8">
        <v>1</v>
      </c>
      <c r="C53" s="8">
        <v>0</v>
      </c>
      <c r="D53" s="3">
        <v>535220066</v>
      </c>
      <c r="E53" s="3" t="s">
        <v>142</v>
      </c>
      <c r="F53" t="s">
        <v>167</v>
      </c>
      <c r="G53" s="25">
        <f t="shared" si="0"/>
        <v>0</v>
      </c>
      <c r="H53" s="24"/>
      <c r="K53" s="5">
        <v>3</v>
      </c>
      <c r="L53" s="5">
        <v>0</v>
      </c>
      <c r="M53" s="5">
        <v>1</v>
      </c>
      <c r="N53" s="5" t="s">
        <v>939</v>
      </c>
      <c r="O53" s="5" t="s">
        <v>228</v>
      </c>
      <c r="P53" s="5" t="s">
        <v>143</v>
      </c>
      <c r="Q53" s="5" t="s">
        <v>154</v>
      </c>
      <c r="S53">
        <v>3</v>
      </c>
      <c r="T53">
        <v>0</v>
      </c>
      <c r="U53">
        <v>1</v>
      </c>
      <c r="V53" t="str">
        <v>VALENTINO MICHAEL</v>
      </c>
      <c r="W53" t="str">
        <v>535200033</v>
      </c>
      <c r="X53" t="str">
        <v>Stupen</v>
      </c>
    </row>
    <row r="54" spans="1:24" ht="42.95" customHeight="1" x14ac:dyDescent="0.2">
      <c r="A54" s="8">
        <v>3</v>
      </c>
      <c r="B54" s="8">
        <v>1</v>
      </c>
      <c r="C54" s="8">
        <v>0</v>
      </c>
      <c r="D54" s="3">
        <v>535220067</v>
      </c>
      <c r="E54" s="3" t="s">
        <v>142</v>
      </c>
      <c r="F54" t="s">
        <v>167</v>
      </c>
      <c r="G54" s="25">
        <f t="shared" si="0"/>
        <v>0</v>
      </c>
      <c r="H54" s="24"/>
      <c r="K54" s="5">
        <v>3</v>
      </c>
      <c r="L54" s="5">
        <v>0</v>
      </c>
      <c r="M54" s="5">
        <v>1</v>
      </c>
      <c r="N54" s="5" t="s">
        <v>940</v>
      </c>
      <c r="O54" s="5" t="s">
        <v>229</v>
      </c>
      <c r="P54" s="5" t="s">
        <v>142</v>
      </c>
      <c r="Q54" s="5" t="s">
        <v>155</v>
      </c>
      <c r="S54">
        <v>3</v>
      </c>
      <c r="T54">
        <v>0</v>
      </c>
      <c r="U54">
        <v>1</v>
      </c>
      <c r="V54" t="str">
        <v>HANA FATHIYAH SALSABILA</v>
      </c>
      <c r="W54" t="str">
        <v>825220165</v>
      </c>
      <c r="X54" t="str">
        <v>Magang</v>
      </c>
    </row>
    <row r="55" spans="1:24" ht="44.1" customHeight="1" x14ac:dyDescent="0.2">
      <c r="A55" s="8">
        <v>3</v>
      </c>
      <c r="B55" s="8">
        <v>1</v>
      </c>
      <c r="C55" s="8">
        <v>0</v>
      </c>
      <c r="D55" s="3">
        <v>535220134</v>
      </c>
      <c r="E55" s="3" t="s">
        <v>142</v>
      </c>
      <c r="F55" t="s">
        <v>167</v>
      </c>
      <c r="G55" s="25">
        <f t="shared" si="0"/>
        <v>0</v>
      </c>
      <c r="H55" s="24"/>
      <c r="K55" s="5">
        <v>3</v>
      </c>
      <c r="L55" s="5">
        <v>0</v>
      </c>
      <c r="M55" s="5">
        <v>1</v>
      </c>
      <c r="N55" s="5" t="s">
        <v>941</v>
      </c>
      <c r="O55" s="5" t="s">
        <v>230</v>
      </c>
      <c r="P55" s="5" t="s">
        <v>142</v>
      </c>
      <c r="Q55" s="5" t="s">
        <v>157</v>
      </c>
      <c r="S55">
        <v>3</v>
      </c>
      <c r="T55">
        <v>0</v>
      </c>
      <c r="U55">
        <v>1</v>
      </c>
      <c r="V55" t="str">
        <v>JAFIER ANDREAS</v>
      </c>
      <c r="W55" t="str">
        <v>535220013</v>
      </c>
      <c r="X55" t="str">
        <v>Magang</v>
      </c>
    </row>
    <row r="56" spans="1:24" ht="42.6" customHeight="1" x14ac:dyDescent="0.2">
      <c r="A56" s="8">
        <v>3</v>
      </c>
      <c r="B56" s="8">
        <v>1</v>
      </c>
      <c r="C56" s="8">
        <v>0</v>
      </c>
      <c r="D56" s="3">
        <v>535220135</v>
      </c>
      <c r="E56" s="3" t="s">
        <v>142</v>
      </c>
      <c r="F56" t="s">
        <v>167</v>
      </c>
      <c r="G56" s="25">
        <f t="shared" si="0"/>
        <v>0</v>
      </c>
      <c r="H56" s="24"/>
      <c r="K56" s="5">
        <v>3</v>
      </c>
      <c r="L56" s="5">
        <v>0</v>
      </c>
      <c r="M56" s="5">
        <v>1</v>
      </c>
      <c r="N56" s="5" t="s">
        <v>942</v>
      </c>
      <c r="O56" s="5" t="s">
        <v>231</v>
      </c>
      <c r="P56" s="5" t="s">
        <v>142</v>
      </c>
      <c r="Q56" s="5" t="s">
        <v>157</v>
      </c>
      <c r="S56">
        <v>3</v>
      </c>
      <c r="T56">
        <v>0</v>
      </c>
      <c r="U56">
        <v>1</v>
      </c>
      <c r="V56" t="str">
        <v>RUBEN SETIAJI</v>
      </c>
      <c r="W56" t="str">
        <v>535220033</v>
      </c>
      <c r="X56" t="str">
        <v>Magang</v>
      </c>
    </row>
    <row r="57" spans="1:24" ht="44.1" customHeight="1" x14ac:dyDescent="0.2">
      <c r="A57" s="8">
        <v>4</v>
      </c>
      <c r="B57" s="8">
        <v>1</v>
      </c>
      <c r="C57" s="8">
        <v>0</v>
      </c>
      <c r="D57" s="3">
        <v>535220115</v>
      </c>
      <c r="E57" s="3" t="s">
        <v>143</v>
      </c>
      <c r="F57" t="s">
        <v>159</v>
      </c>
      <c r="G57" s="25">
        <f t="shared" si="0"/>
        <v>0</v>
      </c>
      <c r="H57" s="24"/>
      <c r="K57" s="5">
        <v>3</v>
      </c>
      <c r="L57" s="5">
        <v>0</v>
      </c>
      <c r="M57" s="5">
        <v>2</v>
      </c>
      <c r="N57" s="5" t="s">
        <v>943</v>
      </c>
      <c r="O57" s="5" t="s">
        <v>232</v>
      </c>
      <c r="P57" s="5" t="s">
        <v>142</v>
      </c>
      <c r="Q57" s="5" t="s">
        <v>158</v>
      </c>
      <c r="S57">
        <v>4</v>
      </c>
      <c r="T57">
        <v>0</v>
      </c>
      <c r="U57">
        <v>1</v>
      </c>
      <c r="V57" t="str">
        <v>WINNI SETIAWATI</v>
      </c>
      <c r="W57" t="str">
        <v>825220002</v>
      </c>
      <c r="X57" t="str">
        <v>Magang</v>
      </c>
    </row>
    <row r="58" spans="1:24" ht="44.1" customHeight="1" x14ac:dyDescent="0.2">
      <c r="A58" s="8">
        <v>4</v>
      </c>
      <c r="B58" s="8">
        <v>1</v>
      </c>
      <c r="C58" s="8">
        <v>0</v>
      </c>
      <c r="D58" s="3">
        <v>535220116</v>
      </c>
      <c r="E58" s="3" t="s">
        <v>143</v>
      </c>
      <c r="F58" t="s">
        <v>159</v>
      </c>
      <c r="G58" s="25">
        <f t="shared" si="0"/>
        <v>0</v>
      </c>
      <c r="H58" s="24"/>
      <c r="K58" s="5">
        <v>3</v>
      </c>
      <c r="L58" s="5">
        <v>0</v>
      </c>
      <c r="M58" s="5">
        <v>2</v>
      </c>
      <c r="N58" s="5" t="s">
        <v>944</v>
      </c>
      <c r="O58" s="5" t="s">
        <v>233</v>
      </c>
      <c r="P58" s="5" t="s">
        <v>142</v>
      </c>
      <c r="Q58" s="5" t="s">
        <v>158</v>
      </c>
      <c r="S58">
        <v>4</v>
      </c>
      <c r="T58">
        <v>0</v>
      </c>
      <c r="U58">
        <v>1</v>
      </c>
      <c r="V58" t="str">
        <v>FEDRIK PANGESTU</v>
      </c>
      <c r="W58" t="str">
        <v>825220009</v>
      </c>
      <c r="X58" t="str">
        <v>Magang</v>
      </c>
    </row>
    <row r="59" spans="1:24" ht="42.95" customHeight="1" x14ac:dyDescent="0.2">
      <c r="A59" s="8">
        <v>4</v>
      </c>
      <c r="B59" s="8">
        <v>1</v>
      </c>
      <c r="C59" s="8">
        <v>0</v>
      </c>
      <c r="D59" s="3">
        <v>535220118</v>
      </c>
      <c r="E59" s="3" t="s">
        <v>143</v>
      </c>
      <c r="F59" t="s">
        <v>159</v>
      </c>
      <c r="G59" s="25">
        <f t="shared" si="0"/>
        <v>0</v>
      </c>
      <c r="H59" s="24"/>
      <c r="K59" s="5">
        <v>3</v>
      </c>
      <c r="L59" s="5">
        <v>0</v>
      </c>
      <c r="M59" s="5">
        <v>2</v>
      </c>
      <c r="N59" s="5" t="s">
        <v>945</v>
      </c>
      <c r="O59" s="5" t="s">
        <v>234</v>
      </c>
      <c r="P59" s="5" t="s">
        <v>142</v>
      </c>
      <c r="Q59" s="5" t="s">
        <v>158</v>
      </c>
      <c r="S59">
        <v>4</v>
      </c>
      <c r="T59">
        <v>0</v>
      </c>
      <c r="U59">
        <v>1</v>
      </c>
      <c r="V59" t="str">
        <v>RACHELLE MARVELLA NARTO ATMODJO</v>
      </c>
      <c r="W59" t="str">
        <v>825220024</v>
      </c>
      <c r="X59" t="str">
        <v>Magang</v>
      </c>
    </row>
    <row r="60" spans="1:24" ht="42.75" customHeight="1" x14ac:dyDescent="0.2">
      <c r="A60" s="8">
        <v>4</v>
      </c>
      <c r="B60" s="8">
        <v>1</v>
      </c>
      <c r="C60" s="8">
        <v>0</v>
      </c>
      <c r="D60" s="11">
        <v>535220124</v>
      </c>
      <c r="E60" s="3" t="s">
        <v>143</v>
      </c>
      <c r="F60" t="s">
        <v>159</v>
      </c>
      <c r="G60" s="25">
        <f t="shared" si="0"/>
        <v>0</v>
      </c>
      <c r="H60" s="24"/>
      <c r="K60" s="5">
        <v>3</v>
      </c>
      <c r="L60" s="5">
        <v>0</v>
      </c>
      <c r="M60" s="5">
        <v>2</v>
      </c>
      <c r="N60" s="5" t="s">
        <v>946</v>
      </c>
      <c r="O60" s="5" t="s">
        <v>235</v>
      </c>
      <c r="P60" s="5" t="s">
        <v>142</v>
      </c>
      <c r="Q60" s="5" t="s">
        <v>158</v>
      </c>
      <c r="S60">
        <v>4</v>
      </c>
      <c r="T60">
        <v>0</v>
      </c>
      <c r="U60">
        <v>1</v>
      </c>
      <c r="V60" t="str">
        <v>JENNIFER</v>
      </c>
      <c r="W60" t="str">
        <v>825220040</v>
      </c>
      <c r="X60" t="str">
        <v>Magang</v>
      </c>
    </row>
    <row r="61" spans="1:24" ht="43.5" customHeight="1" x14ac:dyDescent="0.2">
      <c r="A61" s="8">
        <v>4</v>
      </c>
      <c r="B61" s="8">
        <v>1</v>
      </c>
      <c r="C61" s="8">
        <v>0</v>
      </c>
      <c r="D61" s="3">
        <v>535220125</v>
      </c>
      <c r="E61" s="3" t="s">
        <v>143</v>
      </c>
      <c r="F61" t="s">
        <v>159</v>
      </c>
      <c r="G61" s="25">
        <f t="shared" si="0"/>
        <v>0</v>
      </c>
      <c r="H61" s="24"/>
      <c r="K61" s="5">
        <v>3</v>
      </c>
      <c r="L61" s="5">
        <v>0</v>
      </c>
      <c r="M61" s="5">
        <v>2</v>
      </c>
      <c r="N61" s="5" t="s">
        <v>947</v>
      </c>
      <c r="O61" s="5" t="s">
        <v>236</v>
      </c>
      <c r="P61" s="5" t="s">
        <v>142</v>
      </c>
      <c r="Q61" s="5" t="s">
        <v>158</v>
      </c>
      <c r="S61">
        <v>4</v>
      </c>
      <c r="T61">
        <v>0</v>
      </c>
      <c r="U61">
        <v>1</v>
      </c>
      <c r="V61" t="str">
        <v>JOSELIN SANDRA WIJAYA</v>
      </c>
      <c r="W61" t="str">
        <v>825220045</v>
      </c>
      <c r="X61" t="str">
        <v>Magang</v>
      </c>
    </row>
    <row r="62" spans="1:24" ht="42.95" customHeight="1" x14ac:dyDescent="0.2">
      <c r="A62" s="8">
        <v>5</v>
      </c>
      <c r="B62" s="8">
        <v>1</v>
      </c>
      <c r="C62" s="8">
        <v>0</v>
      </c>
      <c r="D62" s="3">
        <v>535220244</v>
      </c>
      <c r="E62" s="3" t="s">
        <v>143</v>
      </c>
      <c r="F62" t="s">
        <v>159</v>
      </c>
      <c r="G62" s="25">
        <f t="shared" si="0"/>
        <v>0</v>
      </c>
      <c r="H62" s="24"/>
      <c r="K62" s="5">
        <v>4</v>
      </c>
      <c r="L62" s="5">
        <v>0</v>
      </c>
      <c r="M62" s="5">
        <v>0</v>
      </c>
      <c r="N62" s="5" t="s">
        <v>948</v>
      </c>
      <c r="O62" s="5" t="s">
        <v>237</v>
      </c>
      <c r="P62" s="5" t="s">
        <v>143</v>
      </c>
      <c r="Q62" s="5" t="s">
        <v>159</v>
      </c>
      <c r="S62">
        <v>5</v>
      </c>
      <c r="T62">
        <v>0</v>
      </c>
      <c r="U62">
        <v>1</v>
      </c>
      <c r="V62" t="str">
        <v>CLAUDYA CHRISTINE</v>
      </c>
      <c r="W62" t="str">
        <v>825220049</v>
      </c>
      <c r="X62" t="str">
        <v>Magang</v>
      </c>
    </row>
    <row r="63" spans="1:24" ht="44.1" customHeight="1" x14ac:dyDescent="0.2">
      <c r="A63" s="8">
        <v>5</v>
      </c>
      <c r="B63" s="8">
        <v>1</v>
      </c>
      <c r="C63" s="8">
        <v>0</v>
      </c>
      <c r="D63" s="3">
        <v>535220267</v>
      </c>
      <c r="E63" s="3" t="s">
        <v>143</v>
      </c>
      <c r="F63" t="s">
        <v>159</v>
      </c>
      <c r="G63" s="25">
        <f t="shared" si="0"/>
        <v>0</v>
      </c>
      <c r="H63" s="24"/>
      <c r="K63" s="5">
        <v>4</v>
      </c>
      <c r="L63" s="5">
        <v>0</v>
      </c>
      <c r="M63" s="5">
        <v>0</v>
      </c>
      <c r="N63" s="5" t="s">
        <v>949</v>
      </c>
      <c r="O63" s="5" t="s">
        <v>238</v>
      </c>
      <c r="P63" s="5" t="s">
        <v>143</v>
      </c>
      <c r="Q63" s="5" t="s">
        <v>159</v>
      </c>
      <c r="S63">
        <v>5</v>
      </c>
      <c r="T63">
        <v>0</v>
      </c>
      <c r="U63">
        <v>1</v>
      </c>
      <c r="V63" t="str">
        <v>LAUREN KEZIA VANESSA</v>
      </c>
      <c r="W63" t="str">
        <v>825220055</v>
      </c>
      <c r="X63" t="str">
        <v>Magang</v>
      </c>
    </row>
    <row r="64" spans="1:24" ht="42.95" customHeight="1" x14ac:dyDescent="0.2">
      <c r="A64" s="8">
        <v>5</v>
      </c>
      <c r="B64" s="8">
        <v>1</v>
      </c>
      <c r="C64" s="8">
        <v>0</v>
      </c>
      <c r="D64" s="3">
        <v>825220145</v>
      </c>
      <c r="E64" s="3" t="s">
        <v>143</v>
      </c>
      <c r="F64" t="s">
        <v>161</v>
      </c>
      <c r="G64" s="25">
        <f t="shared" si="0"/>
        <v>0</v>
      </c>
      <c r="H64" s="24"/>
      <c r="K64" s="5">
        <v>4</v>
      </c>
      <c r="L64" s="5">
        <v>0</v>
      </c>
      <c r="M64" s="5">
        <v>0</v>
      </c>
      <c r="N64" s="5" t="s">
        <v>950</v>
      </c>
      <c r="O64" s="5" t="s">
        <v>239</v>
      </c>
      <c r="P64" s="5" t="s">
        <v>143</v>
      </c>
      <c r="Q64" s="5" t="s">
        <v>159</v>
      </c>
      <c r="S64">
        <v>5</v>
      </c>
      <c r="T64">
        <v>0</v>
      </c>
      <c r="U64">
        <v>1</v>
      </c>
      <c r="V64" t="str">
        <v>MELINDA GLORIA</v>
      </c>
      <c r="W64" t="str">
        <v>825220089</v>
      </c>
      <c r="X64" t="str">
        <v>Magang</v>
      </c>
    </row>
    <row r="65" spans="1:24" ht="44.1" customHeight="1" x14ac:dyDescent="0.2">
      <c r="A65" s="8">
        <v>5</v>
      </c>
      <c r="B65" s="8">
        <v>1</v>
      </c>
      <c r="C65" s="8">
        <v>0</v>
      </c>
      <c r="D65" s="3">
        <v>825220148</v>
      </c>
      <c r="E65" s="3" t="s">
        <v>143</v>
      </c>
      <c r="F65" t="s">
        <v>161</v>
      </c>
      <c r="G65" s="25">
        <f t="shared" si="0"/>
        <v>0</v>
      </c>
      <c r="H65" s="24"/>
      <c r="K65" s="5">
        <v>4</v>
      </c>
      <c r="L65" s="5">
        <v>0</v>
      </c>
      <c r="M65" s="5">
        <v>0</v>
      </c>
      <c r="N65" s="5" t="s">
        <v>951</v>
      </c>
      <c r="O65" s="5" t="s">
        <v>240</v>
      </c>
      <c r="P65" s="5" t="s">
        <v>143</v>
      </c>
      <c r="Q65" s="5" t="s">
        <v>159</v>
      </c>
      <c r="S65">
        <v>5</v>
      </c>
      <c r="T65">
        <v>0</v>
      </c>
      <c r="U65">
        <v>1</v>
      </c>
      <c r="V65" t="str">
        <v>DHIRA FRANCESCO</v>
      </c>
      <c r="W65" t="str">
        <v>825220132</v>
      </c>
      <c r="X65" t="str">
        <v>Magang</v>
      </c>
    </row>
    <row r="66" spans="1:24" ht="42.6" customHeight="1" x14ac:dyDescent="0.2">
      <c r="A66" s="8">
        <v>5</v>
      </c>
      <c r="B66" s="8">
        <v>1</v>
      </c>
      <c r="C66" s="8">
        <v>0</v>
      </c>
      <c r="D66" s="3">
        <v>825220150</v>
      </c>
      <c r="E66" s="3" t="s">
        <v>143</v>
      </c>
      <c r="F66" t="s">
        <v>161</v>
      </c>
      <c r="G66" s="25">
        <f t="shared" ref="G66:G129" si="1">IF(F66=M66,1,0)</f>
        <v>0</v>
      </c>
      <c r="H66" s="24"/>
      <c r="K66" s="5">
        <v>4</v>
      </c>
      <c r="L66" s="5">
        <v>0</v>
      </c>
      <c r="M66" s="5">
        <v>0</v>
      </c>
      <c r="N66" s="5" t="s">
        <v>952</v>
      </c>
      <c r="O66" s="5" t="s">
        <v>241</v>
      </c>
      <c r="P66" s="5" t="s">
        <v>143</v>
      </c>
      <c r="Q66" s="5" t="s">
        <v>159</v>
      </c>
      <c r="S66">
        <v>5</v>
      </c>
      <c r="T66">
        <v>0</v>
      </c>
      <c r="U66">
        <v>1</v>
      </c>
      <c r="V66" t="str">
        <v>SULTAN SAID ABDUL RAHIM</v>
      </c>
      <c r="W66" t="str">
        <v>825220151</v>
      </c>
      <c r="X66" t="str">
        <v>Magang</v>
      </c>
    </row>
    <row r="67" spans="1:24" ht="44.1" customHeight="1" x14ac:dyDescent="0.2">
      <c r="A67" s="8">
        <v>6</v>
      </c>
      <c r="B67" s="8">
        <v>1</v>
      </c>
      <c r="C67" s="8">
        <v>0</v>
      </c>
      <c r="D67" s="3">
        <v>825220181</v>
      </c>
      <c r="E67" s="3" t="s">
        <v>143</v>
      </c>
      <c r="F67" t="s">
        <v>161</v>
      </c>
      <c r="G67" s="25">
        <f t="shared" si="1"/>
        <v>0</v>
      </c>
      <c r="H67" s="24"/>
      <c r="K67" s="5">
        <v>4</v>
      </c>
      <c r="L67" s="5">
        <v>0</v>
      </c>
      <c r="M67" s="5">
        <v>1</v>
      </c>
      <c r="N67" s="5" t="s">
        <v>953</v>
      </c>
      <c r="O67" s="5" t="s">
        <v>242</v>
      </c>
      <c r="P67" s="5" t="s">
        <v>142</v>
      </c>
      <c r="Q67" s="5" t="s">
        <v>160</v>
      </c>
      <c r="S67">
        <v>6</v>
      </c>
      <c r="T67">
        <v>0</v>
      </c>
      <c r="U67">
        <v>1</v>
      </c>
      <c r="V67" t="str">
        <v>GLADYS ANAWAI OHYVER</v>
      </c>
      <c r="W67" t="str">
        <v>825220154</v>
      </c>
      <c r="X67" t="str">
        <v>Magang</v>
      </c>
    </row>
    <row r="68" spans="1:24" ht="44.1" customHeight="1" x14ac:dyDescent="0.2">
      <c r="A68" s="8">
        <v>6</v>
      </c>
      <c r="B68" s="8">
        <v>1</v>
      </c>
      <c r="C68" s="8">
        <v>0</v>
      </c>
      <c r="D68" s="3">
        <v>825239201</v>
      </c>
      <c r="E68" s="3" t="s">
        <v>143</v>
      </c>
      <c r="F68" t="s">
        <v>161</v>
      </c>
      <c r="G68" s="25">
        <f t="shared" si="1"/>
        <v>0</v>
      </c>
      <c r="H68" s="24"/>
      <c r="K68" s="5">
        <v>4</v>
      </c>
      <c r="L68" s="5">
        <v>0</v>
      </c>
      <c r="M68" s="5">
        <v>1</v>
      </c>
      <c r="N68" s="5" t="s">
        <v>954</v>
      </c>
      <c r="O68" s="5" t="s">
        <v>243</v>
      </c>
      <c r="P68" s="5" t="s">
        <v>142</v>
      </c>
      <c r="Q68" s="5" t="s">
        <v>160</v>
      </c>
      <c r="S68">
        <v>6</v>
      </c>
      <c r="T68">
        <v>0</v>
      </c>
      <c r="U68">
        <v>1</v>
      </c>
      <c r="V68" t="str">
        <v xml:space="preserve">KHALLIFAH MUBARAK ARMANDO </v>
      </c>
      <c r="W68" t="str">
        <v>825220006</v>
      </c>
      <c r="X68" t="str">
        <v>Stupen</v>
      </c>
    </row>
    <row r="69" spans="1:24" ht="42.95" customHeight="1" x14ac:dyDescent="0.2">
      <c r="A69" s="8">
        <v>6</v>
      </c>
      <c r="B69" s="8">
        <v>1</v>
      </c>
      <c r="C69" s="8">
        <v>0</v>
      </c>
      <c r="D69" s="3">
        <v>535220037</v>
      </c>
      <c r="E69" s="3" t="s">
        <v>142</v>
      </c>
      <c r="F69" t="s">
        <v>167</v>
      </c>
      <c r="G69" s="25">
        <f t="shared" si="1"/>
        <v>0</v>
      </c>
      <c r="H69" s="24"/>
      <c r="K69" s="5">
        <v>4</v>
      </c>
      <c r="L69" s="5">
        <v>0</v>
      </c>
      <c r="M69" s="5">
        <v>1</v>
      </c>
      <c r="N69" s="5" t="s">
        <v>955</v>
      </c>
      <c r="O69" s="5" t="s">
        <v>244</v>
      </c>
      <c r="P69" s="5" t="s">
        <v>142</v>
      </c>
      <c r="Q69" s="5" t="s">
        <v>160</v>
      </c>
      <c r="S69">
        <v>6</v>
      </c>
      <c r="T69">
        <v>0</v>
      </c>
      <c r="U69">
        <v>1</v>
      </c>
      <c r="V69" t="str">
        <v>ESTERIA TIFFANY ERFROVINA TAMBUNAN</v>
      </c>
      <c r="W69" t="str">
        <v>825220011</v>
      </c>
      <c r="X69" t="str">
        <v>Stupen</v>
      </c>
    </row>
    <row r="70" spans="1:24" ht="43.7" customHeight="1" x14ac:dyDescent="0.2">
      <c r="A70" s="8">
        <v>6</v>
      </c>
      <c r="B70" s="8">
        <v>1</v>
      </c>
      <c r="C70" s="8">
        <v>0</v>
      </c>
      <c r="D70" s="3">
        <v>535220040</v>
      </c>
      <c r="E70" s="3" t="s">
        <v>142</v>
      </c>
      <c r="F70" t="s">
        <v>167</v>
      </c>
      <c r="G70" s="25">
        <f t="shared" si="1"/>
        <v>0</v>
      </c>
      <c r="H70" s="24"/>
      <c r="K70" s="5">
        <v>4</v>
      </c>
      <c r="L70" s="5">
        <v>0</v>
      </c>
      <c r="M70" s="5">
        <v>1</v>
      </c>
      <c r="N70" s="5" t="s">
        <v>956</v>
      </c>
      <c r="O70" s="5" t="s">
        <v>245</v>
      </c>
      <c r="P70" s="5" t="s">
        <v>142</v>
      </c>
      <c r="Q70" s="5" t="s">
        <v>160</v>
      </c>
      <c r="S70">
        <v>6</v>
      </c>
      <c r="T70">
        <v>0</v>
      </c>
      <c r="U70">
        <v>1</v>
      </c>
      <c r="V70" t="str">
        <v>FASIA META SEFIRA</v>
      </c>
      <c r="W70" t="str">
        <v>825220162</v>
      </c>
      <c r="X70" t="str">
        <v>Penelitian</v>
      </c>
    </row>
    <row r="71" spans="1:24" ht="43.7" customHeight="1" x14ac:dyDescent="0.2">
      <c r="A71" s="8">
        <v>6</v>
      </c>
      <c r="B71" s="8">
        <v>1</v>
      </c>
      <c r="C71" s="8">
        <v>0</v>
      </c>
      <c r="D71" s="3">
        <v>535220064</v>
      </c>
      <c r="E71" s="3" t="s">
        <v>142</v>
      </c>
      <c r="F71" t="s">
        <v>167</v>
      </c>
      <c r="G71" s="25">
        <f t="shared" si="1"/>
        <v>0</v>
      </c>
      <c r="H71" s="24"/>
      <c r="K71" s="5">
        <v>4</v>
      </c>
      <c r="L71" s="5">
        <v>0</v>
      </c>
      <c r="M71" s="5">
        <v>1</v>
      </c>
      <c r="N71" s="5" t="s">
        <v>957</v>
      </c>
      <c r="O71" s="5" t="s">
        <v>246</v>
      </c>
      <c r="P71" s="5" t="s">
        <v>142</v>
      </c>
      <c r="Q71" s="5" t="s">
        <v>160</v>
      </c>
      <c r="S71">
        <v>6</v>
      </c>
      <c r="T71">
        <v>0</v>
      </c>
      <c r="U71">
        <v>1</v>
      </c>
      <c r="V71" t="str">
        <v>TIARA ZAHRO</v>
      </c>
      <c r="W71" t="str">
        <v>825220183</v>
      </c>
      <c r="X71" t="str">
        <v>Penelitian</v>
      </c>
    </row>
    <row r="72" spans="1:24" ht="42.95" customHeight="1" x14ac:dyDescent="0.2">
      <c r="A72" s="8">
        <v>0</v>
      </c>
      <c r="B72" s="8">
        <v>1</v>
      </c>
      <c r="C72" s="8">
        <v>1</v>
      </c>
      <c r="D72" s="3">
        <v>535220096</v>
      </c>
      <c r="E72" s="3" t="s">
        <v>142</v>
      </c>
      <c r="F72" t="s">
        <v>168</v>
      </c>
      <c r="G72" s="25">
        <f t="shared" si="1"/>
        <v>0</v>
      </c>
      <c r="H72" s="24"/>
      <c r="K72" s="5">
        <v>4</v>
      </c>
      <c r="L72" s="5">
        <v>0</v>
      </c>
      <c r="M72" s="5">
        <v>2</v>
      </c>
      <c r="N72" s="5" t="s">
        <v>958</v>
      </c>
      <c r="O72" s="5" t="s">
        <v>247</v>
      </c>
      <c r="P72" s="5" t="s">
        <v>142</v>
      </c>
      <c r="Q72" s="5" t="s">
        <v>161</v>
      </c>
      <c r="S72">
        <v>0</v>
      </c>
      <c r="T72">
        <v>0</v>
      </c>
      <c r="U72">
        <v>2</v>
      </c>
      <c r="V72" t="str">
        <v>ARYO PRAYOGI</v>
      </c>
      <c r="W72" t="str">
        <v>825220012</v>
      </c>
      <c r="X72" t="str">
        <v>Magang</v>
      </c>
    </row>
    <row r="73" spans="1:24" ht="44.1" customHeight="1" x14ac:dyDescent="0.2">
      <c r="A73" s="8">
        <v>0</v>
      </c>
      <c r="B73" s="8">
        <v>1</v>
      </c>
      <c r="C73" s="8">
        <v>1</v>
      </c>
      <c r="D73" s="3">
        <v>535220101</v>
      </c>
      <c r="E73" s="3" t="s">
        <v>142</v>
      </c>
      <c r="F73" t="s">
        <v>168</v>
      </c>
      <c r="G73" s="25">
        <f t="shared" si="1"/>
        <v>0</v>
      </c>
      <c r="H73" s="24"/>
      <c r="K73" s="5">
        <v>4</v>
      </c>
      <c r="L73" s="5">
        <v>0</v>
      </c>
      <c r="M73" s="5">
        <v>2</v>
      </c>
      <c r="N73" s="5" t="s">
        <v>959</v>
      </c>
      <c r="O73" s="5" t="s">
        <v>248</v>
      </c>
      <c r="P73" s="5" t="s">
        <v>142</v>
      </c>
      <c r="Q73" s="5" t="s">
        <v>161</v>
      </c>
      <c r="S73">
        <v>0</v>
      </c>
      <c r="T73">
        <v>0</v>
      </c>
      <c r="U73">
        <v>2</v>
      </c>
      <c r="V73" t="str">
        <v>VINCEN LEONARDY</v>
      </c>
      <c r="W73" t="str">
        <v>825220016</v>
      </c>
      <c r="X73" t="str">
        <v>Magang</v>
      </c>
    </row>
    <row r="74" spans="1:24" ht="42.95" customHeight="1" x14ac:dyDescent="0.2">
      <c r="A74" s="8">
        <v>0</v>
      </c>
      <c r="B74" s="8">
        <v>1</v>
      </c>
      <c r="C74" s="8">
        <v>1</v>
      </c>
      <c r="D74" s="3">
        <v>535220103</v>
      </c>
      <c r="E74" s="3" t="s">
        <v>142</v>
      </c>
      <c r="F74" t="s">
        <v>168</v>
      </c>
      <c r="G74" s="25">
        <f t="shared" si="1"/>
        <v>0</v>
      </c>
      <c r="H74" s="24"/>
      <c r="K74" s="5">
        <v>4</v>
      </c>
      <c r="L74" s="5">
        <v>0</v>
      </c>
      <c r="M74" s="5">
        <v>2</v>
      </c>
      <c r="N74" s="5" t="s">
        <v>960</v>
      </c>
      <c r="O74" s="5" t="s">
        <v>249</v>
      </c>
      <c r="P74" s="5" t="s">
        <v>142</v>
      </c>
      <c r="Q74" s="5" t="s">
        <v>161</v>
      </c>
      <c r="S74">
        <v>0</v>
      </c>
      <c r="T74">
        <v>0</v>
      </c>
      <c r="U74">
        <v>2</v>
      </c>
      <c r="V74" t="str">
        <v>PHILLIP MARCHEGIANY</v>
      </c>
      <c r="W74" t="str">
        <v>825220020</v>
      </c>
      <c r="X74" t="str">
        <v>Magang</v>
      </c>
    </row>
    <row r="75" spans="1:24" ht="44.1" customHeight="1" x14ac:dyDescent="0.2">
      <c r="A75" s="8">
        <v>0</v>
      </c>
      <c r="B75" s="8">
        <v>1</v>
      </c>
      <c r="C75" s="8">
        <v>1</v>
      </c>
      <c r="D75" s="3">
        <v>535220082</v>
      </c>
      <c r="E75" s="3" t="s">
        <v>142</v>
      </c>
      <c r="F75" t="s">
        <v>164</v>
      </c>
      <c r="G75" s="25">
        <f t="shared" si="1"/>
        <v>0</v>
      </c>
      <c r="H75" s="24"/>
      <c r="K75" s="5">
        <v>4</v>
      </c>
      <c r="L75" s="5">
        <v>0</v>
      </c>
      <c r="M75" s="5">
        <v>2</v>
      </c>
      <c r="N75" s="5" t="s">
        <v>961</v>
      </c>
      <c r="O75" s="5" t="s">
        <v>250</v>
      </c>
      <c r="P75" s="5" t="s">
        <v>142</v>
      </c>
      <c r="Q75" s="5" t="s">
        <v>161</v>
      </c>
      <c r="S75">
        <v>0</v>
      </c>
      <c r="T75">
        <v>0</v>
      </c>
      <c r="U75">
        <v>2</v>
      </c>
      <c r="V75" t="str">
        <v>NICOLAS</v>
      </c>
      <c r="W75" t="str">
        <v>825220023</v>
      </c>
      <c r="X75" t="str">
        <v>Magang</v>
      </c>
    </row>
    <row r="76" spans="1:24" ht="43.7" customHeight="1" x14ac:dyDescent="0.2">
      <c r="A76" s="8">
        <v>0</v>
      </c>
      <c r="B76" s="8">
        <v>1</v>
      </c>
      <c r="C76" s="8">
        <v>1</v>
      </c>
      <c r="D76" s="3">
        <v>535220133</v>
      </c>
      <c r="E76" s="3" t="s">
        <v>142</v>
      </c>
      <c r="F76" t="s">
        <v>164</v>
      </c>
      <c r="G76" s="25">
        <f t="shared" si="1"/>
        <v>0</v>
      </c>
      <c r="H76" s="24"/>
      <c r="K76" s="5">
        <v>4</v>
      </c>
      <c r="L76" s="5">
        <v>0</v>
      </c>
      <c r="M76" s="5">
        <v>2</v>
      </c>
      <c r="N76" s="5" t="s">
        <v>962</v>
      </c>
      <c r="O76" s="5" t="s">
        <v>251</v>
      </c>
      <c r="P76" s="5" t="s">
        <v>142</v>
      </c>
      <c r="Q76" s="5" t="s">
        <v>161</v>
      </c>
      <c r="S76">
        <v>0</v>
      </c>
      <c r="T76">
        <v>0</v>
      </c>
      <c r="U76">
        <v>2</v>
      </c>
      <c r="V76" t="str">
        <v>RAFAEL CHRISTOPER SUHANDI</v>
      </c>
      <c r="W76" t="str">
        <v>825220028</v>
      </c>
      <c r="X76" t="str">
        <v>Magang</v>
      </c>
    </row>
    <row r="77" spans="1:24" ht="43.5" customHeight="1" x14ac:dyDescent="0.2">
      <c r="A77" s="8">
        <v>1</v>
      </c>
      <c r="B77" s="8">
        <v>1</v>
      </c>
      <c r="C77" s="8">
        <v>1</v>
      </c>
      <c r="D77" s="3">
        <v>535220149</v>
      </c>
      <c r="E77" s="3" t="s">
        <v>142</v>
      </c>
      <c r="F77" t="s">
        <v>164</v>
      </c>
      <c r="G77" s="25">
        <f t="shared" si="1"/>
        <v>0</v>
      </c>
      <c r="H77" s="24"/>
      <c r="K77" s="5">
        <v>5</v>
      </c>
      <c r="L77" s="5">
        <v>0</v>
      </c>
      <c r="M77" s="5">
        <v>0</v>
      </c>
      <c r="N77" s="5" t="s">
        <v>963</v>
      </c>
      <c r="O77" s="5" t="s">
        <v>252</v>
      </c>
      <c r="P77" s="5" t="s">
        <v>143</v>
      </c>
      <c r="Q77" s="5" t="s">
        <v>159</v>
      </c>
      <c r="S77">
        <v>1</v>
      </c>
      <c r="T77">
        <v>0</v>
      </c>
      <c r="U77">
        <v>2</v>
      </c>
      <c r="V77" t="str">
        <v xml:space="preserve">MARCELL BUDIMAN </v>
      </c>
      <c r="W77" t="str">
        <v>825220041</v>
      </c>
      <c r="X77" t="str">
        <v>Magang</v>
      </c>
    </row>
    <row r="78" spans="1:24" ht="42.95" customHeight="1" x14ac:dyDescent="0.2">
      <c r="A78" s="8">
        <v>1</v>
      </c>
      <c r="B78" s="8">
        <v>1</v>
      </c>
      <c r="C78" s="8">
        <v>1</v>
      </c>
      <c r="D78" s="3">
        <v>535220058</v>
      </c>
      <c r="E78" s="3" t="s">
        <v>142</v>
      </c>
      <c r="F78" t="s">
        <v>169</v>
      </c>
      <c r="G78" s="25">
        <f t="shared" si="1"/>
        <v>0</v>
      </c>
      <c r="H78" s="24"/>
      <c r="K78" s="5">
        <v>5</v>
      </c>
      <c r="L78" s="5">
        <v>0</v>
      </c>
      <c r="M78" s="5">
        <v>0</v>
      </c>
      <c r="N78" s="5" t="s">
        <v>964</v>
      </c>
      <c r="O78" s="5" t="s">
        <v>253</v>
      </c>
      <c r="P78" s="5" t="s">
        <v>143</v>
      </c>
      <c r="Q78" s="5" t="s">
        <v>159</v>
      </c>
      <c r="S78">
        <v>1</v>
      </c>
      <c r="T78">
        <v>0</v>
      </c>
      <c r="U78">
        <v>2</v>
      </c>
      <c r="V78" t="str">
        <v>GUSTIAN ROSADI</v>
      </c>
      <c r="W78" t="str">
        <v>825220065</v>
      </c>
      <c r="X78" t="str">
        <v>Magang</v>
      </c>
    </row>
    <row r="79" spans="1:24" ht="44.1" customHeight="1" x14ac:dyDescent="0.2">
      <c r="A79" s="8">
        <v>1</v>
      </c>
      <c r="B79" s="8">
        <v>1</v>
      </c>
      <c r="C79" s="8">
        <v>1</v>
      </c>
      <c r="D79" s="3">
        <v>535220059</v>
      </c>
      <c r="E79" s="3" t="s">
        <v>142</v>
      </c>
      <c r="F79" t="s">
        <v>169</v>
      </c>
      <c r="G79" s="25">
        <f t="shared" si="1"/>
        <v>0</v>
      </c>
      <c r="H79" s="24"/>
      <c r="K79" s="5">
        <v>5</v>
      </c>
      <c r="L79" s="5">
        <v>0</v>
      </c>
      <c r="M79" s="5">
        <v>0</v>
      </c>
      <c r="N79" s="5" t="s">
        <v>965</v>
      </c>
      <c r="O79" s="5" t="s">
        <v>254</v>
      </c>
      <c r="P79" s="5" t="s">
        <v>143</v>
      </c>
      <c r="Q79" s="5" t="s">
        <v>159</v>
      </c>
      <c r="S79">
        <v>1</v>
      </c>
      <c r="T79">
        <v>0</v>
      </c>
      <c r="U79">
        <v>2</v>
      </c>
      <c r="V79" t="str">
        <v>VEREN THIOVANDA</v>
      </c>
      <c r="W79" t="str">
        <v>825220067</v>
      </c>
      <c r="X79" t="str">
        <v>Magang</v>
      </c>
    </row>
    <row r="80" spans="1:24" ht="33.75" customHeight="1" x14ac:dyDescent="0.2">
      <c r="A80" s="8">
        <v>1</v>
      </c>
      <c r="B80" s="8">
        <v>1</v>
      </c>
      <c r="C80" s="8">
        <v>1</v>
      </c>
      <c r="D80" s="4">
        <v>535220069</v>
      </c>
      <c r="E80" s="3" t="s">
        <v>142</v>
      </c>
      <c r="F80" t="s">
        <v>169</v>
      </c>
      <c r="G80" s="25">
        <f t="shared" si="1"/>
        <v>0</v>
      </c>
      <c r="H80" s="24"/>
      <c r="K80" s="5">
        <v>5</v>
      </c>
      <c r="L80" s="5">
        <v>0</v>
      </c>
      <c r="M80" s="5">
        <v>0</v>
      </c>
      <c r="N80" s="5" t="s">
        <v>966</v>
      </c>
      <c r="O80" s="5" t="s">
        <v>255</v>
      </c>
      <c r="P80" s="5" t="s">
        <v>143</v>
      </c>
      <c r="Q80" s="5" t="s">
        <v>159</v>
      </c>
      <c r="S80">
        <v>1</v>
      </c>
      <c r="T80">
        <v>0</v>
      </c>
      <c r="U80">
        <v>2</v>
      </c>
      <c r="V80" t="str">
        <v>VALENTINO</v>
      </c>
      <c r="W80" t="str">
        <v>825220083</v>
      </c>
      <c r="X80" t="str">
        <v>Magang</v>
      </c>
    </row>
    <row r="81" spans="1:24" ht="43.5" customHeight="1" x14ac:dyDescent="0.2">
      <c r="A81" s="8">
        <v>1</v>
      </c>
      <c r="B81" s="8">
        <v>1</v>
      </c>
      <c r="C81" s="8">
        <v>1</v>
      </c>
      <c r="D81" s="3">
        <v>535220110</v>
      </c>
      <c r="E81" s="3" t="s">
        <v>142</v>
      </c>
      <c r="F81" t="s">
        <v>169</v>
      </c>
      <c r="G81" s="25">
        <f t="shared" si="1"/>
        <v>0</v>
      </c>
      <c r="H81" s="24"/>
      <c r="K81" s="5">
        <v>5</v>
      </c>
      <c r="L81" s="5">
        <v>0</v>
      </c>
      <c r="M81" s="5">
        <v>0</v>
      </c>
      <c r="N81" s="5" t="s">
        <v>967</v>
      </c>
      <c r="O81" s="5" t="s">
        <v>256</v>
      </c>
      <c r="P81" s="5" t="s">
        <v>143</v>
      </c>
      <c r="Q81" s="5" t="s">
        <v>159</v>
      </c>
      <c r="S81">
        <v>1</v>
      </c>
      <c r="T81">
        <v>0</v>
      </c>
      <c r="U81">
        <v>2</v>
      </c>
      <c r="V81" t="str">
        <v>VALENCIA</v>
      </c>
      <c r="W81" t="str">
        <v>825220108</v>
      </c>
      <c r="X81" t="str">
        <v>Magang</v>
      </c>
    </row>
    <row r="82" spans="1:24" ht="42.95" customHeight="1" x14ac:dyDescent="0.2">
      <c r="A82" s="8">
        <v>2</v>
      </c>
      <c r="B82" s="8">
        <v>1</v>
      </c>
      <c r="C82" s="8">
        <v>1</v>
      </c>
      <c r="D82" s="3">
        <v>535220117</v>
      </c>
      <c r="E82" s="3" t="s">
        <v>142</v>
      </c>
      <c r="F82" t="s">
        <v>169</v>
      </c>
      <c r="G82" s="25">
        <f t="shared" si="1"/>
        <v>0</v>
      </c>
      <c r="H82" s="24"/>
      <c r="K82" s="5">
        <v>5</v>
      </c>
      <c r="L82" s="5">
        <v>0</v>
      </c>
      <c r="M82" s="5">
        <v>1</v>
      </c>
      <c r="N82" s="5" t="s">
        <v>968</v>
      </c>
      <c r="O82" s="5" t="s">
        <v>257</v>
      </c>
      <c r="P82" s="5" t="s">
        <v>142</v>
      </c>
      <c r="Q82" s="5" t="s">
        <v>160</v>
      </c>
      <c r="S82">
        <v>2</v>
      </c>
      <c r="T82">
        <v>0</v>
      </c>
      <c r="U82">
        <v>2</v>
      </c>
      <c r="V82" t="str">
        <v>GRACE TRIFOSA SAGALA</v>
      </c>
      <c r="W82" t="str">
        <v>825220125</v>
      </c>
      <c r="X82" t="str">
        <v>Magang</v>
      </c>
    </row>
    <row r="83" spans="1:24" ht="44.1" customHeight="1" x14ac:dyDescent="0.2">
      <c r="A83" s="8">
        <v>2</v>
      </c>
      <c r="B83" s="8">
        <v>1</v>
      </c>
      <c r="C83" s="8">
        <v>1</v>
      </c>
      <c r="D83" s="3">
        <v>535220177</v>
      </c>
      <c r="E83" s="3" t="s">
        <v>142</v>
      </c>
      <c r="F83" t="s">
        <v>169</v>
      </c>
      <c r="G83" s="25">
        <f t="shared" si="1"/>
        <v>0</v>
      </c>
      <c r="H83" s="24"/>
      <c r="K83" s="5">
        <v>5</v>
      </c>
      <c r="L83" s="5">
        <v>0</v>
      </c>
      <c r="M83" s="5">
        <v>1</v>
      </c>
      <c r="N83" s="5" t="s">
        <v>969</v>
      </c>
      <c r="O83" s="5" t="s">
        <v>258</v>
      </c>
      <c r="P83" s="5" t="s">
        <v>142</v>
      </c>
      <c r="Q83" s="5" t="s">
        <v>160</v>
      </c>
      <c r="S83">
        <v>2</v>
      </c>
      <c r="T83">
        <v>0</v>
      </c>
      <c r="U83">
        <v>2</v>
      </c>
      <c r="V83" t="str">
        <v>PUTRI DEWI ZABITA</v>
      </c>
      <c r="W83" t="str">
        <v>825220135</v>
      </c>
      <c r="X83" t="str">
        <v>Magang</v>
      </c>
    </row>
    <row r="84" spans="1:24" ht="42.95" customHeight="1" x14ac:dyDescent="0.2">
      <c r="A84" s="8">
        <v>2</v>
      </c>
      <c r="B84" s="8">
        <v>1</v>
      </c>
      <c r="C84" s="8">
        <v>1</v>
      </c>
      <c r="D84" s="3">
        <v>535220180</v>
      </c>
      <c r="E84" s="3" t="s">
        <v>142</v>
      </c>
      <c r="F84" t="s">
        <v>169</v>
      </c>
      <c r="G84" s="25">
        <f t="shared" si="1"/>
        <v>0</v>
      </c>
      <c r="H84" s="24"/>
      <c r="K84" s="5">
        <v>5</v>
      </c>
      <c r="L84" s="5">
        <v>0</v>
      </c>
      <c r="M84" s="5">
        <v>1</v>
      </c>
      <c r="N84" s="5" t="s">
        <v>970</v>
      </c>
      <c r="O84" s="5" t="s">
        <v>259</v>
      </c>
      <c r="P84" s="5" t="s">
        <v>142</v>
      </c>
      <c r="Q84" s="5" t="s">
        <v>160</v>
      </c>
      <c r="S84">
        <v>2</v>
      </c>
      <c r="T84">
        <v>0</v>
      </c>
      <c r="U84">
        <v>2</v>
      </c>
      <c r="V84" t="str">
        <v>ANDREAN PUTRA OSMAN</v>
      </c>
      <c r="W84" t="str">
        <v>825220136</v>
      </c>
      <c r="X84" t="str">
        <v>Magang</v>
      </c>
    </row>
    <row r="85" spans="1:24" ht="44.1" customHeight="1" x14ac:dyDescent="0.2">
      <c r="A85" s="8">
        <v>2</v>
      </c>
      <c r="B85" s="8">
        <v>1</v>
      </c>
      <c r="C85" s="8">
        <v>1</v>
      </c>
      <c r="D85" s="3">
        <v>535220181</v>
      </c>
      <c r="E85" s="3" t="s">
        <v>142</v>
      </c>
      <c r="F85" t="s">
        <v>169</v>
      </c>
      <c r="G85" s="25">
        <f t="shared" si="1"/>
        <v>0</v>
      </c>
      <c r="H85" s="24"/>
      <c r="K85" s="5">
        <v>5</v>
      </c>
      <c r="L85" s="5">
        <v>0</v>
      </c>
      <c r="M85" s="5">
        <v>1</v>
      </c>
      <c r="N85" s="5" t="s">
        <v>971</v>
      </c>
      <c r="O85" s="5" t="s">
        <v>260</v>
      </c>
      <c r="P85" s="5" t="s">
        <v>142</v>
      </c>
      <c r="Q85" s="5" t="s">
        <v>160</v>
      </c>
      <c r="S85">
        <v>2</v>
      </c>
      <c r="T85">
        <v>0</v>
      </c>
      <c r="U85">
        <v>2</v>
      </c>
      <c r="V85" t="str">
        <v>BINTANG NOVIANSYAH SYAMSU</v>
      </c>
      <c r="W85" t="str">
        <v>825220138</v>
      </c>
      <c r="X85" t="str">
        <v>Magang</v>
      </c>
    </row>
    <row r="86" spans="1:24" ht="42.6" customHeight="1" x14ac:dyDescent="0.2">
      <c r="A86" s="8">
        <v>2</v>
      </c>
      <c r="B86" s="8">
        <v>1</v>
      </c>
      <c r="C86" s="8">
        <v>1</v>
      </c>
      <c r="D86" s="3">
        <v>535220263</v>
      </c>
      <c r="E86" s="3" t="s">
        <v>142</v>
      </c>
      <c r="F86" t="s">
        <v>169</v>
      </c>
      <c r="G86" s="25">
        <f t="shared" si="1"/>
        <v>0</v>
      </c>
      <c r="H86" s="24"/>
      <c r="K86" s="5">
        <v>5</v>
      </c>
      <c r="L86" s="5">
        <v>0</v>
      </c>
      <c r="M86" s="5">
        <v>1</v>
      </c>
      <c r="N86" s="5" t="s">
        <v>972</v>
      </c>
      <c r="O86" s="5" t="s">
        <v>261</v>
      </c>
      <c r="P86" s="5" t="s">
        <v>142</v>
      </c>
      <c r="Q86" s="5" t="s">
        <v>160</v>
      </c>
      <c r="S86">
        <v>2</v>
      </c>
      <c r="T86">
        <v>0</v>
      </c>
      <c r="U86">
        <v>2</v>
      </c>
      <c r="V86" t="str">
        <v>THIRZA JUAN HALIM</v>
      </c>
      <c r="W86" t="str">
        <v>825220139</v>
      </c>
      <c r="X86" t="str">
        <v>Magang</v>
      </c>
    </row>
    <row r="87" spans="1:24" ht="44.1" customHeight="1" x14ac:dyDescent="0.2">
      <c r="A87" s="8">
        <v>3</v>
      </c>
      <c r="B87" s="8">
        <v>1</v>
      </c>
      <c r="C87" s="8">
        <v>1</v>
      </c>
      <c r="D87" s="3">
        <v>535220093</v>
      </c>
      <c r="E87" s="3" t="s">
        <v>142</v>
      </c>
      <c r="F87" t="s">
        <v>157</v>
      </c>
      <c r="G87" s="25">
        <f t="shared" si="1"/>
        <v>0</v>
      </c>
      <c r="H87" s="24"/>
      <c r="K87" s="5">
        <v>5</v>
      </c>
      <c r="L87" s="5">
        <v>0</v>
      </c>
      <c r="M87" s="5">
        <v>2</v>
      </c>
      <c r="N87" s="5" t="s">
        <v>973</v>
      </c>
      <c r="O87" s="5" t="s">
        <v>262</v>
      </c>
      <c r="P87" s="5" t="s">
        <v>142</v>
      </c>
      <c r="Q87" s="5" t="s">
        <v>161</v>
      </c>
      <c r="S87">
        <v>3</v>
      </c>
      <c r="T87">
        <v>0</v>
      </c>
      <c r="U87">
        <v>2</v>
      </c>
      <c r="V87" t="str">
        <v>JASON SUTANTO</v>
      </c>
      <c r="W87" t="str">
        <v>535220052</v>
      </c>
      <c r="X87" t="str">
        <v>Magang</v>
      </c>
    </row>
    <row r="88" spans="1:24" ht="44.1" customHeight="1" x14ac:dyDescent="0.2">
      <c r="A88" s="8">
        <v>3</v>
      </c>
      <c r="B88" s="8">
        <v>1</v>
      </c>
      <c r="C88" s="8">
        <v>1</v>
      </c>
      <c r="D88" s="3">
        <v>535220095</v>
      </c>
      <c r="E88" s="3" t="s">
        <v>142</v>
      </c>
      <c r="F88" t="s">
        <v>157</v>
      </c>
      <c r="G88" s="25">
        <f t="shared" si="1"/>
        <v>0</v>
      </c>
      <c r="H88" s="24"/>
      <c r="K88" s="5">
        <v>5</v>
      </c>
      <c r="L88" s="5">
        <v>0</v>
      </c>
      <c r="M88" s="5">
        <v>2</v>
      </c>
      <c r="N88" s="5" t="s">
        <v>974</v>
      </c>
      <c r="O88" s="5" t="s">
        <v>263</v>
      </c>
      <c r="P88" s="5" t="s">
        <v>142</v>
      </c>
      <c r="Q88" s="5" t="s">
        <v>161</v>
      </c>
      <c r="S88">
        <v>3</v>
      </c>
      <c r="T88">
        <v>0</v>
      </c>
      <c r="U88">
        <v>2</v>
      </c>
      <c r="V88" t="str">
        <v>GREGORIO MELVIN KARNIKOV</v>
      </c>
      <c r="W88" t="str">
        <v>535220085</v>
      </c>
      <c r="X88" t="str">
        <v>Magang</v>
      </c>
    </row>
    <row r="89" spans="1:24" ht="42.95" customHeight="1" x14ac:dyDescent="0.2">
      <c r="A89" s="8">
        <v>3</v>
      </c>
      <c r="B89" s="8">
        <v>1</v>
      </c>
      <c r="C89" s="8">
        <v>1</v>
      </c>
      <c r="D89" s="3">
        <v>535220112</v>
      </c>
      <c r="E89" s="3" t="s">
        <v>142</v>
      </c>
      <c r="F89" t="s">
        <v>157</v>
      </c>
      <c r="G89" s="25">
        <f t="shared" si="1"/>
        <v>0</v>
      </c>
      <c r="H89" s="24"/>
      <c r="K89" s="5">
        <v>5</v>
      </c>
      <c r="L89" s="5">
        <v>0</v>
      </c>
      <c r="M89" s="5">
        <v>2</v>
      </c>
      <c r="N89" s="5" t="s">
        <v>975</v>
      </c>
      <c r="O89" s="5" t="s">
        <v>264</v>
      </c>
      <c r="P89" s="5" t="s">
        <v>142</v>
      </c>
      <c r="Q89" s="5" t="s">
        <v>161</v>
      </c>
      <c r="S89">
        <v>3</v>
      </c>
      <c r="T89">
        <v>0</v>
      </c>
      <c r="U89">
        <v>2</v>
      </c>
      <c r="V89" t="str">
        <v>FIGO VINCENZO</v>
      </c>
      <c r="W89" t="str">
        <v>535220087</v>
      </c>
      <c r="X89" t="str">
        <v>Magang</v>
      </c>
    </row>
    <row r="90" spans="1:24" ht="43.7" customHeight="1" x14ac:dyDescent="0.2">
      <c r="A90" s="8">
        <v>3</v>
      </c>
      <c r="B90" s="8">
        <v>1</v>
      </c>
      <c r="C90" s="8">
        <v>1</v>
      </c>
      <c r="D90" s="3">
        <v>535220207</v>
      </c>
      <c r="E90" s="3" t="s">
        <v>142</v>
      </c>
      <c r="F90" t="s">
        <v>157</v>
      </c>
      <c r="G90" s="25">
        <f t="shared" si="1"/>
        <v>0</v>
      </c>
      <c r="H90" s="24"/>
      <c r="K90" s="5">
        <v>5</v>
      </c>
      <c r="L90" s="5">
        <v>0</v>
      </c>
      <c r="M90" s="5">
        <v>2</v>
      </c>
      <c r="N90" s="5" t="s">
        <v>976</v>
      </c>
      <c r="O90" s="5" t="s">
        <v>265</v>
      </c>
      <c r="P90" s="5" t="s">
        <v>142</v>
      </c>
      <c r="Q90" s="5" t="s">
        <v>161</v>
      </c>
      <c r="S90">
        <v>3</v>
      </c>
      <c r="T90">
        <v>0</v>
      </c>
      <c r="U90">
        <v>2</v>
      </c>
      <c r="V90" t="str">
        <v>DEVANSKA UZIELTAMA MARDANUS</v>
      </c>
      <c r="W90" t="str">
        <v>535220089</v>
      </c>
      <c r="X90" t="str">
        <v>Magang</v>
      </c>
    </row>
    <row r="91" spans="1:24" ht="43.7" customHeight="1" x14ac:dyDescent="0.2">
      <c r="A91" s="8">
        <v>3</v>
      </c>
      <c r="B91" s="8">
        <v>1</v>
      </c>
      <c r="C91" s="8">
        <v>1</v>
      </c>
      <c r="D91" s="3">
        <v>535220245</v>
      </c>
      <c r="E91" s="3" t="s">
        <v>142</v>
      </c>
      <c r="F91" t="s">
        <v>157</v>
      </c>
      <c r="G91" s="25">
        <f t="shared" si="1"/>
        <v>0</v>
      </c>
      <c r="H91" s="24"/>
      <c r="K91" s="5">
        <v>5</v>
      </c>
      <c r="L91" s="5">
        <v>0</v>
      </c>
      <c r="M91" s="5">
        <v>2</v>
      </c>
      <c r="N91" s="5" t="s">
        <v>977</v>
      </c>
      <c r="O91" s="5" t="s">
        <v>266</v>
      </c>
      <c r="P91" s="5" t="s">
        <v>142</v>
      </c>
      <c r="Q91" s="5" t="s">
        <v>161</v>
      </c>
      <c r="S91">
        <v>3</v>
      </c>
      <c r="T91">
        <v>0</v>
      </c>
      <c r="U91">
        <v>2</v>
      </c>
      <c r="V91" t="str">
        <v>STEVEN</v>
      </c>
      <c r="W91" t="str">
        <v>535220091</v>
      </c>
      <c r="X91" t="str">
        <v>Magang</v>
      </c>
    </row>
    <row r="92" spans="1:24" ht="42.95" customHeight="1" x14ac:dyDescent="0.2">
      <c r="A92" s="8">
        <v>4</v>
      </c>
      <c r="B92" s="8">
        <v>1</v>
      </c>
      <c r="C92" s="8">
        <v>1</v>
      </c>
      <c r="D92" s="3">
        <v>535200033</v>
      </c>
      <c r="E92" s="3" t="s">
        <v>143</v>
      </c>
      <c r="F92" t="s">
        <v>154</v>
      </c>
      <c r="G92" s="25">
        <f t="shared" si="1"/>
        <v>0</v>
      </c>
      <c r="H92" s="24"/>
      <c r="K92" s="5">
        <v>6</v>
      </c>
      <c r="L92" s="5">
        <v>0</v>
      </c>
      <c r="M92" s="5">
        <v>0</v>
      </c>
      <c r="N92" s="5" t="s">
        <v>978</v>
      </c>
      <c r="O92" s="5" t="s">
        <v>267</v>
      </c>
      <c r="P92" s="5" t="s">
        <v>143</v>
      </c>
      <c r="Q92" s="5" t="s">
        <v>159</v>
      </c>
      <c r="S92">
        <v>4</v>
      </c>
      <c r="T92">
        <v>0</v>
      </c>
      <c r="U92">
        <v>2</v>
      </c>
      <c r="V92" t="str">
        <v>MARCO HADISURYA</v>
      </c>
      <c r="W92" t="str">
        <v>825220003</v>
      </c>
      <c r="X92" t="str">
        <v>Magang</v>
      </c>
    </row>
    <row r="93" spans="1:24" ht="44.1" customHeight="1" x14ac:dyDescent="0.2">
      <c r="A93" s="8">
        <v>4</v>
      </c>
      <c r="B93" s="8">
        <v>1</v>
      </c>
      <c r="C93" s="8">
        <v>1</v>
      </c>
      <c r="D93" s="3">
        <v>825220006</v>
      </c>
      <c r="E93" s="3" t="s">
        <v>143</v>
      </c>
      <c r="F93" t="s">
        <v>160</v>
      </c>
      <c r="G93" s="25">
        <f t="shared" si="1"/>
        <v>0</v>
      </c>
      <c r="H93" s="24"/>
      <c r="K93" s="5">
        <v>6</v>
      </c>
      <c r="L93" s="5">
        <v>0</v>
      </c>
      <c r="M93" s="5">
        <v>0</v>
      </c>
      <c r="N93" s="5" t="s">
        <v>979</v>
      </c>
      <c r="O93" s="5" t="s">
        <v>268</v>
      </c>
      <c r="P93" s="5" t="s">
        <v>143</v>
      </c>
      <c r="Q93" s="5" t="s">
        <v>159</v>
      </c>
      <c r="S93">
        <v>4</v>
      </c>
      <c r="T93">
        <v>0</v>
      </c>
      <c r="U93">
        <v>2</v>
      </c>
      <c r="V93" t="str">
        <v>MILLY MILLAGROS</v>
      </c>
      <c r="W93" t="str">
        <v>825220014</v>
      </c>
      <c r="X93" t="str">
        <v>Magang</v>
      </c>
    </row>
    <row r="94" spans="1:24" ht="42.95" customHeight="1" x14ac:dyDescent="0.2">
      <c r="A94" s="8">
        <v>4</v>
      </c>
      <c r="B94" s="8">
        <v>1</v>
      </c>
      <c r="C94" s="8">
        <v>1</v>
      </c>
      <c r="D94" s="3">
        <v>825220011</v>
      </c>
      <c r="E94" s="3" t="s">
        <v>143</v>
      </c>
      <c r="F94" t="s">
        <v>160</v>
      </c>
      <c r="G94" s="25">
        <f t="shared" si="1"/>
        <v>0</v>
      </c>
      <c r="H94" s="24"/>
      <c r="K94" s="5">
        <v>6</v>
      </c>
      <c r="L94" s="5">
        <v>0</v>
      </c>
      <c r="M94" s="5">
        <v>0</v>
      </c>
      <c r="N94" s="5" t="s">
        <v>980</v>
      </c>
      <c r="O94" s="5" t="s">
        <v>269</v>
      </c>
      <c r="P94" s="5" t="s">
        <v>143</v>
      </c>
      <c r="Q94" s="5" t="s">
        <v>159</v>
      </c>
      <c r="S94">
        <v>4</v>
      </c>
      <c r="T94">
        <v>0</v>
      </c>
      <c r="U94">
        <v>2</v>
      </c>
      <c r="V94" t="str">
        <v>CINDY ANGELLINE</v>
      </c>
      <c r="W94" t="str">
        <v>825220019</v>
      </c>
      <c r="X94" t="str">
        <v>Magang</v>
      </c>
    </row>
    <row r="95" spans="1:24" ht="44.1" customHeight="1" x14ac:dyDescent="0.2">
      <c r="A95" s="8">
        <v>4</v>
      </c>
      <c r="B95" s="8">
        <v>1</v>
      </c>
      <c r="C95" s="8">
        <v>1</v>
      </c>
      <c r="D95" s="3">
        <v>825220002</v>
      </c>
      <c r="E95" s="3" t="s">
        <v>142</v>
      </c>
      <c r="F95" t="s">
        <v>160</v>
      </c>
      <c r="G95" s="25">
        <f t="shared" si="1"/>
        <v>0</v>
      </c>
      <c r="H95" s="24"/>
      <c r="K95" s="5">
        <v>6</v>
      </c>
      <c r="L95" s="5">
        <v>0</v>
      </c>
      <c r="M95" s="5">
        <v>0</v>
      </c>
      <c r="N95" s="5" t="s">
        <v>981</v>
      </c>
      <c r="O95" s="5" t="s">
        <v>270</v>
      </c>
      <c r="P95" s="5" t="s">
        <v>143</v>
      </c>
      <c r="Q95" s="5" t="s">
        <v>159</v>
      </c>
      <c r="S95">
        <v>4</v>
      </c>
      <c r="T95">
        <v>0</v>
      </c>
      <c r="U95">
        <v>2</v>
      </c>
      <c r="V95" t="str">
        <v>MICHAEL</v>
      </c>
      <c r="W95" t="str">
        <v>825220036</v>
      </c>
      <c r="X95" t="str">
        <v>Magang</v>
      </c>
    </row>
    <row r="96" spans="1:24" ht="43.7" customHeight="1" x14ac:dyDescent="0.2">
      <c r="A96" s="8">
        <v>4</v>
      </c>
      <c r="B96" s="8">
        <v>1</v>
      </c>
      <c r="C96" s="8">
        <v>1</v>
      </c>
      <c r="D96" s="3">
        <v>825220009</v>
      </c>
      <c r="E96" s="3" t="s">
        <v>142</v>
      </c>
      <c r="F96" t="s">
        <v>160</v>
      </c>
      <c r="G96" s="25">
        <f t="shared" si="1"/>
        <v>0</v>
      </c>
      <c r="H96" s="24"/>
      <c r="K96" s="5">
        <v>6</v>
      </c>
      <c r="L96" s="5">
        <v>0</v>
      </c>
      <c r="M96" s="5">
        <v>0</v>
      </c>
      <c r="N96" s="5" t="s">
        <v>982</v>
      </c>
      <c r="O96" s="5" t="s">
        <v>271</v>
      </c>
      <c r="P96" s="5" t="s">
        <v>143</v>
      </c>
      <c r="Q96" s="5" t="s">
        <v>159</v>
      </c>
      <c r="S96">
        <v>4</v>
      </c>
      <c r="T96">
        <v>0</v>
      </c>
      <c r="U96">
        <v>2</v>
      </c>
      <c r="V96" t="str">
        <v>JOSHUA MARVIN</v>
      </c>
      <c r="W96" t="str">
        <v>825220062</v>
      </c>
      <c r="X96" t="str">
        <v>Magang</v>
      </c>
    </row>
    <row r="97" spans="1:24" ht="43.5" customHeight="1" x14ac:dyDescent="0.2">
      <c r="A97" s="8">
        <v>5</v>
      </c>
      <c r="B97" s="8">
        <v>1</v>
      </c>
      <c r="C97" s="8">
        <v>1</v>
      </c>
      <c r="D97" s="3">
        <v>535220022</v>
      </c>
      <c r="E97" s="3" t="s">
        <v>142</v>
      </c>
      <c r="F97" t="s">
        <v>154</v>
      </c>
      <c r="G97" s="25">
        <f t="shared" si="1"/>
        <v>0</v>
      </c>
      <c r="H97" s="24"/>
      <c r="K97" s="5">
        <v>6</v>
      </c>
      <c r="L97" s="5">
        <v>0</v>
      </c>
      <c r="M97" s="5">
        <v>1</v>
      </c>
      <c r="N97" s="5" t="s">
        <v>983</v>
      </c>
      <c r="O97" s="5" t="s">
        <v>272</v>
      </c>
      <c r="P97" s="5" t="s">
        <v>142</v>
      </c>
      <c r="Q97" s="5" t="s">
        <v>160</v>
      </c>
      <c r="S97">
        <v>5</v>
      </c>
      <c r="T97">
        <v>0</v>
      </c>
      <c r="U97">
        <v>2</v>
      </c>
      <c r="V97" t="str">
        <v>AURELIA PANGESTU</v>
      </c>
      <c r="W97" t="str">
        <v>825220120</v>
      </c>
      <c r="X97" t="str">
        <v>Magang</v>
      </c>
    </row>
    <row r="98" spans="1:24" ht="44.1" customHeight="1" x14ac:dyDescent="0.2">
      <c r="A98" s="8">
        <v>5</v>
      </c>
      <c r="B98" s="8">
        <v>1</v>
      </c>
      <c r="C98" s="8">
        <v>1</v>
      </c>
      <c r="D98" s="3">
        <v>535220023</v>
      </c>
      <c r="E98" s="3" t="s">
        <v>142</v>
      </c>
      <c r="F98" t="s">
        <v>154</v>
      </c>
      <c r="G98" s="25">
        <f t="shared" si="1"/>
        <v>0</v>
      </c>
      <c r="H98" s="24"/>
      <c r="K98" s="5">
        <v>6</v>
      </c>
      <c r="L98" s="5">
        <v>0</v>
      </c>
      <c r="M98" s="5">
        <v>1</v>
      </c>
      <c r="N98" s="5" t="s">
        <v>984</v>
      </c>
      <c r="O98" s="5" t="s">
        <v>273</v>
      </c>
      <c r="P98" s="5" t="s">
        <v>143</v>
      </c>
      <c r="Q98" s="5" t="s">
        <v>160</v>
      </c>
      <c r="S98">
        <v>5</v>
      </c>
      <c r="T98">
        <v>0</v>
      </c>
      <c r="U98">
        <v>2</v>
      </c>
      <c r="V98" t="str">
        <v>SAOLOAN NATAN YOEL SILALAHI</v>
      </c>
      <c r="W98" t="str">
        <v>825220134</v>
      </c>
      <c r="X98" t="str">
        <v>Magang</v>
      </c>
    </row>
    <row r="99" spans="1:24" ht="42.95" customHeight="1" x14ac:dyDescent="0.2">
      <c r="A99" s="8">
        <v>5</v>
      </c>
      <c r="B99" s="8">
        <v>1</v>
      </c>
      <c r="C99" s="8">
        <v>1</v>
      </c>
      <c r="D99" s="3">
        <v>535220028</v>
      </c>
      <c r="E99" s="3" t="s">
        <v>142</v>
      </c>
      <c r="F99" t="s">
        <v>154</v>
      </c>
      <c r="G99" s="25">
        <f t="shared" si="1"/>
        <v>0</v>
      </c>
      <c r="H99" s="24"/>
      <c r="K99" s="5">
        <v>6</v>
      </c>
      <c r="L99" s="5">
        <v>0</v>
      </c>
      <c r="M99" s="5">
        <v>1</v>
      </c>
      <c r="N99" s="5" t="s">
        <v>985</v>
      </c>
      <c r="O99" s="5" t="s">
        <v>274</v>
      </c>
      <c r="P99" s="5" t="s">
        <v>143</v>
      </c>
      <c r="Q99" s="5" t="s">
        <v>160</v>
      </c>
      <c r="S99">
        <v>5</v>
      </c>
      <c r="T99">
        <v>0</v>
      </c>
      <c r="U99">
        <v>2</v>
      </c>
      <c r="V99" t="str">
        <v>DIMAS PRATAMA MARCEL</v>
      </c>
      <c r="W99" t="str">
        <v>825220155</v>
      </c>
      <c r="X99" t="str">
        <v>Magang</v>
      </c>
    </row>
    <row r="100" spans="1:24" ht="44.1" customHeight="1" x14ac:dyDescent="0.2">
      <c r="A100" s="8">
        <v>5</v>
      </c>
      <c r="B100" s="8">
        <v>1</v>
      </c>
      <c r="C100" s="8">
        <v>1</v>
      </c>
      <c r="D100" s="3">
        <v>535220031</v>
      </c>
      <c r="E100" s="3" t="s">
        <v>142</v>
      </c>
      <c r="F100" t="s">
        <v>154</v>
      </c>
      <c r="G100" s="25">
        <f t="shared" si="1"/>
        <v>0</v>
      </c>
      <c r="H100" s="24"/>
      <c r="K100" s="5">
        <v>6</v>
      </c>
      <c r="L100" s="5">
        <v>0</v>
      </c>
      <c r="M100" s="5">
        <v>1</v>
      </c>
      <c r="N100" s="5" t="s">
        <v>986</v>
      </c>
      <c r="O100" s="5" t="s">
        <v>275</v>
      </c>
      <c r="P100" s="5" t="s">
        <v>144</v>
      </c>
      <c r="Q100" s="5" t="s">
        <v>160</v>
      </c>
      <c r="S100">
        <v>5</v>
      </c>
      <c r="T100">
        <v>0</v>
      </c>
      <c r="U100">
        <v>2</v>
      </c>
      <c r="V100" t="str">
        <v>MIGUEL FLORENSIUS SUSANTO</v>
      </c>
      <c r="W100" t="str">
        <v>825220182</v>
      </c>
      <c r="X100" t="str">
        <v>Magang</v>
      </c>
    </row>
    <row r="101" spans="1:24" ht="33" customHeight="1" x14ac:dyDescent="0.2">
      <c r="A101" s="8">
        <v>5</v>
      </c>
      <c r="B101" s="8">
        <v>1</v>
      </c>
      <c r="C101" s="8">
        <v>1</v>
      </c>
      <c r="D101" s="4">
        <v>535220060</v>
      </c>
      <c r="E101" s="3" t="s">
        <v>142</v>
      </c>
      <c r="F101" t="s">
        <v>154</v>
      </c>
      <c r="G101" s="25">
        <f t="shared" si="1"/>
        <v>0</v>
      </c>
      <c r="H101" s="24"/>
      <c r="K101" s="5">
        <v>6</v>
      </c>
      <c r="L101" s="5">
        <v>0</v>
      </c>
      <c r="M101" s="5">
        <v>1</v>
      </c>
      <c r="N101" s="5" t="s">
        <v>987</v>
      </c>
      <c r="O101" s="5" t="s">
        <v>276</v>
      </c>
      <c r="P101" s="5" t="s">
        <v>144</v>
      </c>
      <c r="Q101" s="5" t="s">
        <v>160</v>
      </c>
      <c r="S101">
        <v>5</v>
      </c>
      <c r="T101">
        <v>0</v>
      </c>
      <c r="U101">
        <v>2</v>
      </c>
      <c r="V101" t="str">
        <v xml:space="preserve">RADEN RORY SOLOMON REKSOHADINOTO </v>
      </c>
      <c r="W101" t="str">
        <v>825249102</v>
      </c>
      <c r="X101" t="str">
        <v>Magang</v>
      </c>
    </row>
    <row r="102" spans="1:24" ht="44.1" customHeight="1" x14ac:dyDescent="0.2">
      <c r="A102" s="8">
        <v>0</v>
      </c>
      <c r="B102" s="8">
        <v>2</v>
      </c>
      <c r="C102" s="8">
        <v>0</v>
      </c>
      <c r="D102" s="3">
        <v>825220162</v>
      </c>
      <c r="E102" s="3" t="s">
        <v>144</v>
      </c>
      <c r="F102" t="s">
        <v>160</v>
      </c>
      <c r="G102" s="25">
        <f t="shared" si="1"/>
        <v>0</v>
      </c>
      <c r="H102" s="24"/>
      <c r="K102" s="5">
        <v>6</v>
      </c>
      <c r="L102" s="5">
        <v>0</v>
      </c>
      <c r="M102" s="5">
        <v>2</v>
      </c>
      <c r="N102" s="5" t="s">
        <v>988</v>
      </c>
      <c r="O102" s="5" t="s">
        <v>277</v>
      </c>
      <c r="P102" s="5" t="s">
        <v>143</v>
      </c>
      <c r="Q102" s="5" t="s">
        <v>161</v>
      </c>
      <c r="S102">
        <v>6</v>
      </c>
      <c r="T102">
        <v>0</v>
      </c>
      <c r="U102">
        <v>2</v>
      </c>
      <c r="V102" t="str">
        <v>VIONA</v>
      </c>
      <c r="W102" t="str">
        <v>825220145</v>
      </c>
      <c r="X102" t="str">
        <v>Stupen</v>
      </c>
    </row>
    <row r="103" spans="1:24" ht="42.95" customHeight="1" x14ac:dyDescent="0.2">
      <c r="A103" s="8">
        <v>0</v>
      </c>
      <c r="B103" s="8">
        <v>2</v>
      </c>
      <c r="C103" s="8">
        <v>0</v>
      </c>
      <c r="D103" s="3">
        <v>825220183</v>
      </c>
      <c r="E103" s="3" t="s">
        <v>144</v>
      </c>
      <c r="F103" t="s">
        <v>160</v>
      </c>
      <c r="G103" s="25">
        <f t="shared" si="1"/>
        <v>0</v>
      </c>
      <c r="H103" s="24"/>
      <c r="K103" s="5">
        <v>6</v>
      </c>
      <c r="L103" s="5">
        <v>0</v>
      </c>
      <c r="M103" s="5">
        <v>2</v>
      </c>
      <c r="N103" s="5" t="s">
        <v>989</v>
      </c>
      <c r="O103" s="5" t="s">
        <v>278</v>
      </c>
      <c r="P103" s="5" t="s">
        <v>143</v>
      </c>
      <c r="Q103" s="5" t="s">
        <v>161</v>
      </c>
      <c r="S103">
        <v>6</v>
      </c>
      <c r="T103">
        <v>0</v>
      </c>
      <c r="U103">
        <v>2</v>
      </c>
      <c r="V103" t="str">
        <v>CARLSON JINGGA</v>
      </c>
      <c r="W103" t="str">
        <v>825220148</v>
      </c>
      <c r="X103" t="str">
        <v>Stupen</v>
      </c>
    </row>
    <row r="104" spans="1:24" ht="44.1" customHeight="1" x14ac:dyDescent="0.2">
      <c r="A104" s="8">
        <v>0</v>
      </c>
      <c r="B104" s="8">
        <v>2</v>
      </c>
      <c r="C104" s="8">
        <v>0</v>
      </c>
      <c r="D104" s="3">
        <v>535220079</v>
      </c>
      <c r="E104" s="3" t="s">
        <v>144</v>
      </c>
      <c r="F104" t="s">
        <v>168</v>
      </c>
      <c r="G104" s="25">
        <f t="shared" si="1"/>
        <v>0</v>
      </c>
      <c r="H104" s="24"/>
      <c r="K104" s="5">
        <v>6</v>
      </c>
      <c r="L104" s="5">
        <v>0</v>
      </c>
      <c r="M104" s="5">
        <v>2</v>
      </c>
      <c r="N104" s="5" t="s">
        <v>990</v>
      </c>
      <c r="O104" s="5" t="s">
        <v>279</v>
      </c>
      <c r="P104" s="5" t="s">
        <v>143</v>
      </c>
      <c r="Q104" s="5" t="s">
        <v>161</v>
      </c>
      <c r="S104">
        <v>6</v>
      </c>
      <c r="T104">
        <v>0</v>
      </c>
      <c r="U104">
        <v>2</v>
      </c>
      <c r="V104" t="str">
        <v>ARIEFAH NANDA EKA PUTRIANTI</v>
      </c>
      <c r="W104" t="str">
        <v>825220150</v>
      </c>
      <c r="X104" t="str">
        <v>Stupen</v>
      </c>
    </row>
    <row r="105" spans="1:24" ht="44.1" customHeight="1" x14ac:dyDescent="0.2">
      <c r="A105" s="8">
        <v>0</v>
      </c>
      <c r="B105" s="8">
        <v>2</v>
      </c>
      <c r="C105" s="8">
        <v>0</v>
      </c>
      <c r="D105" s="3">
        <v>535220016</v>
      </c>
      <c r="E105" s="3" t="s">
        <v>142</v>
      </c>
      <c r="F105" t="s">
        <v>169</v>
      </c>
      <c r="G105" s="25">
        <f t="shared" si="1"/>
        <v>0</v>
      </c>
      <c r="H105" s="24"/>
      <c r="K105" s="5">
        <v>6</v>
      </c>
      <c r="L105" s="5">
        <v>0</v>
      </c>
      <c r="M105" s="5">
        <v>2</v>
      </c>
      <c r="N105" s="5" t="s">
        <v>991</v>
      </c>
      <c r="O105" s="5" t="s">
        <v>280</v>
      </c>
      <c r="P105" s="5" t="s">
        <v>143</v>
      </c>
      <c r="Q105" s="5" t="s">
        <v>161</v>
      </c>
      <c r="S105">
        <v>6</v>
      </c>
      <c r="T105">
        <v>0</v>
      </c>
      <c r="U105">
        <v>2</v>
      </c>
      <c r="V105" t="str">
        <v>SUDHIVADDHANA GOEN</v>
      </c>
      <c r="W105" t="str">
        <v>825220181</v>
      </c>
      <c r="X105" t="str">
        <v>Stupen</v>
      </c>
    </row>
    <row r="106" spans="1:24" ht="43.5" customHeight="1" x14ac:dyDescent="0.2">
      <c r="A106" s="8">
        <v>0</v>
      </c>
      <c r="B106" s="8">
        <v>2</v>
      </c>
      <c r="C106" s="8">
        <v>0</v>
      </c>
      <c r="D106" s="3">
        <v>535220018</v>
      </c>
      <c r="E106" s="3" t="s">
        <v>142</v>
      </c>
      <c r="F106" t="s">
        <v>169</v>
      </c>
      <c r="G106" s="25">
        <f t="shared" si="1"/>
        <v>0</v>
      </c>
      <c r="H106" s="24"/>
      <c r="K106" s="5">
        <v>6</v>
      </c>
      <c r="L106" s="5">
        <v>0</v>
      </c>
      <c r="M106" s="5">
        <v>2</v>
      </c>
      <c r="N106" s="5" t="s">
        <v>992</v>
      </c>
      <c r="O106" s="5" t="s">
        <v>281</v>
      </c>
      <c r="P106" s="5" t="s">
        <v>143</v>
      </c>
      <c r="Q106" s="5" t="s">
        <v>161</v>
      </c>
      <c r="S106">
        <v>6</v>
      </c>
      <c r="T106">
        <v>0</v>
      </c>
      <c r="U106">
        <v>2</v>
      </c>
      <c r="V106" t="str">
        <v>JASSEN SANDRIO</v>
      </c>
      <c r="W106" t="str">
        <v>825239201</v>
      </c>
      <c r="X106" t="str">
        <v>Stupen</v>
      </c>
    </row>
    <row r="107" spans="1:24" ht="42.95" customHeight="1" x14ac:dyDescent="0.2">
      <c r="A107" s="8">
        <v>4</v>
      </c>
      <c r="B107" s="8">
        <v>2</v>
      </c>
      <c r="C107" s="8">
        <v>0</v>
      </c>
      <c r="D107" s="3">
        <v>535220001</v>
      </c>
      <c r="E107" s="3" t="s">
        <v>142</v>
      </c>
      <c r="F107" t="s">
        <v>166</v>
      </c>
      <c r="G107" s="25">
        <f t="shared" si="1"/>
        <v>0</v>
      </c>
      <c r="H107" s="24"/>
      <c r="K107" s="5">
        <v>0</v>
      </c>
      <c r="L107" s="5">
        <v>1</v>
      </c>
      <c r="M107" s="5">
        <v>0</v>
      </c>
      <c r="N107" s="5" t="s">
        <v>993</v>
      </c>
      <c r="O107" s="5" t="s">
        <v>282</v>
      </c>
      <c r="P107" s="5" t="s">
        <v>142</v>
      </c>
      <c r="Q107" s="5" t="s">
        <v>162</v>
      </c>
      <c r="S107">
        <v>0</v>
      </c>
      <c r="T107">
        <v>1</v>
      </c>
      <c r="U107">
        <v>0</v>
      </c>
      <c r="V107" t="str">
        <v>NICOLAS PHI</v>
      </c>
      <c r="W107" t="str">
        <v>825220075</v>
      </c>
      <c r="X107" t="str">
        <v>Magang</v>
      </c>
    </row>
    <row r="108" spans="1:24" ht="44.1" customHeight="1" x14ac:dyDescent="0.2">
      <c r="A108" s="8">
        <v>4</v>
      </c>
      <c r="B108" s="8">
        <v>2</v>
      </c>
      <c r="C108" s="8">
        <v>0</v>
      </c>
      <c r="D108" s="3">
        <v>535220010</v>
      </c>
      <c r="E108" s="3" t="s">
        <v>142</v>
      </c>
      <c r="F108" t="s">
        <v>166</v>
      </c>
      <c r="G108" s="25">
        <f t="shared" si="1"/>
        <v>0</v>
      </c>
      <c r="H108" s="24"/>
      <c r="K108" s="5">
        <v>0</v>
      </c>
      <c r="L108" s="5">
        <v>1</v>
      </c>
      <c r="M108" s="5">
        <v>0</v>
      </c>
      <c r="N108" s="5" t="s">
        <v>994</v>
      </c>
      <c r="O108" s="5" t="s">
        <v>283</v>
      </c>
      <c r="P108" s="5" t="s">
        <v>142</v>
      </c>
      <c r="Q108" s="5" t="s">
        <v>162</v>
      </c>
      <c r="S108">
        <v>0</v>
      </c>
      <c r="T108">
        <v>1</v>
      </c>
      <c r="U108">
        <v>0</v>
      </c>
      <c r="V108" t="str">
        <v>WILLIAM</v>
      </c>
      <c r="W108" t="str">
        <v>825220084</v>
      </c>
      <c r="X108" t="str">
        <v>Magang</v>
      </c>
    </row>
    <row r="109" spans="1:24" ht="42.95" customHeight="1" x14ac:dyDescent="0.2">
      <c r="A109" s="8">
        <v>4</v>
      </c>
      <c r="B109" s="8">
        <v>2</v>
      </c>
      <c r="C109" s="8">
        <v>0</v>
      </c>
      <c r="D109" s="3">
        <v>535220017</v>
      </c>
      <c r="E109" s="3" t="s">
        <v>142</v>
      </c>
      <c r="F109" t="s">
        <v>166</v>
      </c>
      <c r="G109" s="25">
        <f t="shared" si="1"/>
        <v>0</v>
      </c>
      <c r="H109" s="24"/>
      <c r="K109" s="5">
        <v>0</v>
      </c>
      <c r="L109" s="5">
        <v>1</v>
      </c>
      <c r="M109" s="5">
        <v>0</v>
      </c>
      <c r="N109" s="5" t="s">
        <v>995</v>
      </c>
      <c r="O109" s="5" t="s">
        <v>284</v>
      </c>
      <c r="P109" s="5" t="s">
        <v>143</v>
      </c>
      <c r="Q109" s="5" t="s">
        <v>162</v>
      </c>
      <c r="S109">
        <v>0</v>
      </c>
      <c r="T109">
        <v>1</v>
      </c>
      <c r="U109">
        <v>0</v>
      </c>
      <c r="V109" t="str">
        <v>EDWARD HARLLEYANDY CUANGARTA</v>
      </c>
      <c r="W109" t="str">
        <v>825220087</v>
      </c>
      <c r="X109" t="str">
        <v>Stupen</v>
      </c>
    </row>
    <row r="110" spans="1:24" ht="44.1" customHeight="1" x14ac:dyDescent="0.2">
      <c r="A110" s="8">
        <v>4</v>
      </c>
      <c r="B110" s="8">
        <v>2</v>
      </c>
      <c r="C110" s="8">
        <v>0</v>
      </c>
      <c r="D110" s="3">
        <v>535220019</v>
      </c>
      <c r="E110" s="3" t="s">
        <v>142</v>
      </c>
      <c r="F110" t="s">
        <v>166</v>
      </c>
      <c r="G110" s="25">
        <f t="shared" si="1"/>
        <v>0</v>
      </c>
      <c r="H110" s="24"/>
      <c r="K110" s="5">
        <v>0</v>
      </c>
      <c r="L110" s="5">
        <v>1</v>
      </c>
      <c r="M110" s="5">
        <v>0</v>
      </c>
      <c r="N110" s="5" t="s">
        <v>996</v>
      </c>
      <c r="O110" s="5" t="s">
        <v>285</v>
      </c>
      <c r="P110" s="5" t="s">
        <v>143</v>
      </c>
      <c r="Q110" s="5" t="s">
        <v>162</v>
      </c>
      <c r="S110">
        <v>0</v>
      </c>
      <c r="T110">
        <v>1</v>
      </c>
      <c r="U110">
        <v>0</v>
      </c>
      <c r="V110" t="str">
        <v>LUIS FEBRY</v>
      </c>
      <c r="W110" t="str">
        <v>825220088</v>
      </c>
      <c r="X110" t="str">
        <v>Stupen</v>
      </c>
    </row>
    <row r="111" spans="1:24" ht="42.6" customHeight="1" x14ac:dyDescent="0.2">
      <c r="A111" s="8">
        <v>4</v>
      </c>
      <c r="B111" s="8">
        <v>2</v>
      </c>
      <c r="C111" s="8">
        <v>0</v>
      </c>
      <c r="D111" s="3">
        <v>535220262</v>
      </c>
      <c r="E111" s="3" t="s">
        <v>142</v>
      </c>
      <c r="F111" t="s">
        <v>166</v>
      </c>
      <c r="G111" s="25">
        <f t="shared" si="1"/>
        <v>0</v>
      </c>
      <c r="H111" s="24"/>
      <c r="K111" s="5">
        <v>0</v>
      </c>
      <c r="L111" s="5">
        <v>1</v>
      </c>
      <c r="M111" s="5">
        <v>0</v>
      </c>
      <c r="N111" s="5" t="s">
        <v>997</v>
      </c>
      <c r="O111" s="5" t="s">
        <v>286</v>
      </c>
      <c r="P111" s="5" t="s">
        <v>143</v>
      </c>
      <c r="Q111" s="5" t="s">
        <v>162</v>
      </c>
      <c r="S111">
        <v>0</v>
      </c>
      <c r="T111">
        <v>1</v>
      </c>
      <c r="U111">
        <v>0</v>
      </c>
      <c r="V111" t="str">
        <v>ALLEGRA FLAVIA FELITA</v>
      </c>
      <c r="W111" t="str">
        <v>825220093</v>
      </c>
      <c r="X111" t="str">
        <v>Stupen</v>
      </c>
    </row>
    <row r="112" spans="1:24" ht="44.1" customHeight="1" x14ac:dyDescent="0.2">
      <c r="A112" s="8">
        <v>5</v>
      </c>
      <c r="B112" s="8">
        <v>2</v>
      </c>
      <c r="C112" s="8">
        <v>0</v>
      </c>
      <c r="D112" s="3">
        <v>825220138</v>
      </c>
      <c r="E112" s="3" t="s">
        <v>142</v>
      </c>
      <c r="F112" t="s">
        <v>155</v>
      </c>
      <c r="G112" s="25">
        <f t="shared" si="1"/>
        <v>0</v>
      </c>
      <c r="H112" s="24"/>
      <c r="K112" s="5">
        <v>0</v>
      </c>
      <c r="L112" s="5">
        <v>1</v>
      </c>
      <c r="M112" s="5">
        <v>1</v>
      </c>
      <c r="N112" s="5" t="s">
        <v>998</v>
      </c>
      <c r="O112" s="5" t="s">
        <v>287</v>
      </c>
      <c r="P112" s="5" t="s">
        <v>142</v>
      </c>
      <c r="Q112" s="5" t="s">
        <v>163</v>
      </c>
      <c r="S112">
        <v>1</v>
      </c>
      <c r="T112">
        <v>1</v>
      </c>
      <c r="U112">
        <v>0</v>
      </c>
      <c r="V112" t="str">
        <v>GARY ANDERSON THENG</v>
      </c>
      <c r="W112" t="str">
        <v>825220094</v>
      </c>
      <c r="X112" t="str">
        <v>Stupen</v>
      </c>
    </row>
    <row r="113" spans="1:24" ht="44.1" customHeight="1" x14ac:dyDescent="0.2">
      <c r="A113" s="8">
        <v>5</v>
      </c>
      <c r="B113" s="8">
        <v>2</v>
      </c>
      <c r="C113" s="8">
        <v>0</v>
      </c>
      <c r="D113" s="3">
        <v>825220139</v>
      </c>
      <c r="E113" s="3" t="s">
        <v>142</v>
      </c>
      <c r="F113" t="s">
        <v>155</v>
      </c>
      <c r="G113" s="25">
        <f t="shared" si="1"/>
        <v>0</v>
      </c>
      <c r="H113" s="24"/>
      <c r="K113" s="5">
        <v>0</v>
      </c>
      <c r="L113" s="5">
        <v>1</v>
      </c>
      <c r="M113" s="5">
        <v>1</v>
      </c>
      <c r="N113" s="5" t="s">
        <v>999</v>
      </c>
      <c r="O113" s="5" t="s">
        <v>288</v>
      </c>
      <c r="P113" s="5" t="s">
        <v>142</v>
      </c>
      <c r="Q113" s="5" t="s">
        <v>163</v>
      </c>
      <c r="S113">
        <v>1</v>
      </c>
      <c r="T113">
        <v>1</v>
      </c>
      <c r="U113">
        <v>0</v>
      </c>
      <c r="V113" t="str">
        <v>JOURDAN TANARDI</v>
      </c>
      <c r="W113" t="str">
        <v>825220095</v>
      </c>
      <c r="X113" t="str">
        <v>Stupen</v>
      </c>
    </row>
    <row r="114" spans="1:24" ht="42.95" customHeight="1" x14ac:dyDescent="0.2">
      <c r="A114" s="8">
        <v>5</v>
      </c>
      <c r="B114" s="8">
        <v>2</v>
      </c>
      <c r="C114" s="8">
        <v>0</v>
      </c>
      <c r="D114" s="3">
        <v>825220165</v>
      </c>
      <c r="E114" s="3" t="s">
        <v>142</v>
      </c>
      <c r="F114" t="s">
        <v>155</v>
      </c>
      <c r="G114" s="25">
        <f t="shared" si="1"/>
        <v>0</v>
      </c>
      <c r="H114" s="24"/>
      <c r="K114" s="5">
        <v>0</v>
      </c>
      <c r="L114" s="5">
        <v>1</v>
      </c>
      <c r="M114" s="5">
        <v>1</v>
      </c>
      <c r="N114" s="5" t="s">
        <v>1000</v>
      </c>
      <c r="O114" s="5" t="s">
        <v>289</v>
      </c>
      <c r="P114" s="5" t="s">
        <v>142</v>
      </c>
      <c r="Q114" s="5" t="s">
        <v>163</v>
      </c>
      <c r="S114">
        <v>1</v>
      </c>
      <c r="T114">
        <v>1</v>
      </c>
      <c r="U114">
        <v>0</v>
      </c>
      <c r="V114" t="str">
        <v>JUSTIN AARON HO</v>
      </c>
      <c r="W114" t="str">
        <v>825220105</v>
      </c>
      <c r="X114" t="str">
        <v>Stupen</v>
      </c>
    </row>
    <row r="115" spans="1:24" ht="44.1" customHeight="1" x14ac:dyDescent="0.2">
      <c r="A115" s="8">
        <v>5</v>
      </c>
      <c r="B115" s="8">
        <v>2</v>
      </c>
      <c r="C115" s="8">
        <v>0</v>
      </c>
      <c r="D115" s="3">
        <v>535220140</v>
      </c>
      <c r="E115" s="3" t="s">
        <v>142</v>
      </c>
      <c r="F115" t="s">
        <v>167</v>
      </c>
      <c r="G115" s="25">
        <f t="shared" si="1"/>
        <v>0</v>
      </c>
      <c r="H115" s="24"/>
      <c r="K115" s="5">
        <v>0</v>
      </c>
      <c r="L115" s="5">
        <v>1</v>
      </c>
      <c r="M115" s="5">
        <v>1</v>
      </c>
      <c r="N115" s="5" t="s">
        <v>1001</v>
      </c>
      <c r="O115" s="5" t="s">
        <v>290</v>
      </c>
      <c r="P115" s="5" t="s">
        <v>142</v>
      </c>
      <c r="Q115" s="5" t="s">
        <v>163</v>
      </c>
      <c r="S115">
        <v>1</v>
      </c>
      <c r="T115">
        <v>1</v>
      </c>
      <c r="U115">
        <v>0</v>
      </c>
      <c r="V115" t="str">
        <v>FERNANDO EDISON</v>
      </c>
      <c r="W115" t="str">
        <v>825220113</v>
      </c>
      <c r="X115" t="str">
        <v>Stupen</v>
      </c>
    </row>
    <row r="116" spans="1:24" ht="33" customHeight="1" x14ac:dyDescent="0.2">
      <c r="A116" s="8">
        <v>5</v>
      </c>
      <c r="B116" s="8">
        <v>2</v>
      </c>
      <c r="C116" s="8">
        <v>0</v>
      </c>
      <c r="D116" s="4">
        <v>535220148</v>
      </c>
      <c r="E116" s="3" t="s">
        <v>142</v>
      </c>
      <c r="F116" t="s">
        <v>167</v>
      </c>
      <c r="G116" s="25">
        <f t="shared" si="1"/>
        <v>0</v>
      </c>
      <c r="H116" s="24"/>
      <c r="K116" s="5">
        <v>0</v>
      </c>
      <c r="L116" s="5">
        <v>1</v>
      </c>
      <c r="M116" s="5">
        <v>1</v>
      </c>
      <c r="N116" s="5" t="s">
        <v>1002</v>
      </c>
      <c r="O116" s="5" t="s">
        <v>291</v>
      </c>
      <c r="P116" s="5" t="s">
        <v>142</v>
      </c>
      <c r="Q116" s="5" t="s">
        <v>163</v>
      </c>
      <c r="S116">
        <v>1</v>
      </c>
      <c r="T116">
        <v>1</v>
      </c>
      <c r="U116">
        <v>0</v>
      </c>
      <c r="V116" t="str">
        <v>DAFFA IMANI SAPUTRA</v>
      </c>
      <c r="W116" t="str">
        <v>825220114</v>
      </c>
      <c r="X116" t="str">
        <v>Stupen</v>
      </c>
    </row>
    <row r="117" spans="1:24" ht="42.6" customHeight="1" x14ac:dyDescent="0.2">
      <c r="A117" s="8">
        <v>6</v>
      </c>
      <c r="B117" s="8">
        <v>2</v>
      </c>
      <c r="C117" s="8">
        <v>0</v>
      </c>
      <c r="D117" s="3">
        <v>535220176</v>
      </c>
      <c r="E117" s="3" t="s">
        <v>142</v>
      </c>
      <c r="F117" t="s">
        <v>167</v>
      </c>
      <c r="G117" s="25">
        <f t="shared" si="1"/>
        <v>0</v>
      </c>
      <c r="H117" s="24"/>
      <c r="K117" s="5">
        <v>0</v>
      </c>
      <c r="L117" s="5">
        <v>1</v>
      </c>
      <c r="M117" s="5">
        <v>2</v>
      </c>
      <c r="N117" s="5" t="s">
        <v>1003</v>
      </c>
      <c r="O117" s="5" t="s">
        <v>292</v>
      </c>
      <c r="P117" s="5" t="s">
        <v>142</v>
      </c>
      <c r="Q117" s="5" t="s">
        <v>156</v>
      </c>
      <c r="S117">
        <v>2</v>
      </c>
      <c r="T117">
        <v>1</v>
      </c>
      <c r="U117">
        <v>0</v>
      </c>
      <c r="V117" t="str">
        <v>SAYYIDINAA ALI</v>
      </c>
      <c r="W117" t="str">
        <v>825220115</v>
      </c>
      <c r="X117" t="str">
        <v>Stupen</v>
      </c>
    </row>
    <row r="118" spans="1:24" ht="44.1" customHeight="1" x14ac:dyDescent="0.2">
      <c r="A118" s="8">
        <v>6</v>
      </c>
      <c r="B118" s="8">
        <v>2</v>
      </c>
      <c r="C118" s="8">
        <v>0</v>
      </c>
      <c r="D118" s="3">
        <v>535220182</v>
      </c>
      <c r="E118" s="3" t="s">
        <v>142</v>
      </c>
      <c r="F118" t="s">
        <v>167</v>
      </c>
      <c r="G118" s="25">
        <f t="shared" si="1"/>
        <v>0</v>
      </c>
      <c r="H118" s="24"/>
      <c r="K118" s="5">
        <v>0</v>
      </c>
      <c r="L118" s="5">
        <v>1</v>
      </c>
      <c r="M118" s="5">
        <v>2</v>
      </c>
      <c r="N118" s="5" t="s">
        <v>1004</v>
      </c>
      <c r="O118" s="5" t="s">
        <v>293</v>
      </c>
      <c r="P118" s="5" t="s">
        <v>142</v>
      </c>
      <c r="Q118" s="5" t="s">
        <v>156</v>
      </c>
      <c r="S118">
        <v>2</v>
      </c>
      <c r="T118">
        <v>1</v>
      </c>
      <c r="U118">
        <v>0</v>
      </c>
      <c r="V118" t="str">
        <v>ROBERT</v>
      </c>
      <c r="W118" t="str">
        <v>825220121</v>
      </c>
      <c r="X118" t="str">
        <v>Stupen</v>
      </c>
    </row>
    <row r="119" spans="1:24" ht="42.95" customHeight="1" x14ac:dyDescent="0.2">
      <c r="A119" s="8">
        <v>6</v>
      </c>
      <c r="B119" s="8">
        <v>2</v>
      </c>
      <c r="C119" s="8">
        <v>0</v>
      </c>
      <c r="D119" s="3">
        <v>535220183</v>
      </c>
      <c r="E119" s="3" t="s">
        <v>142</v>
      </c>
      <c r="F119" t="s">
        <v>167</v>
      </c>
      <c r="G119" s="25">
        <f t="shared" si="1"/>
        <v>0</v>
      </c>
      <c r="H119" s="24"/>
      <c r="K119" s="5">
        <v>0</v>
      </c>
      <c r="L119" s="5">
        <v>1</v>
      </c>
      <c r="M119" s="5">
        <v>2</v>
      </c>
      <c r="N119" s="5" t="s">
        <v>1005</v>
      </c>
      <c r="O119" s="5" t="s">
        <v>294</v>
      </c>
      <c r="P119" s="5" t="s">
        <v>142</v>
      </c>
      <c r="Q119" s="5" t="s">
        <v>156</v>
      </c>
      <c r="S119">
        <v>2</v>
      </c>
      <c r="T119">
        <v>1</v>
      </c>
      <c r="U119">
        <v>0</v>
      </c>
      <c r="V119" t="str">
        <v>DENNIS MATTHEW</v>
      </c>
      <c r="W119" t="str">
        <v>825220124</v>
      </c>
      <c r="X119" t="str">
        <v>Stupen</v>
      </c>
    </row>
    <row r="120" spans="1:24" ht="44.1" customHeight="1" x14ac:dyDescent="0.2">
      <c r="A120" s="8">
        <v>6</v>
      </c>
      <c r="B120" s="8">
        <v>2</v>
      </c>
      <c r="C120" s="8">
        <v>0</v>
      </c>
      <c r="D120" s="3">
        <v>535220189</v>
      </c>
      <c r="E120" s="3" t="s">
        <v>142</v>
      </c>
      <c r="F120" t="s">
        <v>167</v>
      </c>
      <c r="G120" s="25">
        <f t="shared" si="1"/>
        <v>0</v>
      </c>
      <c r="H120" s="24"/>
      <c r="K120" s="5">
        <v>0</v>
      </c>
      <c r="L120" s="5">
        <v>1</v>
      </c>
      <c r="M120" s="5">
        <v>2</v>
      </c>
      <c r="N120" s="5" t="s">
        <v>1006</v>
      </c>
      <c r="O120" s="5" t="s">
        <v>295</v>
      </c>
      <c r="P120" s="5" t="s">
        <v>142</v>
      </c>
      <c r="Q120" s="5" t="s">
        <v>156</v>
      </c>
      <c r="S120">
        <v>2</v>
      </c>
      <c r="T120">
        <v>1</v>
      </c>
      <c r="U120">
        <v>0</v>
      </c>
      <c r="V120" t="str">
        <v xml:space="preserve">JAVIER ELIAN PUTRA KARJADI </v>
      </c>
      <c r="W120" t="str">
        <v>825220131</v>
      </c>
      <c r="X120" t="str">
        <v>Stupen</v>
      </c>
    </row>
    <row r="121" spans="1:24" ht="43.7" customHeight="1" x14ac:dyDescent="0.2">
      <c r="A121" s="8">
        <v>6</v>
      </c>
      <c r="B121" s="8">
        <v>2</v>
      </c>
      <c r="C121" s="8">
        <v>0</v>
      </c>
      <c r="D121" s="3">
        <v>535220259</v>
      </c>
      <c r="E121" s="3" t="s">
        <v>142</v>
      </c>
      <c r="F121" t="s">
        <v>167</v>
      </c>
      <c r="G121" s="25">
        <f t="shared" si="1"/>
        <v>0</v>
      </c>
      <c r="H121" s="24"/>
      <c r="K121" s="5">
        <v>0</v>
      </c>
      <c r="L121" s="5">
        <v>1</v>
      </c>
      <c r="M121" s="5">
        <v>2</v>
      </c>
      <c r="N121" s="5" t="s">
        <v>1007</v>
      </c>
      <c r="O121" s="5" t="s">
        <v>296</v>
      </c>
      <c r="P121" s="5" t="s">
        <v>142</v>
      </c>
      <c r="Q121" s="5" t="s">
        <v>156</v>
      </c>
      <c r="S121">
        <v>2</v>
      </c>
      <c r="T121">
        <v>1</v>
      </c>
      <c r="U121">
        <v>0</v>
      </c>
      <c r="V121" t="str">
        <v>NATHANAEL DENNIS GUNAWAN</v>
      </c>
      <c r="W121" t="str">
        <v>825220133</v>
      </c>
      <c r="X121" t="str">
        <v>Stupen</v>
      </c>
    </row>
    <row r="122" spans="1:24" ht="44.1" customHeight="1" x14ac:dyDescent="0.2">
      <c r="A122" s="8">
        <v>0</v>
      </c>
      <c r="B122" s="8">
        <v>2</v>
      </c>
      <c r="C122" s="8">
        <v>1</v>
      </c>
      <c r="D122" s="3">
        <v>535220152</v>
      </c>
      <c r="E122" s="3" t="s">
        <v>142</v>
      </c>
      <c r="F122" t="s">
        <v>164</v>
      </c>
      <c r="G122" s="25">
        <f t="shared" si="1"/>
        <v>0</v>
      </c>
      <c r="H122" s="24"/>
      <c r="K122" s="5">
        <v>1</v>
      </c>
      <c r="L122" s="5">
        <v>1</v>
      </c>
      <c r="M122" s="5">
        <v>0</v>
      </c>
      <c r="N122" s="5" t="s">
        <v>1008</v>
      </c>
      <c r="O122" s="5" t="s">
        <v>297</v>
      </c>
      <c r="P122" s="5" t="s">
        <v>143</v>
      </c>
      <c r="Q122" s="5" t="s">
        <v>162</v>
      </c>
      <c r="S122">
        <v>3</v>
      </c>
      <c r="T122">
        <v>1</v>
      </c>
      <c r="U122">
        <v>0</v>
      </c>
      <c r="V122" t="str">
        <v>ZAKI RAMDANI</v>
      </c>
      <c r="W122" t="str">
        <v>825220137</v>
      </c>
      <c r="X122" t="str">
        <v>Stupen</v>
      </c>
    </row>
    <row r="123" spans="1:24" ht="42.95" customHeight="1" x14ac:dyDescent="0.2">
      <c r="A123" s="8">
        <v>0</v>
      </c>
      <c r="B123" s="8">
        <v>2</v>
      </c>
      <c r="C123" s="8">
        <v>1</v>
      </c>
      <c r="D123" s="3">
        <v>535220154</v>
      </c>
      <c r="E123" s="3" t="s">
        <v>142</v>
      </c>
      <c r="F123" t="s">
        <v>164</v>
      </c>
      <c r="G123" s="25">
        <f t="shared" si="1"/>
        <v>0</v>
      </c>
      <c r="H123" s="24"/>
      <c r="K123" s="5">
        <v>1</v>
      </c>
      <c r="L123" s="5">
        <v>1</v>
      </c>
      <c r="M123" s="5">
        <v>0</v>
      </c>
      <c r="N123" s="5" t="s">
        <v>1009</v>
      </c>
      <c r="O123" s="5" t="s">
        <v>298</v>
      </c>
      <c r="P123" s="5" t="s">
        <v>143</v>
      </c>
      <c r="Q123" s="5" t="s">
        <v>162</v>
      </c>
      <c r="S123">
        <v>3</v>
      </c>
      <c r="T123">
        <v>1</v>
      </c>
      <c r="U123">
        <v>0</v>
      </c>
      <c r="V123" t="str">
        <v>GAVRIEL JOSEPH LIM</v>
      </c>
      <c r="W123" t="str">
        <v>535220049</v>
      </c>
      <c r="X123" t="str">
        <v>Magang</v>
      </c>
    </row>
    <row r="124" spans="1:24" ht="44.1" customHeight="1" x14ac:dyDescent="0.2">
      <c r="A124" s="8">
        <v>0</v>
      </c>
      <c r="B124" s="8">
        <v>2</v>
      </c>
      <c r="C124" s="8">
        <v>1</v>
      </c>
      <c r="D124" s="3">
        <v>535220191</v>
      </c>
      <c r="E124" s="3" t="s">
        <v>142</v>
      </c>
      <c r="F124" t="s">
        <v>164</v>
      </c>
      <c r="G124" s="25">
        <f t="shared" si="1"/>
        <v>0</v>
      </c>
      <c r="H124" s="24"/>
      <c r="K124" s="5">
        <v>1</v>
      </c>
      <c r="L124" s="5">
        <v>1</v>
      </c>
      <c r="M124" s="5">
        <v>0</v>
      </c>
      <c r="N124" s="5" t="s">
        <v>1010</v>
      </c>
      <c r="O124" s="5" t="s">
        <v>299</v>
      </c>
      <c r="P124" s="5" t="s">
        <v>143</v>
      </c>
      <c r="Q124" s="5" t="s">
        <v>162</v>
      </c>
      <c r="S124">
        <v>3</v>
      </c>
      <c r="T124">
        <v>1</v>
      </c>
      <c r="U124">
        <v>0</v>
      </c>
      <c r="V124" t="str">
        <v>MICHAEL PANGIHUTAN PARDOMUAN MANALU</v>
      </c>
      <c r="W124" t="str">
        <v>535220073</v>
      </c>
      <c r="X124" t="str">
        <v>Magang</v>
      </c>
    </row>
    <row r="125" spans="1:24" ht="44.1" customHeight="1" x14ac:dyDescent="0.2">
      <c r="A125" s="8">
        <v>0</v>
      </c>
      <c r="B125" s="8">
        <v>2</v>
      </c>
      <c r="C125" s="8">
        <v>1</v>
      </c>
      <c r="D125" s="3">
        <v>535220206</v>
      </c>
      <c r="E125" s="3" t="s">
        <v>142</v>
      </c>
      <c r="F125" t="s">
        <v>164</v>
      </c>
      <c r="G125" s="25">
        <f t="shared" si="1"/>
        <v>0</v>
      </c>
      <c r="H125" s="24"/>
      <c r="K125" s="5">
        <v>1</v>
      </c>
      <c r="L125" s="5">
        <v>1</v>
      </c>
      <c r="M125" s="5">
        <v>0</v>
      </c>
      <c r="N125" s="5" t="s">
        <v>1011</v>
      </c>
      <c r="O125" s="5" t="s">
        <v>300</v>
      </c>
      <c r="P125" s="5" t="s">
        <v>143</v>
      </c>
      <c r="Q125" s="5" t="s">
        <v>162</v>
      </c>
      <c r="S125">
        <v>3</v>
      </c>
      <c r="T125">
        <v>1</v>
      </c>
      <c r="U125">
        <v>0</v>
      </c>
      <c r="V125" t="str">
        <v>RYAN ANTHONY</v>
      </c>
      <c r="W125" t="str">
        <v>535220074</v>
      </c>
      <c r="X125" t="str">
        <v>Magang</v>
      </c>
    </row>
    <row r="126" spans="1:24" ht="43.5" customHeight="1" x14ac:dyDescent="0.2">
      <c r="A126" s="8">
        <v>0</v>
      </c>
      <c r="B126" s="8">
        <v>2</v>
      </c>
      <c r="C126" s="8">
        <v>1</v>
      </c>
      <c r="D126" s="3">
        <v>535220210</v>
      </c>
      <c r="E126" s="3" t="s">
        <v>142</v>
      </c>
      <c r="F126" t="s">
        <v>164</v>
      </c>
      <c r="G126" s="25">
        <f t="shared" si="1"/>
        <v>0</v>
      </c>
      <c r="H126" s="24"/>
      <c r="K126" s="5">
        <v>1</v>
      </c>
      <c r="L126" s="5">
        <v>1</v>
      </c>
      <c r="M126" s="5">
        <v>0</v>
      </c>
      <c r="N126" s="5" t="s">
        <v>1012</v>
      </c>
      <c r="O126" s="5" t="s">
        <v>301</v>
      </c>
      <c r="P126" s="5" t="s">
        <v>143</v>
      </c>
      <c r="Q126" s="5" t="s">
        <v>162</v>
      </c>
      <c r="S126">
        <v>3</v>
      </c>
      <c r="T126">
        <v>1</v>
      </c>
      <c r="U126">
        <v>0</v>
      </c>
      <c r="V126" t="str">
        <v>JECHENTHIA MARIA TASO</v>
      </c>
      <c r="W126" t="str">
        <v>535220081</v>
      </c>
      <c r="X126" t="str">
        <v>Magang</v>
      </c>
    </row>
    <row r="127" spans="1:24" ht="42.95" customHeight="1" x14ac:dyDescent="0.2">
      <c r="A127" s="8">
        <v>1</v>
      </c>
      <c r="B127" s="8">
        <v>2</v>
      </c>
      <c r="C127" s="8">
        <v>1</v>
      </c>
      <c r="D127" s="3">
        <v>535220213</v>
      </c>
      <c r="E127" s="3" t="s">
        <v>142</v>
      </c>
      <c r="F127" t="s">
        <v>164</v>
      </c>
      <c r="G127" s="25">
        <f t="shared" si="1"/>
        <v>0</v>
      </c>
      <c r="H127" s="24"/>
      <c r="K127" s="5">
        <v>1</v>
      </c>
      <c r="L127" s="5">
        <v>1</v>
      </c>
      <c r="M127" s="5">
        <v>1</v>
      </c>
      <c r="N127" s="5" t="s">
        <v>1013</v>
      </c>
      <c r="O127" s="5" t="s">
        <v>302</v>
      </c>
      <c r="P127" s="5" t="s">
        <v>142</v>
      </c>
      <c r="Q127" s="5" t="s">
        <v>163</v>
      </c>
      <c r="S127">
        <v>4</v>
      </c>
      <c r="T127">
        <v>1</v>
      </c>
      <c r="U127">
        <v>0</v>
      </c>
      <c r="V127" t="str">
        <v>GREGORIUS SATRIONAN PAMUNGKAS</v>
      </c>
      <c r="W127" t="str">
        <v>535220244</v>
      </c>
      <c r="X127" t="str">
        <v>Stupen</v>
      </c>
    </row>
    <row r="128" spans="1:24" ht="44.1" customHeight="1" x14ac:dyDescent="0.2">
      <c r="A128" s="8">
        <v>1</v>
      </c>
      <c r="B128" s="8">
        <v>2</v>
      </c>
      <c r="C128" s="8">
        <v>1</v>
      </c>
      <c r="D128" s="3">
        <v>535220247</v>
      </c>
      <c r="E128" s="3" t="s">
        <v>142</v>
      </c>
      <c r="F128" t="s">
        <v>164</v>
      </c>
      <c r="G128" s="25">
        <f t="shared" si="1"/>
        <v>0</v>
      </c>
      <c r="H128" s="24"/>
      <c r="K128" s="5">
        <v>1</v>
      </c>
      <c r="L128" s="5">
        <v>1</v>
      </c>
      <c r="M128" s="5">
        <v>1</v>
      </c>
      <c r="N128" s="5" t="s">
        <v>1014</v>
      </c>
      <c r="O128" s="5" t="s">
        <v>303</v>
      </c>
      <c r="P128" s="5" t="s">
        <v>142</v>
      </c>
      <c r="Q128" s="5" t="s">
        <v>163</v>
      </c>
      <c r="S128">
        <v>4</v>
      </c>
      <c r="T128">
        <v>1</v>
      </c>
      <c r="U128">
        <v>0</v>
      </c>
      <c r="V128" t="str">
        <v>RIDHWAN KAUTSAR DWI JULIANTO</v>
      </c>
      <c r="W128" t="str">
        <v>535220267</v>
      </c>
      <c r="X128" t="str">
        <v>Stupen</v>
      </c>
    </row>
    <row r="129" spans="1:24" ht="42.95" customHeight="1" x14ac:dyDescent="0.2">
      <c r="A129" s="8">
        <v>1</v>
      </c>
      <c r="B129" s="8">
        <v>2</v>
      </c>
      <c r="C129" s="8">
        <v>1</v>
      </c>
      <c r="D129" s="3">
        <v>535220014</v>
      </c>
      <c r="E129" s="3" t="s">
        <v>142</v>
      </c>
      <c r="F129" t="s">
        <v>165</v>
      </c>
      <c r="G129" s="25">
        <f t="shared" si="1"/>
        <v>0</v>
      </c>
      <c r="H129" s="24"/>
      <c r="K129" s="5">
        <v>1</v>
      </c>
      <c r="L129" s="5">
        <v>1</v>
      </c>
      <c r="M129" s="5">
        <v>1</v>
      </c>
      <c r="N129" s="5" t="s">
        <v>1015</v>
      </c>
      <c r="O129" s="5" t="s">
        <v>304</v>
      </c>
      <c r="P129" s="5" t="s">
        <v>142</v>
      </c>
      <c r="Q129" s="5" t="s">
        <v>163</v>
      </c>
      <c r="S129">
        <v>4</v>
      </c>
      <c r="T129">
        <v>1</v>
      </c>
      <c r="U129">
        <v>0</v>
      </c>
      <c r="V129" t="str">
        <v>HANSON NICHOLAS</v>
      </c>
      <c r="W129" t="str">
        <v>535220121</v>
      </c>
      <c r="X129" t="str">
        <v>Magang</v>
      </c>
    </row>
    <row r="130" spans="1:24" ht="44.1" customHeight="1" x14ac:dyDescent="0.2">
      <c r="A130" s="8">
        <v>1</v>
      </c>
      <c r="B130" s="8">
        <v>2</v>
      </c>
      <c r="C130" s="8">
        <v>1</v>
      </c>
      <c r="D130" s="3">
        <v>535220020</v>
      </c>
      <c r="E130" s="3" t="s">
        <v>142</v>
      </c>
      <c r="F130" t="s">
        <v>165</v>
      </c>
      <c r="G130" s="25">
        <f t="shared" ref="G130:G193" si="2">IF(F130=M130,1,0)</f>
        <v>0</v>
      </c>
      <c r="H130" s="24"/>
      <c r="K130" s="5">
        <v>1</v>
      </c>
      <c r="L130" s="5">
        <v>1</v>
      </c>
      <c r="M130" s="5">
        <v>1</v>
      </c>
      <c r="N130" s="5" t="s">
        <v>1016</v>
      </c>
      <c r="O130" s="5" t="s">
        <v>305</v>
      </c>
      <c r="P130" s="5" t="s">
        <v>142</v>
      </c>
      <c r="Q130" s="5" t="s">
        <v>163</v>
      </c>
      <c r="S130">
        <v>4</v>
      </c>
      <c r="T130">
        <v>1</v>
      </c>
      <c r="U130">
        <v>0</v>
      </c>
      <c r="V130" t="str">
        <v>LEONARDEZ FLOBERT GUNAWAN</v>
      </c>
      <c r="W130" t="str">
        <v>535220097</v>
      </c>
      <c r="X130" t="str">
        <v>Stupen</v>
      </c>
    </row>
    <row r="131" spans="1:24" ht="42.6" customHeight="1" x14ac:dyDescent="0.2">
      <c r="A131" s="8">
        <v>1</v>
      </c>
      <c r="B131" s="8">
        <v>2</v>
      </c>
      <c r="C131" s="8">
        <v>1</v>
      </c>
      <c r="D131" s="3">
        <v>535220121</v>
      </c>
      <c r="E131" s="3" t="s">
        <v>142</v>
      </c>
      <c r="F131" t="s">
        <v>165</v>
      </c>
      <c r="G131" s="25">
        <f t="shared" si="2"/>
        <v>0</v>
      </c>
      <c r="H131" s="24"/>
      <c r="K131" s="5">
        <v>1</v>
      </c>
      <c r="L131" s="5">
        <v>1</v>
      </c>
      <c r="M131" s="5">
        <v>1</v>
      </c>
      <c r="N131" s="5" t="s">
        <v>1017</v>
      </c>
      <c r="O131" s="5" t="s">
        <v>306</v>
      </c>
      <c r="P131" s="5" t="s">
        <v>142</v>
      </c>
      <c r="Q131" s="5" t="s">
        <v>163</v>
      </c>
      <c r="S131">
        <v>4</v>
      </c>
      <c r="T131">
        <v>1</v>
      </c>
      <c r="U131">
        <v>0</v>
      </c>
      <c r="V131" t="str">
        <v>STEPHEN YOHANES CHRISTOPHER</v>
      </c>
      <c r="W131" t="str">
        <v>535220105</v>
      </c>
      <c r="X131" t="str">
        <v>Stupen</v>
      </c>
    </row>
    <row r="132" spans="1:24" ht="44.1" customHeight="1" x14ac:dyDescent="0.2">
      <c r="A132" s="8">
        <v>2</v>
      </c>
      <c r="B132" s="8">
        <v>2</v>
      </c>
      <c r="C132" s="8">
        <v>1</v>
      </c>
      <c r="D132" s="3">
        <v>535220021</v>
      </c>
      <c r="E132" s="3" t="s">
        <v>142</v>
      </c>
      <c r="F132" t="s">
        <v>163</v>
      </c>
      <c r="G132" s="25">
        <f t="shared" si="2"/>
        <v>0</v>
      </c>
      <c r="H132" s="24"/>
      <c r="K132" s="5">
        <v>1</v>
      </c>
      <c r="L132" s="5">
        <v>1</v>
      </c>
      <c r="M132" s="5">
        <v>2</v>
      </c>
      <c r="N132" s="5" t="s">
        <v>1018</v>
      </c>
      <c r="O132" s="5" t="s">
        <v>307</v>
      </c>
      <c r="P132" s="5" t="s">
        <v>142</v>
      </c>
      <c r="Q132" s="5" t="s">
        <v>156</v>
      </c>
      <c r="S132">
        <v>5</v>
      </c>
      <c r="T132">
        <v>1</v>
      </c>
      <c r="U132">
        <v>0</v>
      </c>
      <c r="V132" t="str">
        <v>JONATHAN KENNEDY TORSANDY</v>
      </c>
      <c r="W132" t="str">
        <v>535220127</v>
      </c>
      <c r="X132" t="str">
        <v>Stupen</v>
      </c>
    </row>
    <row r="133" spans="1:24" ht="44.1" customHeight="1" x14ac:dyDescent="0.2">
      <c r="A133" s="8">
        <v>2</v>
      </c>
      <c r="B133" s="8">
        <v>2</v>
      </c>
      <c r="C133" s="8">
        <v>1</v>
      </c>
      <c r="D133" s="3">
        <v>535220050</v>
      </c>
      <c r="E133" s="3" t="s">
        <v>142</v>
      </c>
      <c r="F133" t="s">
        <v>163</v>
      </c>
      <c r="G133" s="25">
        <f t="shared" si="2"/>
        <v>0</v>
      </c>
      <c r="H133" s="24"/>
      <c r="K133" s="5">
        <v>1</v>
      </c>
      <c r="L133" s="5">
        <v>1</v>
      </c>
      <c r="M133" s="5">
        <v>2</v>
      </c>
      <c r="N133" s="5" t="s">
        <v>1019</v>
      </c>
      <c r="O133" s="5" t="s">
        <v>308</v>
      </c>
      <c r="P133" s="5" t="s">
        <v>142</v>
      </c>
      <c r="Q133" s="5" t="s">
        <v>156</v>
      </c>
      <c r="S133">
        <v>5</v>
      </c>
      <c r="T133">
        <v>1</v>
      </c>
      <c r="U133">
        <v>0</v>
      </c>
      <c r="V133" t="str">
        <v>MARYANTO</v>
      </c>
      <c r="W133" t="str">
        <v>535220130</v>
      </c>
      <c r="X133" t="str">
        <v>Stupen</v>
      </c>
    </row>
    <row r="134" spans="1:24" ht="42.95" customHeight="1" x14ac:dyDescent="0.2">
      <c r="A134" s="8">
        <v>2</v>
      </c>
      <c r="B134" s="8">
        <v>2</v>
      </c>
      <c r="C134" s="8">
        <v>1</v>
      </c>
      <c r="D134" s="3">
        <v>535220076</v>
      </c>
      <c r="E134" s="3" t="s">
        <v>142</v>
      </c>
      <c r="F134" t="s">
        <v>163</v>
      </c>
      <c r="G134" s="25">
        <f t="shared" si="2"/>
        <v>0</v>
      </c>
      <c r="H134" s="24"/>
      <c r="K134" s="5">
        <v>1</v>
      </c>
      <c r="L134" s="5">
        <v>1</v>
      </c>
      <c r="M134" s="5">
        <v>2</v>
      </c>
      <c r="N134" s="5" t="s">
        <v>1020</v>
      </c>
      <c r="O134" s="5" t="s">
        <v>309</v>
      </c>
      <c r="P134" s="5" t="s">
        <v>142</v>
      </c>
      <c r="Q134" s="5" t="s">
        <v>156</v>
      </c>
      <c r="S134">
        <v>5</v>
      </c>
      <c r="T134">
        <v>1</v>
      </c>
      <c r="U134">
        <v>0</v>
      </c>
      <c r="V134" t="str">
        <v>CARISHA PUSPA GOZALI</v>
      </c>
      <c r="W134" t="str">
        <v>535220185</v>
      </c>
      <c r="X134" t="str">
        <v>Mengajar</v>
      </c>
    </row>
    <row r="135" spans="1:24" ht="44.1" customHeight="1" x14ac:dyDescent="0.2">
      <c r="A135" s="8">
        <v>2</v>
      </c>
      <c r="B135" s="8">
        <v>2</v>
      </c>
      <c r="C135" s="8">
        <v>1</v>
      </c>
      <c r="D135" s="3">
        <v>535220172</v>
      </c>
      <c r="E135" s="3" t="s">
        <v>142</v>
      </c>
      <c r="F135" t="s">
        <v>163</v>
      </c>
      <c r="G135" s="25">
        <f t="shared" si="2"/>
        <v>0</v>
      </c>
      <c r="H135" s="24"/>
      <c r="K135" s="5">
        <v>1</v>
      </c>
      <c r="L135" s="5">
        <v>1</v>
      </c>
      <c r="M135" s="5">
        <v>2</v>
      </c>
      <c r="N135" s="5" t="s">
        <v>1021</v>
      </c>
      <c r="O135" s="5" t="s">
        <v>310</v>
      </c>
      <c r="P135" s="5" t="s">
        <v>147</v>
      </c>
      <c r="Q135" s="5" t="s">
        <v>156</v>
      </c>
      <c r="S135">
        <v>5</v>
      </c>
      <c r="T135">
        <v>1</v>
      </c>
      <c r="U135">
        <v>0</v>
      </c>
      <c r="V135" t="str">
        <v>RYAN SATRIA</v>
      </c>
      <c r="W135" t="str">
        <v>535220190</v>
      </c>
      <c r="X135" t="str">
        <v>Mengajar</v>
      </c>
    </row>
    <row r="136" spans="1:24" ht="33" customHeight="1" x14ac:dyDescent="0.2">
      <c r="A136" s="8">
        <v>2</v>
      </c>
      <c r="B136" s="8">
        <v>2</v>
      </c>
      <c r="C136" s="8">
        <v>1</v>
      </c>
      <c r="D136" s="4">
        <v>535220173</v>
      </c>
      <c r="E136" s="3" t="s">
        <v>142</v>
      </c>
      <c r="F136" t="s">
        <v>163</v>
      </c>
      <c r="G136" s="25">
        <f t="shared" si="2"/>
        <v>0</v>
      </c>
      <c r="H136" s="24"/>
      <c r="K136" s="5">
        <v>1</v>
      </c>
      <c r="L136" s="5">
        <v>1</v>
      </c>
      <c r="M136" s="5">
        <v>2</v>
      </c>
      <c r="N136" s="5" t="s">
        <v>1022</v>
      </c>
      <c r="O136" s="5" t="s">
        <v>311</v>
      </c>
      <c r="P136" s="5" t="s">
        <v>147</v>
      </c>
      <c r="Q136" s="5" t="s">
        <v>156</v>
      </c>
      <c r="S136">
        <v>5</v>
      </c>
      <c r="T136">
        <v>1</v>
      </c>
      <c r="U136">
        <v>0</v>
      </c>
      <c r="V136" t="str">
        <v>ADANG IRAWAN</v>
      </c>
      <c r="W136" t="str">
        <v>535220192</v>
      </c>
      <c r="X136" t="str">
        <v>Mengajar</v>
      </c>
    </row>
    <row r="137" spans="1:24" ht="42.6" customHeight="1" x14ac:dyDescent="0.2">
      <c r="A137" s="8">
        <v>3</v>
      </c>
      <c r="B137" s="8">
        <v>2</v>
      </c>
      <c r="C137" s="8">
        <v>1</v>
      </c>
      <c r="D137" s="3">
        <v>535220013</v>
      </c>
      <c r="E137" s="3" t="s">
        <v>142</v>
      </c>
      <c r="F137" t="s">
        <v>157</v>
      </c>
      <c r="G137" s="25">
        <f t="shared" si="2"/>
        <v>0</v>
      </c>
      <c r="H137" s="24"/>
      <c r="K137" s="5">
        <v>2</v>
      </c>
      <c r="L137" s="5">
        <v>1</v>
      </c>
      <c r="M137" s="5">
        <v>0</v>
      </c>
      <c r="N137" s="5" t="s">
        <v>1023</v>
      </c>
      <c r="O137" s="5" t="s">
        <v>312</v>
      </c>
      <c r="P137" s="5" t="s">
        <v>143</v>
      </c>
      <c r="Q137" s="5" t="s">
        <v>162</v>
      </c>
      <c r="S137">
        <v>6</v>
      </c>
      <c r="T137">
        <v>1</v>
      </c>
      <c r="U137">
        <v>0</v>
      </c>
      <c r="V137" t="str">
        <v>TIGA WIRA PRASIDYA</v>
      </c>
      <c r="W137" t="str">
        <v>535220227</v>
      </c>
      <c r="X137" t="str">
        <v>Mengajar</v>
      </c>
    </row>
    <row r="138" spans="1:24" ht="44.1" customHeight="1" x14ac:dyDescent="0.2">
      <c r="A138" s="8">
        <v>3</v>
      </c>
      <c r="B138" s="8">
        <v>2</v>
      </c>
      <c r="C138" s="8">
        <v>1</v>
      </c>
      <c r="D138" s="3">
        <v>535220033</v>
      </c>
      <c r="E138" s="3" t="s">
        <v>142</v>
      </c>
      <c r="F138" t="s">
        <v>157</v>
      </c>
      <c r="G138" s="25">
        <f t="shared" si="2"/>
        <v>0</v>
      </c>
      <c r="H138" s="24"/>
      <c r="K138" s="5">
        <v>2</v>
      </c>
      <c r="L138" s="5">
        <v>1</v>
      </c>
      <c r="M138" s="5">
        <v>0</v>
      </c>
      <c r="N138" s="5" t="s">
        <v>1024</v>
      </c>
      <c r="O138" s="5" t="s">
        <v>313</v>
      </c>
      <c r="P138" s="5" t="s">
        <v>143</v>
      </c>
      <c r="Q138" s="5" t="s">
        <v>162</v>
      </c>
      <c r="S138">
        <v>6</v>
      </c>
      <c r="T138">
        <v>1</v>
      </c>
      <c r="U138">
        <v>0</v>
      </c>
      <c r="V138" t="str">
        <v>STEVEN LUCIO AUSTEN</v>
      </c>
      <c r="W138" t="str">
        <v>825220001</v>
      </c>
      <c r="X138" t="str">
        <v>Mengajar</v>
      </c>
    </row>
    <row r="139" spans="1:24" ht="42.95" customHeight="1" x14ac:dyDescent="0.2">
      <c r="A139" s="8">
        <v>3</v>
      </c>
      <c r="B139" s="8">
        <v>2</v>
      </c>
      <c r="C139" s="8">
        <v>1</v>
      </c>
      <c r="D139" s="3">
        <v>535220044</v>
      </c>
      <c r="E139" s="3" t="s">
        <v>142</v>
      </c>
      <c r="F139" t="s">
        <v>157</v>
      </c>
      <c r="G139" s="25">
        <f t="shared" si="2"/>
        <v>0</v>
      </c>
      <c r="H139" s="24"/>
      <c r="K139" s="5">
        <v>2</v>
      </c>
      <c r="L139" s="5">
        <v>1</v>
      </c>
      <c r="M139" s="5">
        <v>0</v>
      </c>
      <c r="N139" s="5" t="s">
        <v>1025</v>
      </c>
      <c r="O139" s="5" t="s">
        <v>314</v>
      </c>
      <c r="P139" s="5" t="s">
        <v>143</v>
      </c>
      <c r="Q139" s="5" t="s">
        <v>162</v>
      </c>
      <c r="S139">
        <v>6</v>
      </c>
      <c r="T139">
        <v>1</v>
      </c>
      <c r="U139">
        <v>0</v>
      </c>
      <c r="V139" t="str">
        <v>KENAZ REISHA</v>
      </c>
      <c r="W139" t="str">
        <v>825220029</v>
      </c>
      <c r="X139" t="str">
        <v>Mengajar</v>
      </c>
    </row>
    <row r="140" spans="1:24" ht="44.1" customHeight="1" x14ac:dyDescent="0.2">
      <c r="A140" s="8">
        <v>3</v>
      </c>
      <c r="B140" s="8">
        <v>2</v>
      </c>
      <c r="C140" s="8">
        <v>1</v>
      </c>
      <c r="D140" s="3">
        <v>535220075</v>
      </c>
      <c r="E140" s="3" t="s">
        <v>142</v>
      </c>
      <c r="F140" t="s">
        <v>157</v>
      </c>
      <c r="G140" s="25">
        <f t="shared" si="2"/>
        <v>0</v>
      </c>
      <c r="H140" s="24"/>
      <c r="K140" s="5">
        <v>2</v>
      </c>
      <c r="L140" s="5">
        <v>1</v>
      </c>
      <c r="M140" s="5">
        <v>0</v>
      </c>
      <c r="N140" s="5" t="s">
        <v>1026</v>
      </c>
      <c r="O140" s="5" t="s">
        <v>315</v>
      </c>
      <c r="P140" s="5" t="s">
        <v>143</v>
      </c>
      <c r="Q140" s="5" t="s">
        <v>162</v>
      </c>
      <c r="S140">
        <v>6</v>
      </c>
      <c r="T140">
        <v>1</v>
      </c>
      <c r="U140">
        <v>0</v>
      </c>
      <c r="V140" t="str">
        <v>VINCENTIUS</v>
      </c>
      <c r="W140" t="str">
        <v>825220030</v>
      </c>
      <c r="X140" t="str">
        <v>Mengajar</v>
      </c>
    </row>
    <row r="141" spans="1:24" ht="43.7" customHeight="1" x14ac:dyDescent="0.2">
      <c r="A141" s="8">
        <v>3</v>
      </c>
      <c r="B141" s="8">
        <v>2</v>
      </c>
      <c r="C141" s="8">
        <v>1</v>
      </c>
      <c r="D141" s="3">
        <v>535220090</v>
      </c>
      <c r="E141" s="3" t="s">
        <v>142</v>
      </c>
      <c r="F141" t="s">
        <v>157</v>
      </c>
      <c r="G141" s="25">
        <f t="shared" si="2"/>
        <v>0</v>
      </c>
      <c r="H141" s="24"/>
      <c r="K141" s="5">
        <v>2</v>
      </c>
      <c r="L141" s="5">
        <v>1</v>
      </c>
      <c r="M141" s="5">
        <v>0</v>
      </c>
      <c r="N141" s="5" t="s">
        <v>1027</v>
      </c>
      <c r="O141" s="5" t="s">
        <v>316</v>
      </c>
      <c r="P141" s="5" t="s">
        <v>143</v>
      </c>
      <c r="Q141" s="5" t="s">
        <v>162</v>
      </c>
      <c r="S141">
        <v>6</v>
      </c>
      <c r="T141">
        <v>1</v>
      </c>
      <c r="U141">
        <v>0</v>
      </c>
      <c r="V141" t="str">
        <v xml:space="preserve">CECILLIA CHUNG </v>
      </c>
      <c r="W141" t="str">
        <v>825220069</v>
      </c>
      <c r="X141" t="str">
        <v>Mengajar</v>
      </c>
    </row>
    <row r="142" spans="1:24" ht="44.1" customHeight="1" x14ac:dyDescent="0.2">
      <c r="A142" s="8">
        <v>0</v>
      </c>
      <c r="B142" s="8">
        <v>2</v>
      </c>
      <c r="C142" s="8">
        <v>2</v>
      </c>
      <c r="D142" s="3">
        <v>825220125</v>
      </c>
      <c r="E142" s="3" t="s">
        <v>142</v>
      </c>
      <c r="F142" t="s">
        <v>155</v>
      </c>
      <c r="G142" s="25">
        <f t="shared" si="2"/>
        <v>0</v>
      </c>
      <c r="H142" s="24"/>
      <c r="K142" s="5">
        <v>2</v>
      </c>
      <c r="L142" s="5">
        <v>1</v>
      </c>
      <c r="M142" s="5">
        <v>1</v>
      </c>
      <c r="N142" s="5" t="s">
        <v>1028</v>
      </c>
      <c r="O142" s="5" t="s">
        <v>317</v>
      </c>
      <c r="P142" s="5" t="s">
        <v>147</v>
      </c>
      <c r="Q142" s="5" t="s">
        <v>156</v>
      </c>
      <c r="S142">
        <v>0</v>
      </c>
      <c r="T142">
        <v>1</v>
      </c>
      <c r="U142">
        <v>1</v>
      </c>
      <c r="V142" t="str">
        <v>NELSON</v>
      </c>
      <c r="W142" t="str">
        <v>535220021</v>
      </c>
      <c r="X142" t="str">
        <v>Magang</v>
      </c>
    </row>
    <row r="143" spans="1:24" ht="42.95" customHeight="1" x14ac:dyDescent="0.2">
      <c r="A143" s="8">
        <v>0</v>
      </c>
      <c r="B143" s="8">
        <v>2</v>
      </c>
      <c r="C143" s="8">
        <v>2</v>
      </c>
      <c r="D143" s="3">
        <v>825220135</v>
      </c>
      <c r="E143" s="3" t="s">
        <v>142</v>
      </c>
      <c r="F143" t="s">
        <v>155</v>
      </c>
      <c r="G143" s="25">
        <f t="shared" si="2"/>
        <v>0</v>
      </c>
      <c r="H143" s="24"/>
      <c r="K143" s="5">
        <v>2</v>
      </c>
      <c r="L143" s="5">
        <v>1</v>
      </c>
      <c r="M143" s="5">
        <v>1</v>
      </c>
      <c r="N143" s="5" t="s">
        <v>1029</v>
      </c>
      <c r="O143" s="5" t="s">
        <v>318</v>
      </c>
      <c r="P143" s="5" t="s">
        <v>147</v>
      </c>
      <c r="Q143" s="5" t="s">
        <v>156</v>
      </c>
      <c r="S143">
        <v>0</v>
      </c>
      <c r="T143">
        <v>1</v>
      </c>
      <c r="U143">
        <v>1</v>
      </c>
      <c r="V143" t="str">
        <v>OLIVIA CLARABELLA KHOTIERA</v>
      </c>
      <c r="W143" t="str">
        <v>535220050</v>
      </c>
      <c r="X143" t="str">
        <v>Magang</v>
      </c>
    </row>
    <row r="144" spans="1:24" ht="44.1" customHeight="1" x14ac:dyDescent="0.2">
      <c r="A144" s="8">
        <v>0</v>
      </c>
      <c r="B144" s="8">
        <v>2</v>
      </c>
      <c r="C144" s="8">
        <v>2</v>
      </c>
      <c r="D144" s="3">
        <v>825220136</v>
      </c>
      <c r="E144" s="3" t="s">
        <v>142</v>
      </c>
      <c r="F144" t="s">
        <v>155</v>
      </c>
      <c r="G144" s="25">
        <f t="shared" si="2"/>
        <v>0</v>
      </c>
      <c r="H144" s="24"/>
      <c r="K144" s="5">
        <v>2</v>
      </c>
      <c r="L144" s="5">
        <v>1</v>
      </c>
      <c r="M144" s="5">
        <v>1</v>
      </c>
      <c r="N144" s="5" t="s">
        <v>1030</v>
      </c>
      <c r="O144" s="5" t="s">
        <v>319</v>
      </c>
      <c r="P144" s="5" t="s">
        <v>142</v>
      </c>
      <c r="Q144" s="5" t="s">
        <v>164</v>
      </c>
      <c r="S144">
        <v>0</v>
      </c>
      <c r="T144">
        <v>1</v>
      </c>
      <c r="U144">
        <v>1</v>
      </c>
      <c r="V144" t="str">
        <v>ELSIE</v>
      </c>
      <c r="W144" t="str">
        <v>535220076</v>
      </c>
      <c r="X144" t="str">
        <v>Magang</v>
      </c>
    </row>
    <row r="145" spans="1:24" ht="44.1" customHeight="1" x14ac:dyDescent="0.2">
      <c r="A145" s="8">
        <v>0</v>
      </c>
      <c r="B145" s="8">
        <v>2</v>
      </c>
      <c r="C145" s="8">
        <v>2</v>
      </c>
      <c r="D145" s="3">
        <v>825220003</v>
      </c>
      <c r="E145" s="3" t="s">
        <v>142</v>
      </c>
      <c r="F145" t="s">
        <v>161</v>
      </c>
      <c r="G145" s="25">
        <f t="shared" si="2"/>
        <v>0</v>
      </c>
      <c r="H145" s="24"/>
      <c r="K145" s="5">
        <v>2</v>
      </c>
      <c r="L145" s="5">
        <v>1</v>
      </c>
      <c r="M145" s="5">
        <v>1</v>
      </c>
      <c r="N145" s="5" t="s">
        <v>1031</v>
      </c>
      <c r="O145" s="5" t="s">
        <v>320</v>
      </c>
      <c r="P145" s="5" t="s">
        <v>142</v>
      </c>
      <c r="Q145" s="5" t="s">
        <v>164</v>
      </c>
      <c r="S145">
        <v>0</v>
      </c>
      <c r="T145">
        <v>1</v>
      </c>
      <c r="U145">
        <v>1</v>
      </c>
      <c r="V145" t="str">
        <v>ASRUL ALIF FATIHAH</v>
      </c>
      <c r="W145" t="str">
        <v>535220172</v>
      </c>
      <c r="X145" t="str">
        <v>Magang</v>
      </c>
    </row>
    <row r="146" spans="1:24" ht="43.5" customHeight="1" x14ac:dyDescent="0.2">
      <c r="A146" s="8">
        <v>0</v>
      </c>
      <c r="B146" s="8">
        <v>2</v>
      </c>
      <c r="C146" s="8">
        <v>2</v>
      </c>
      <c r="D146" s="3">
        <v>825220014</v>
      </c>
      <c r="E146" s="3" t="s">
        <v>142</v>
      </c>
      <c r="F146" t="s">
        <v>161</v>
      </c>
      <c r="G146" s="25">
        <f t="shared" si="2"/>
        <v>0</v>
      </c>
      <c r="H146" s="24"/>
      <c r="K146" s="5">
        <v>2</v>
      </c>
      <c r="L146" s="5">
        <v>1</v>
      </c>
      <c r="M146" s="5">
        <v>1</v>
      </c>
      <c r="N146" s="5" t="s">
        <v>1032</v>
      </c>
      <c r="O146" s="5" t="s">
        <v>321</v>
      </c>
      <c r="P146" s="5" t="s">
        <v>142</v>
      </c>
      <c r="Q146" s="5" t="s">
        <v>164</v>
      </c>
      <c r="S146">
        <v>0</v>
      </c>
      <c r="T146">
        <v>1</v>
      </c>
      <c r="U146">
        <v>1</v>
      </c>
      <c r="V146" t="str">
        <v xml:space="preserve">GEORGE WEILIS JUNIOR </v>
      </c>
      <c r="W146" t="str">
        <v>535220173</v>
      </c>
      <c r="X146" t="str">
        <v>Magang</v>
      </c>
    </row>
    <row r="147" spans="1:24" ht="42.95" customHeight="1" x14ac:dyDescent="0.2">
      <c r="A147" s="8">
        <v>1</v>
      </c>
      <c r="B147" s="8">
        <v>2</v>
      </c>
      <c r="C147" s="8">
        <v>2</v>
      </c>
      <c r="D147" s="3">
        <v>825220019</v>
      </c>
      <c r="E147" s="3" t="s">
        <v>142</v>
      </c>
      <c r="F147" t="s">
        <v>161</v>
      </c>
      <c r="G147" s="25">
        <f t="shared" si="2"/>
        <v>0</v>
      </c>
      <c r="H147" s="24"/>
      <c r="K147" s="5">
        <v>2</v>
      </c>
      <c r="L147" s="5">
        <v>1</v>
      </c>
      <c r="M147" s="5">
        <v>2</v>
      </c>
      <c r="N147" s="5" t="s">
        <v>1033</v>
      </c>
      <c r="O147" s="5" t="s">
        <v>322</v>
      </c>
      <c r="P147" s="5" t="s">
        <v>142</v>
      </c>
      <c r="Q147" s="5" t="s">
        <v>157</v>
      </c>
      <c r="S147">
        <v>1</v>
      </c>
      <c r="T147">
        <v>1</v>
      </c>
      <c r="U147">
        <v>1</v>
      </c>
      <c r="V147" t="str">
        <v>MUHAMMAD SYAUQI RASYID</v>
      </c>
      <c r="W147" t="str">
        <v>535220221</v>
      </c>
      <c r="X147" t="str">
        <v>Magang</v>
      </c>
    </row>
    <row r="148" spans="1:24" ht="44.1" customHeight="1" x14ac:dyDescent="0.2">
      <c r="A148" s="8">
        <v>1</v>
      </c>
      <c r="B148" s="8">
        <v>2</v>
      </c>
      <c r="C148" s="8">
        <v>2</v>
      </c>
      <c r="D148" s="3">
        <v>825220036</v>
      </c>
      <c r="E148" s="3" t="s">
        <v>142</v>
      </c>
      <c r="F148" t="s">
        <v>161</v>
      </c>
      <c r="G148" s="25">
        <f t="shared" si="2"/>
        <v>0</v>
      </c>
      <c r="H148" s="24"/>
      <c r="K148" s="5">
        <v>2</v>
      </c>
      <c r="L148" s="5">
        <v>1</v>
      </c>
      <c r="M148" s="5">
        <v>2</v>
      </c>
      <c r="N148" s="5" t="s">
        <v>1034</v>
      </c>
      <c r="O148" s="5" t="s">
        <v>323</v>
      </c>
      <c r="P148" s="5" t="s">
        <v>142</v>
      </c>
      <c r="Q148" s="5" t="s">
        <v>157</v>
      </c>
      <c r="S148">
        <v>1</v>
      </c>
      <c r="T148">
        <v>1</v>
      </c>
      <c r="U148">
        <v>1</v>
      </c>
      <c r="V148" t="str">
        <v>RAFFI CAHYA TRIAPUTRA YASIN</v>
      </c>
      <c r="W148" t="str">
        <v>535220224</v>
      </c>
      <c r="X148" t="str">
        <v>Magang</v>
      </c>
    </row>
    <row r="149" spans="1:24" ht="42.95" customHeight="1" x14ac:dyDescent="0.2">
      <c r="A149" s="8">
        <v>1</v>
      </c>
      <c r="B149" s="8">
        <v>2</v>
      </c>
      <c r="C149" s="8">
        <v>2</v>
      </c>
      <c r="D149" s="3">
        <v>825220062</v>
      </c>
      <c r="E149" s="3" t="s">
        <v>142</v>
      </c>
      <c r="F149" t="s">
        <v>161</v>
      </c>
      <c r="G149" s="25">
        <f t="shared" si="2"/>
        <v>0</v>
      </c>
      <c r="H149" s="24"/>
      <c r="K149" s="5">
        <v>2</v>
      </c>
      <c r="L149" s="5">
        <v>1</v>
      </c>
      <c r="M149" s="5">
        <v>2</v>
      </c>
      <c r="N149" s="5" t="s">
        <v>1035</v>
      </c>
      <c r="O149" s="5" t="s">
        <v>324</v>
      </c>
      <c r="P149" s="5" t="s">
        <v>142</v>
      </c>
      <c r="Q149" s="5" t="s">
        <v>157</v>
      </c>
      <c r="S149">
        <v>1</v>
      </c>
      <c r="T149">
        <v>1</v>
      </c>
      <c r="U149">
        <v>1</v>
      </c>
      <c r="V149" t="str">
        <v>JONATHAN SETIAWAN</v>
      </c>
      <c r="W149" t="str">
        <v>535220234</v>
      </c>
      <c r="X149" t="str">
        <v>Magang</v>
      </c>
    </row>
    <row r="150" spans="1:24" ht="44.1" customHeight="1" x14ac:dyDescent="0.2">
      <c r="A150" s="8">
        <v>1</v>
      </c>
      <c r="B150" s="8">
        <v>2</v>
      </c>
      <c r="C150" s="8">
        <v>2</v>
      </c>
      <c r="D150" s="3">
        <v>825220120</v>
      </c>
      <c r="E150" s="3" t="s">
        <v>142</v>
      </c>
      <c r="F150" t="s">
        <v>161</v>
      </c>
      <c r="G150" s="25">
        <f t="shared" si="2"/>
        <v>0</v>
      </c>
      <c r="H150" s="24"/>
      <c r="K150" s="5">
        <v>2</v>
      </c>
      <c r="L150" s="5">
        <v>1</v>
      </c>
      <c r="M150" s="5">
        <v>2</v>
      </c>
      <c r="N150" s="5" t="s">
        <v>1036</v>
      </c>
      <c r="O150" s="5" t="s">
        <v>325</v>
      </c>
      <c r="P150" s="5" t="s">
        <v>142</v>
      </c>
      <c r="Q150" s="5" t="s">
        <v>157</v>
      </c>
      <c r="S150">
        <v>1</v>
      </c>
      <c r="T150">
        <v>1</v>
      </c>
      <c r="U150">
        <v>1</v>
      </c>
      <c r="V150" t="str">
        <v>CHRISTOPHER TITAN</v>
      </c>
      <c r="W150" t="str">
        <v>535220242</v>
      </c>
      <c r="X150" t="str">
        <v>Magang</v>
      </c>
    </row>
    <row r="151" spans="1:24" ht="42.6" customHeight="1" x14ac:dyDescent="0.2">
      <c r="A151" s="8">
        <v>1</v>
      </c>
      <c r="B151" s="8">
        <v>2</v>
      </c>
      <c r="C151" s="8">
        <v>2</v>
      </c>
      <c r="D151" s="3">
        <v>825220134</v>
      </c>
      <c r="E151" s="3" t="s">
        <v>142</v>
      </c>
      <c r="F151" t="s">
        <v>161</v>
      </c>
      <c r="G151" s="25">
        <f t="shared" si="2"/>
        <v>0</v>
      </c>
      <c r="H151" s="24"/>
      <c r="K151" s="5">
        <v>2</v>
      </c>
      <c r="L151" s="5">
        <v>1</v>
      </c>
      <c r="M151" s="5">
        <v>2</v>
      </c>
      <c r="N151" s="5" t="s">
        <v>1037</v>
      </c>
      <c r="O151" s="5" t="s">
        <v>326</v>
      </c>
      <c r="P151" s="5" t="s">
        <v>142</v>
      </c>
      <c r="Q151" s="5" t="s">
        <v>157</v>
      </c>
      <c r="S151">
        <v>1</v>
      </c>
      <c r="T151">
        <v>1</v>
      </c>
      <c r="U151">
        <v>1</v>
      </c>
      <c r="V151" t="str">
        <v>BENAYA JUANDA</v>
      </c>
      <c r="W151" t="str">
        <v>535220266</v>
      </c>
      <c r="X151" t="str">
        <v>Magang</v>
      </c>
    </row>
    <row r="152" spans="1:24" ht="44.1" customHeight="1" x14ac:dyDescent="0.2">
      <c r="A152" s="8">
        <v>2</v>
      </c>
      <c r="B152" s="8">
        <v>2</v>
      </c>
      <c r="C152" s="8">
        <v>2</v>
      </c>
      <c r="D152" s="3">
        <v>825220155</v>
      </c>
      <c r="E152" s="3" t="s">
        <v>142</v>
      </c>
      <c r="F152" t="s">
        <v>161</v>
      </c>
      <c r="G152" s="25">
        <f t="shared" si="2"/>
        <v>0</v>
      </c>
      <c r="H152" s="24"/>
      <c r="K152" s="5">
        <v>3</v>
      </c>
      <c r="L152" s="5">
        <v>1</v>
      </c>
      <c r="M152" s="5">
        <v>0</v>
      </c>
      <c r="N152" s="5" t="s">
        <v>1038</v>
      </c>
      <c r="O152" s="5" t="s">
        <v>327</v>
      </c>
      <c r="P152" s="5" t="s">
        <v>143</v>
      </c>
      <c r="Q152" s="5" t="s">
        <v>162</v>
      </c>
      <c r="S152">
        <v>2</v>
      </c>
      <c r="T152">
        <v>1</v>
      </c>
      <c r="U152">
        <v>1</v>
      </c>
      <c r="V152" t="str">
        <v>MUHAMMAD HAFIZH MULYANSYAH</v>
      </c>
      <c r="W152" t="str">
        <v>535220229</v>
      </c>
      <c r="X152" t="str">
        <v>Wirausaha</v>
      </c>
    </row>
    <row r="153" spans="1:24" ht="44.1" customHeight="1" x14ac:dyDescent="0.2">
      <c r="A153" s="8">
        <v>2</v>
      </c>
      <c r="B153" s="8">
        <v>2</v>
      </c>
      <c r="C153" s="8">
        <v>2</v>
      </c>
      <c r="D153" s="3">
        <v>825220182</v>
      </c>
      <c r="E153" s="3" t="s">
        <v>142</v>
      </c>
      <c r="F153" t="s">
        <v>161</v>
      </c>
      <c r="G153" s="25">
        <f t="shared" si="2"/>
        <v>0</v>
      </c>
      <c r="H153" s="24"/>
      <c r="K153" s="5">
        <v>3</v>
      </c>
      <c r="L153" s="5">
        <v>1</v>
      </c>
      <c r="M153" s="5">
        <v>0</v>
      </c>
      <c r="N153" s="5" t="s">
        <v>1039</v>
      </c>
      <c r="O153" s="5" t="s">
        <v>328</v>
      </c>
      <c r="P153" s="5" t="s">
        <v>142</v>
      </c>
      <c r="Q153" s="5" t="s">
        <v>164</v>
      </c>
      <c r="S153">
        <v>2</v>
      </c>
      <c r="T153">
        <v>1</v>
      </c>
      <c r="U153">
        <v>1</v>
      </c>
      <c r="V153" t="str">
        <v>DIO FATURAMDANI</v>
      </c>
      <c r="W153" t="str">
        <v>825220022</v>
      </c>
      <c r="X153" t="str">
        <v>Wirausaha</v>
      </c>
    </row>
    <row r="154" spans="1:24" ht="42.95" customHeight="1" x14ac:dyDescent="0.2">
      <c r="A154" s="8">
        <v>2</v>
      </c>
      <c r="B154" s="8">
        <v>2</v>
      </c>
      <c r="C154" s="8">
        <v>2</v>
      </c>
      <c r="D154" s="3">
        <v>825249102</v>
      </c>
      <c r="E154" s="3" t="s">
        <v>142</v>
      </c>
      <c r="F154" t="s">
        <v>161</v>
      </c>
      <c r="G154" s="25">
        <f t="shared" si="2"/>
        <v>0</v>
      </c>
      <c r="H154" s="24"/>
      <c r="K154" s="5">
        <v>3</v>
      </c>
      <c r="L154" s="5">
        <v>1</v>
      </c>
      <c r="M154" s="5">
        <v>0</v>
      </c>
      <c r="N154" s="5" t="s">
        <v>1040</v>
      </c>
      <c r="O154" s="5" t="s">
        <v>329</v>
      </c>
      <c r="P154" s="5" t="s">
        <v>142</v>
      </c>
      <c r="Q154" s="5" t="s">
        <v>164</v>
      </c>
      <c r="S154">
        <v>2</v>
      </c>
      <c r="T154">
        <v>1</v>
      </c>
      <c r="U154">
        <v>1</v>
      </c>
      <c r="V154" t="str">
        <v>RICHARD SOUWIKO</v>
      </c>
      <c r="W154" t="str">
        <v>535220042</v>
      </c>
      <c r="X154" t="str">
        <v>Magang</v>
      </c>
    </row>
    <row r="155" spans="1:24" ht="44.1" customHeight="1" x14ac:dyDescent="0.2">
      <c r="A155" s="8">
        <v>2</v>
      </c>
      <c r="B155" s="8">
        <v>2</v>
      </c>
      <c r="C155" s="8">
        <v>2</v>
      </c>
      <c r="D155" s="3">
        <v>535220104</v>
      </c>
      <c r="E155" s="3" t="s">
        <v>142</v>
      </c>
      <c r="F155" t="s">
        <v>168</v>
      </c>
      <c r="G155" s="25">
        <f t="shared" si="2"/>
        <v>0</v>
      </c>
      <c r="H155" s="24"/>
      <c r="K155" s="5">
        <v>3</v>
      </c>
      <c r="L155" s="5">
        <v>1</v>
      </c>
      <c r="M155" s="5">
        <v>0</v>
      </c>
      <c r="N155" s="5" t="s">
        <v>1041</v>
      </c>
      <c r="O155" s="5" t="s">
        <v>330</v>
      </c>
      <c r="P155" s="5" t="s">
        <v>142</v>
      </c>
      <c r="Q155" s="5" t="s">
        <v>164</v>
      </c>
      <c r="S155">
        <v>2</v>
      </c>
      <c r="T155">
        <v>1</v>
      </c>
      <c r="U155">
        <v>1</v>
      </c>
      <c r="V155" t="str">
        <v>TIMOTY WAHYUDI PAKPAHAN</v>
      </c>
      <c r="W155" t="str">
        <v>535220043</v>
      </c>
      <c r="X155" t="str">
        <v>Magang</v>
      </c>
    </row>
    <row r="156" spans="1:24" ht="33" customHeight="1" x14ac:dyDescent="0.2">
      <c r="A156" s="17">
        <v>2</v>
      </c>
      <c r="B156" s="8">
        <v>2</v>
      </c>
      <c r="C156" s="8">
        <v>2</v>
      </c>
      <c r="D156" s="6">
        <v>535220164</v>
      </c>
      <c r="E156" s="3" t="s">
        <v>142</v>
      </c>
      <c r="F156" t="s">
        <v>168</v>
      </c>
      <c r="G156" s="25">
        <f t="shared" si="2"/>
        <v>0</v>
      </c>
      <c r="H156" s="24"/>
      <c r="K156" s="5">
        <v>3</v>
      </c>
      <c r="L156" s="5">
        <v>1</v>
      </c>
      <c r="M156" s="5">
        <v>0</v>
      </c>
      <c r="N156" s="5" t="s">
        <v>1042</v>
      </c>
      <c r="O156" s="5" t="s">
        <v>331</v>
      </c>
      <c r="P156" s="5" t="s">
        <v>142</v>
      </c>
      <c r="Q156" s="5" t="s">
        <v>164</v>
      </c>
      <c r="S156">
        <v>2</v>
      </c>
      <c r="T156">
        <v>1</v>
      </c>
      <c r="U156">
        <v>1</v>
      </c>
      <c r="V156" t="str">
        <v>PAULINA AGUSIA</v>
      </c>
      <c r="W156" t="str">
        <v>535220048</v>
      </c>
      <c r="X156" t="str">
        <v>Magang</v>
      </c>
    </row>
    <row r="157" spans="1:24" ht="42.6" customHeight="1" x14ac:dyDescent="0.2">
      <c r="A157" s="8">
        <v>3</v>
      </c>
      <c r="B157" s="8">
        <v>2</v>
      </c>
      <c r="C157" s="8">
        <v>2</v>
      </c>
      <c r="D157" s="3">
        <v>535220165</v>
      </c>
      <c r="E157" s="3" t="s">
        <v>142</v>
      </c>
      <c r="F157" t="s">
        <v>168</v>
      </c>
      <c r="G157" s="25">
        <f t="shared" si="2"/>
        <v>0</v>
      </c>
      <c r="H157" s="24"/>
      <c r="K157" s="5">
        <v>3</v>
      </c>
      <c r="L157" s="5">
        <v>1</v>
      </c>
      <c r="M157" s="5">
        <v>1</v>
      </c>
      <c r="N157" s="5" t="s">
        <v>1043</v>
      </c>
      <c r="O157" s="5" t="s">
        <v>332</v>
      </c>
      <c r="P157" s="5" t="s">
        <v>142</v>
      </c>
      <c r="Q157" s="5" t="s">
        <v>157</v>
      </c>
      <c r="S157">
        <v>3</v>
      </c>
      <c r="T157">
        <v>1</v>
      </c>
      <c r="U157">
        <v>1</v>
      </c>
      <c r="V157" t="str">
        <v>SHAREEN STEPHANIE</v>
      </c>
      <c r="W157" t="str">
        <v>535220112</v>
      </c>
      <c r="X157" t="str">
        <v>Magang</v>
      </c>
    </row>
    <row r="158" spans="1:24" ht="44.1" customHeight="1" x14ac:dyDescent="0.2">
      <c r="A158" s="8">
        <v>3</v>
      </c>
      <c r="B158" s="8">
        <v>2</v>
      </c>
      <c r="C158" s="8">
        <v>2</v>
      </c>
      <c r="D158" s="3">
        <v>535220197</v>
      </c>
      <c r="E158" s="3" t="s">
        <v>142</v>
      </c>
      <c r="F158" t="s">
        <v>168</v>
      </c>
      <c r="G158" s="25">
        <f t="shared" si="2"/>
        <v>0</v>
      </c>
      <c r="H158" s="24"/>
      <c r="K158" s="5">
        <v>3</v>
      </c>
      <c r="L158" s="5">
        <v>1</v>
      </c>
      <c r="M158" s="5">
        <v>1</v>
      </c>
      <c r="N158" s="5" t="s">
        <v>1044</v>
      </c>
      <c r="O158" s="5" t="s">
        <v>333</v>
      </c>
      <c r="P158" s="5" t="s">
        <v>142</v>
      </c>
      <c r="Q158" s="5" t="s">
        <v>157</v>
      </c>
      <c r="S158">
        <v>3</v>
      </c>
      <c r="T158">
        <v>1</v>
      </c>
      <c r="U158">
        <v>1</v>
      </c>
      <c r="V158" t="str">
        <v>KELLY CHRISTELLA GYWEN</v>
      </c>
      <c r="W158" t="str">
        <v>535220207</v>
      </c>
      <c r="X158" t="str">
        <v>Magang</v>
      </c>
    </row>
    <row r="159" spans="1:24" ht="42.95" customHeight="1" x14ac:dyDescent="0.2">
      <c r="A159" s="8">
        <v>3</v>
      </c>
      <c r="B159" s="8">
        <v>2</v>
      </c>
      <c r="C159" s="8">
        <v>2</v>
      </c>
      <c r="D159" s="3">
        <v>535220201</v>
      </c>
      <c r="E159" s="3" t="s">
        <v>142</v>
      </c>
      <c r="F159" t="s">
        <v>168</v>
      </c>
      <c r="G159" s="25">
        <f t="shared" si="2"/>
        <v>0</v>
      </c>
      <c r="H159" s="24"/>
      <c r="K159" s="5">
        <v>3</v>
      </c>
      <c r="L159" s="5">
        <v>1</v>
      </c>
      <c r="M159" s="5">
        <v>1</v>
      </c>
      <c r="N159" s="5" t="s">
        <v>1045</v>
      </c>
      <c r="O159" s="5" t="s">
        <v>334</v>
      </c>
      <c r="P159" s="5" t="s">
        <v>142</v>
      </c>
      <c r="Q159" s="5" t="s">
        <v>157</v>
      </c>
      <c r="S159">
        <v>3</v>
      </c>
      <c r="T159">
        <v>1</v>
      </c>
      <c r="U159">
        <v>1</v>
      </c>
      <c r="V159" t="str">
        <v xml:space="preserve">YUDO ALFARISZI </v>
      </c>
      <c r="W159" t="str">
        <v>535220245</v>
      </c>
      <c r="X159" t="str">
        <v>Magang</v>
      </c>
    </row>
    <row r="160" spans="1:24" ht="44.1" customHeight="1" x14ac:dyDescent="0.2">
      <c r="A160" s="8">
        <v>3</v>
      </c>
      <c r="B160" s="8">
        <v>2</v>
      </c>
      <c r="C160" s="8">
        <v>2</v>
      </c>
      <c r="D160" s="3">
        <v>535229202</v>
      </c>
      <c r="E160" s="3" t="s">
        <v>142</v>
      </c>
      <c r="F160" t="s">
        <v>168</v>
      </c>
      <c r="G160" s="25">
        <f t="shared" si="2"/>
        <v>0</v>
      </c>
      <c r="H160" s="24"/>
      <c r="K160" s="5">
        <v>3</v>
      </c>
      <c r="L160" s="5">
        <v>1</v>
      </c>
      <c r="M160" s="5">
        <v>1</v>
      </c>
      <c r="N160" s="5" t="s">
        <v>1046</v>
      </c>
      <c r="O160" s="5" t="s">
        <v>335</v>
      </c>
      <c r="P160" s="5" t="s">
        <v>142</v>
      </c>
      <c r="Q160" s="5" t="s">
        <v>165</v>
      </c>
      <c r="S160">
        <v>3</v>
      </c>
      <c r="T160">
        <v>1</v>
      </c>
      <c r="U160">
        <v>1</v>
      </c>
      <c r="V160" t="str">
        <v>ERIKO LEVINO SASMITRA</v>
      </c>
      <c r="W160" t="str">
        <v>535220014</v>
      </c>
      <c r="X160" t="str">
        <v>Magang</v>
      </c>
    </row>
    <row r="161" spans="1:24" ht="43.7" customHeight="1" x14ac:dyDescent="0.2">
      <c r="A161" s="8">
        <v>3</v>
      </c>
      <c r="B161" s="8">
        <v>2</v>
      </c>
      <c r="C161" s="8">
        <v>2</v>
      </c>
      <c r="D161" s="3">
        <v>825220051</v>
      </c>
      <c r="E161" s="3" t="s">
        <v>142</v>
      </c>
      <c r="F161" t="s">
        <v>168</v>
      </c>
      <c r="G161" s="25">
        <f t="shared" si="2"/>
        <v>0</v>
      </c>
      <c r="H161" s="24"/>
      <c r="K161" s="5">
        <v>3</v>
      </c>
      <c r="L161" s="5">
        <v>1</v>
      </c>
      <c r="M161" s="5">
        <v>1</v>
      </c>
      <c r="N161" s="5" t="s">
        <v>1047</v>
      </c>
      <c r="O161" s="5" t="s">
        <v>336</v>
      </c>
      <c r="P161" s="5" t="s">
        <v>142</v>
      </c>
      <c r="Q161" s="5" t="s">
        <v>165</v>
      </c>
      <c r="S161">
        <v>3</v>
      </c>
      <c r="T161">
        <v>1</v>
      </c>
      <c r="U161">
        <v>1</v>
      </c>
      <c r="V161" t="str">
        <v>IVANDER</v>
      </c>
      <c r="W161" t="str">
        <v>535220020</v>
      </c>
      <c r="X161" t="str">
        <v>Magang</v>
      </c>
    </row>
    <row r="162" spans="1:24" ht="44.1" customHeight="1" x14ac:dyDescent="0.2">
      <c r="A162" s="8">
        <v>0</v>
      </c>
      <c r="B162" s="8">
        <v>3</v>
      </c>
      <c r="C162" s="8">
        <v>0</v>
      </c>
      <c r="D162" s="3">
        <v>535220221</v>
      </c>
      <c r="E162" s="3" t="s">
        <v>142</v>
      </c>
      <c r="F162" t="s">
        <v>163</v>
      </c>
      <c r="G162" s="25">
        <f t="shared" si="2"/>
        <v>0</v>
      </c>
      <c r="H162" s="24"/>
      <c r="K162" s="5">
        <v>3</v>
      </c>
      <c r="L162" s="5">
        <v>1</v>
      </c>
      <c r="M162" s="5">
        <v>2</v>
      </c>
      <c r="N162" s="5" t="s">
        <v>1048</v>
      </c>
      <c r="O162" s="5" t="s">
        <v>337</v>
      </c>
      <c r="P162" s="5" t="s">
        <v>142</v>
      </c>
      <c r="Q162" s="5" t="s">
        <v>166</v>
      </c>
      <c r="S162">
        <v>4</v>
      </c>
      <c r="T162">
        <v>1</v>
      </c>
      <c r="U162">
        <v>1</v>
      </c>
      <c r="V162" t="str">
        <v>TANJAYA JASON WINATA</v>
      </c>
      <c r="W162" t="str">
        <v>535220041</v>
      </c>
      <c r="X162" t="str">
        <v>Magang</v>
      </c>
    </row>
    <row r="163" spans="1:24" ht="42.95" customHeight="1" x14ac:dyDescent="0.2">
      <c r="A163" s="8">
        <v>0</v>
      </c>
      <c r="B163" s="8">
        <v>3</v>
      </c>
      <c r="C163" s="8">
        <v>0</v>
      </c>
      <c r="D163" s="3">
        <v>535220224</v>
      </c>
      <c r="E163" s="3" t="s">
        <v>142</v>
      </c>
      <c r="F163" t="s">
        <v>163</v>
      </c>
      <c r="G163" s="25">
        <f t="shared" si="2"/>
        <v>0</v>
      </c>
      <c r="H163" s="24"/>
      <c r="K163" s="5">
        <v>3</v>
      </c>
      <c r="L163" s="5">
        <v>1</v>
      </c>
      <c r="M163" s="5">
        <v>2</v>
      </c>
      <c r="N163" s="5" t="s">
        <v>1049</v>
      </c>
      <c r="O163" s="5" t="s">
        <v>338</v>
      </c>
      <c r="P163" s="5" t="s">
        <v>142</v>
      </c>
      <c r="Q163" s="5" t="s">
        <v>166</v>
      </c>
      <c r="S163">
        <v>4</v>
      </c>
      <c r="T163">
        <v>1</v>
      </c>
      <c r="U163">
        <v>1</v>
      </c>
      <c r="V163" t="str">
        <v>RUBEN TOBIA CHAIYADI</v>
      </c>
      <c r="W163" t="str">
        <v>535220051</v>
      </c>
      <c r="X163" t="str">
        <v>Magang</v>
      </c>
    </row>
    <row r="164" spans="1:24" ht="44.1" customHeight="1" x14ac:dyDescent="0.2">
      <c r="A164" s="8">
        <v>0</v>
      </c>
      <c r="B164" s="8">
        <v>3</v>
      </c>
      <c r="C164" s="8">
        <v>0</v>
      </c>
      <c r="D164" s="3">
        <v>535220234</v>
      </c>
      <c r="E164" s="3" t="s">
        <v>142</v>
      </c>
      <c r="F164" t="s">
        <v>163</v>
      </c>
      <c r="G164" s="25">
        <f t="shared" si="2"/>
        <v>0</v>
      </c>
      <c r="H164" s="24"/>
      <c r="K164" s="5">
        <v>3</v>
      </c>
      <c r="L164" s="5">
        <v>1</v>
      </c>
      <c r="M164" s="5">
        <v>2</v>
      </c>
      <c r="N164" s="5" t="s">
        <v>1050</v>
      </c>
      <c r="O164" s="5" t="s">
        <v>339</v>
      </c>
      <c r="P164" s="5" t="s">
        <v>142</v>
      </c>
      <c r="Q164" s="5" t="s">
        <v>166</v>
      </c>
      <c r="S164">
        <v>4</v>
      </c>
      <c r="T164">
        <v>1</v>
      </c>
      <c r="U164">
        <v>1</v>
      </c>
      <c r="V164" t="str">
        <v>STEFANUS ANTHONY HARRY</v>
      </c>
      <c r="W164" t="str">
        <v>535220146</v>
      </c>
      <c r="X164" t="str">
        <v>Magang</v>
      </c>
    </row>
    <row r="165" spans="1:24" ht="44.1" customHeight="1" x14ac:dyDescent="0.2">
      <c r="A165" s="8">
        <v>0</v>
      </c>
      <c r="B165" s="8">
        <v>3</v>
      </c>
      <c r="C165" s="8">
        <v>0</v>
      </c>
      <c r="D165" s="3">
        <v>535220242</v>
      </c>
      <c r="E165" s="3" t="s">
        <v>142</v>
      </c>
      <c r="F165" t="s">
        <v>163</v>
      </c>
      <c r="G165" s="25">
        <f t="shared" si="2"/>
        <v>0</v>
      </c>
      <c r="H165" s="24"/>
      <c r="K165" s="5">
        <v>3</v>
      </c>
      <c r="L165" s="5">
        <v>1</v>
      </c>
      <c r="M165" s="5">
        <v>2</v>
      </c>
      <c r="N165" s="5" t="s">
        <v>1051</v>
      </c>
      <c r="O165" s="5" t="s">
        <v>340</v>
      </c>
      <c r="P165" s="5" t="s">
        <v>142</v>
      </c>
      <c r="Q165" s="5" t="s">
        <v>166</v>
      </c>
      <c r="S165">
        <v>4</v>
      </c>
      <c r="T165">
        <v>1</v>
      </c>
      <c r="U165">
        <v>1</v>
      </c>
      <c r="V165" t="str">
        <v xml:space="preserve">VALEROY PUTRA SIENTIKA </v>
      </c>
      <c r="W165" t="str">
        <v>535220151</v>
      </c>
      <c r="X165" t="str">
        <v>Magang</v>
      </c>
    </row>
    <row r="166" spans="1:24" ht="43.5" customHeight="1" x14ac:dyDescent="0.2">
      <c r="A166" s="8">
        <v>0</v>
      </c>
      <c r="B166" s="8">
        <v>3</v>
      </c>
      <c r="C166" s="8">
        <v>0</v>
      </c>
      <c r="D166" s="3">
        <v>535220266</v>
      </c>
      <c r="E166" s="3" t="s">
        <v>142</v>
      </c>
      <c r="F166" t="s">
        <v>163</v>
      </c>
      <c r="G166" s="25">
        <f t="shared" si="2"/>
        <v>0</v>
      </c>
      <c r="H166" s="24"/>
      <c r="K166" s="5">
        <v>3</v>
      </c>
      <c r="L166" s="5">
        <v>1</v>
      </c>
      <c r="M166" s="5">
        <v>2</v>
      </c>
      <c r="N166" s="5" t="s">
        <v>1052</v>
      </c>
      <c r="O166" s="5" t="s">
        <v>341</v>
      </c>
      <c r="P166" s="5" t="s">
        <v>142</v>
      </c>
      <c r="Q166" s="5" t="s">
        <v>166</v>
      </c>
      <c r="S166">
        <v>4</v>
      </c>
      <c r="T166">
        <v>1</v>
      </c>
      <c r="U166">
        <v>1</v>
      </c>
      <c r="V166" t="str">
        <v>FELIX FERDINAND</v>
      </c>
      <c r="W166" t="str">
        <v>535220161</v>
      </c>
      <c r="X166" t="str">
        <v>Magang</v>
      </c>
    </row>
    <row r="167" spans="1:24" ht="42.95" customHeight="1" x14ac:dyDescent="0.2">
      <c r="A167" s="8">
        <v>1</v>
      </c>
      <c r="B167" s="8">
        <v>3</v>
      </c>
      <c r="C167" s="8">
        <v>0</v>
      </c>
      <c r="D167" s="3">
        <v>825220041</v>
      </c>
      <c r="E167" s="3" t="s">
        <v>142</v>
      </c>
      <c r="F167" t="s">
        <v>155</v>
      </c>
      <c r="G167" s="25">
        <f t="shared" si="2"/>
        <v>0</v>
      </c>
      <c r="H167" s="24"/>
      <c r="K167" s="5">
        <v>4</v>
      </c>
      <c r="L167" s="5">
        <v>1</v>
      </c>
      <c r="M167" s="5">
        <v>0</v>
      </c>
      <c r="N167" s="5" t="s">
        <v>1053</v>
      </c>
      <c r="O167" s="5" t="s">
        <v>342</v>
      </c>
      <c r="P167" s="5" t="s">
        <v>143</v>
      </c>
      <c r="Q167" s="5" t="s">
        <v>159</v>
      </c>
      <c r="S167">
        <v>5</v>
      </c>
      <c r="T167">
        <v>1</v>
      </c>
      <c r="U167">
        <v>1</v>
      </c>
      <c r="V167" t="str">
        <v>TIGO ILHAMI FASYAH</v>
      </c>
      <c r="W167" t="str">
        <v>535220235</v>
      </c>
      <c r="X167" t="str">
        <v>Magang</v>
      </c>
    </row>
    <row r="168" spans="1:24" ht="44.1" customHeight="1" x14ac:dyDescent="0.2">
      <c r="A168" s="8">
        <v>1</v>
      </c>
      <c r="B168" s="8">
        <v>3</v>
      </c>
      <c r="C168" s="8">
        <v>0</v>
      </c>
      <c r="D168" s="3">
        <v>825220065</v>
      </c>
      <c r="E168" s="3" t="s">
        <v>142</v>
      </c>
      <c r="F168" t="s">
        <v>155</v>
      </c>
      <c r="G168" s="25">
        <f t="shared" si="2"/>
        <v>0</v>
      </c>
      <c r="H168" s="24"/>
      <c r="K168" s="5">
        <v>4</v>
      </c>
      <c r="L168" s="5">
        <v>1</v>
      </c>
      <c r="M168" s="5">
        <v>0</v>
      </c>
      <c r="N168" s="5" t="s">
        <v>1054</v>
      </c>
      <c r="O168" s="5" t="s">
        <v>343</v>
      </c>
      <c r="P168" s="5" t="s">
        <v>143</v>
      </c>
      <c r="Q168" s="5" t="s">
        <v>159</v>
      </c>
      <c r="S168">
        <v>5</v>
      </c>
      <c r="T168">
        <v>1</v>
      </c>
      <c r="U168">
        <v>1</v>
      </c>
      <c r="V168" t="str">
        <v>WIDYA KHAERUNNISYAH</v>
      </c>
      <c r="W168" t="str">
        <v>535220262</v>
      </c>
      <c r="X168" t="str">
        <v>Magang</v>
      </c>
    </row>
    <row r="169" spans="1:24" ht="42.95" customHeight="1" x14ac:dyDescent="0.2">
      <c r="A169" s="8">
        <v>1</v>
      </c>
      <c r="B169" s="8">
        <v>3</v>
      </c>
      <c r="C169" s="8">
        <v>0</v>
      </c>
      <c r="D169" s="3">
        <v>825220067</v>
      </c>
      <c r="E169" s="3" t="s">
        <v>142</v>
      </c>
      <c r="F169" t="s">
        <v>155</v>
      </c>
      <c r="G169" s="25">
        <f t="shared" si="2"/>
        <v>0</v>
      </c>
      <c r="H169" s="24"/>
      <c r="K169" s="5">
        <v>4</v>
      </c>
      <c r="L169" s="5">
        <v>1</v>
      </c>
      <c r="M169" s="5">
        <v>0</v>
      </c>
      <c r="N169" s="5" t="s">
        <v>1055</v>
      </c>
      <c r="O169" s="5" t="s">
        <v>344</v>
      </c>
      <c r="P169" s="5" t="s">
        <v>142</v>
      </c>
      <c r="Q169" s="5" t="s">
        <v>165</v>
      </c>
      <c r="S169">
        <v>5</v>
      </c>
      <c r="T169">
        <v>1</v>
      </c>
      <c r="U169">
        <v>1</v>
      </c>
      <c r="V169" t="str">
        <v>HANSEN PRATAMA</v>
      </c>
      <c r="W169" t="str">
        <v>535220128</v>
      </c>
      <c r="X169" t="str">
        <v>Magang</v>
      </c>
    </row>
    <row r="170" spans="1:24" ht="44.1" customHeight="1" x14ac:dyDescent="0.2">
      <c r="A170" s="8">
        <v>1</v>
      </c>
      <c r="B170" s="8">
        <v>3</v>
      </c>
      <c r="C170" s="8">
        <v>0</v>
      </c>
      <c r="D170" s="3">
        <v>825220083</v>
      </c>
      <c r="E170" s="3" t="s">
        <v>142</v>
      </c>
      <c r="F170" t="s">
        <v>155</v>
      </c>
      <c r="G170" s="25">
        <f t="shared" si="2"/>
        <v>0</v>
      </c>
      <c r="H170" s="24"/>
      <c r="K170" s="5">
        <v>4</v>
      </c>
      <c r="L170" s="5">
        <v>1</v>
      </c>
      <c r="M170" s="5">
        <v>0</v>
      </c>
      <c r="N170" s="5" t="s">
        <v>1056</v>
      </c>
      <c r="O170" s="5" t="s">
        <v>345</v>
      </c>
      <c r="P170" s="5" t="s">
        <v>143</v>
      </c>
      <c r="Q170" s="5" t="s">
        <v>165</v>
      </c>
      <c r="S170">
        <v>5</v>
      </c>
      <c r="T170">
        <v>1</v>
      </c>
      <c r="U170">
        <v>1</v>
      </c>
      <c r="V170" t="str">
        <v>ALBERT</v>
      </c>
      <c r="W170" t="str">
        <v>535220024</v>
      </c>
      <c r="X170" t="str">
        <v>Stupen</v>
      </c>
    </row>
    <row r="171" spans="1:24" ht="42.6" customHeight="1" x14ac:dyDescent="0.2">
      <c r="A171" s="8">
        <v>1</v>
      </c>
      <c r="B171" s="8">
        <v>3</v>
      </c>
      <c r="C171" s="8">
        <v>0</v>
      </c>
      <c r="D171" s="3">
        <v>825220108</v>
      </c>
      <c r="E171" s="3" t="s">
        <v>142</v>
      </c>
      <c r="F171" t="s">
        <v>155</v>
      </c>
      <c r="G171" s="25">
        <f t="shared" si="2"/>
        <v>0</v>
      </c>
      <c r="H171" s="24"/>
      <c r="K171" s="5">
        <v>4</v>
      </c>
      <c r="L171" s="5">
        <v>1</v>
      </c>
      <c r="M171" s="5">
        <v>0</v>
      </c>
      <c r="N171" s="5" t="s">
        <v>1057</v>
      </c>
      <c r="O171" s="5" t="s">
        <v>346</v>
      </c>
      <c r="P171" s="5" t="s">
        <v>143</v>
      </c>
      <c r="Q171" s="5" t="s">
        <v>165</v>
      </c>
      <c r="S171">
        <v>5</v>
      </c>
      <c r="T171">
        <v>1</v>
      </c>
      <c r="U171">
        <v>1</v>
      </c>
      <c r="V171" t="str">
        <v>JASON CHAINARA PUTRA</v>
      </c>
      <c r="W171" t="str">
        <v>535220045</v>
      </c>
      <c r="X171" t="str">
        <v>Stupen</v>
      </c>
    </row>
    <row r="172" spans="1:24" ht="44.1" customHeight="1" x14ac:dyDescent="0.2">
      <c r="A172" s="8">
        <v>2</v>
      </c>
      <c r="B172" s="8">
        <v>3</v>
      </c>
      <c r="C172" s="8">
        <v>0</v>
      </c>
      <c r="D172" s="3">
        <v>825220074</v>
      </c>
      <c r="E172" s="3" t="s">
        <v>142</v>
      </c>
      <c r="F172" t="s">
        <v>153</v>
      </c>
      <c r="G172" s="25">
        <f t="shared" si="2"/>
        <v>0</v>
      </c>
      <c r="H172" s="24"/>
      <c r="K172" s="5">
        <v>4</v>
      </c>
      <c r="L172" s="5">
        <v>1</v>
      </c>
      <c r="M172" s="5">
        <v>1</v>
      </c>
      <c r="N172" s="5" t="s">
        <v>1058</v>
      </c>
      <c r="O172" s="5" t="s">
        <v>347</v>
      </c>
      <c r="P172" s="5" t="s">
        <v>142</v>
      </c>
      <c r="Q172" s="5" t="s">
        <v>166</v>
      </c>
      <c r="S172">
        <v>6</v>
      </c>
      <c r="T172">
        <v>1</v>
      </c>
      <c r="U172">
        <v>1</v>
      </c>
      <c r="V172" t="str">
        <v>RANDY CENSON</v>
      </c>
      <c r="W172" t="str">
        <v>535220175</v>
      </c>
      <c r="X172" t="str">
        <v>Stupen</v>
      </c>
    </row>
    <row r="173" spans="1:24" ht="44.1" customHeight="1" x14ac:dyDescent="0.2">
      <c r="A173" s="8">
        <v>2</v>
      </c>
      <c r="B173" s="8">
        <v>3</v>
      </c>
      <c r="C173" s="8">
        <v>0</v>
      </c>
      <c r="D173" s="3">
        <v>825220159</v>
      </c>
      <c r="E173" s="3" t="s">
        <v>142</v>
      </c>
      <c r="F173" t="s">
        <v>153</v>
      </c>
      <c r="G173" s="25">
        <f t="shared" si="2"/>
        <v>0</v>
      </c>
      <c r="H173" s="24"/>
      <c r="K173" s="5">
        <v>4</v>
      </c>
      <c r="L173" s="5">
        <v>1</v>
      </c>
      <c r="M173" s="5">
        <v>1</v>
      </c>
      <c r="N173" s="5" t="s">
        <v>1059</v>
      </c>
      <c r="O173" s="5" t="s">
        <v>348</v>
      </c>
      <c r="P173" s="5" t="s">
        <v>142</v>
      </c>
      <c r="Q173" s="5" t="s">
        <v>166</v>
      </c>
      <c r="S173">
        <v>6</v>
      </c>
      <c r="T173">
        <v>1</v>
      </c>
      <c r="U173">
        <v>1</v>
      </c>
      <c r="V173" t="str">
        <v>JASON WIEDARDI LIMTARA</v>
      </c>
      <c r="W173" t="str">
        <v>535220212</v>
      </c>
      <c r="X173" t="str">
        <v>Stupen</v>
      </c>
    </row>
    <row r="174" spans="1:24" ht="42.95" customHeight="1" x14ac:dyDescent="0.2">
      <c r="A174" s="8">
        <v>2</v>
      </c>
      <c r="B174" s="8">
        <v>3</v>
      </c>
      <c r="C174" s="8">
        <v>0</v>
      </c>
      <c r="D174" s="3">
        <v>825220160</v>
      </c>
      <c r="E174" s="3" t="s">
        <v>142</v>
      </c>
      <c r="F174" t="s">
        <v>153</v>
      </c>
      <c r="G174" s="25">
        <f t="shared" si="2"/>
        <v>0</v>
      </c>
      <c r="H174" s="24"/>
      <c r="K174" s="5">
        <v>4</v>
      </c>
      <c r="L174" s="5">
        <v>1</v>
      </c>
      <c r="M174" s="5">
        <v>1</v>
      </c>
      <c r="N174" s="5" t="s">
        <v>1060</v>
      </c>
      <c r="O174" s="5" t="s">
        <v>349</v>
      </c>
      <c r="P174" s="5" t="s">
        <v>142</v>
      </c>
      <c r="Q174" s="5" t="s">
        <v>166</v>
      </c>
      <c r="S174">
        <v>6</v>
      </c>
      <c r="T174">
        <v>1</v>
      </c>
      <c r="U174">
        <v>1</v>
      </c>
      <c r="V174" t="str">
        <v>JAVIER GUSTVIN</v>
      </c>
      <c r="W174" t="str">
        <v>535220140</v>
      </c>
      <c r="X174" t="str">
        <v>Magang</v>
      </c>
    </row>
    <row r="175" spans="1:24" ht="44.1" customHeight="1" x14ac:dyDescent="0.2">
      <c r="A175" s="8">
        <v>2</v>
      </c>
      <c r="B175" s="8">
        <v>3</v>
      </c>
      <c r="C175" s="8">
        <v>0</v>
      </c>
      <c r="D175" s="3">
        <v>825220161</v>
      </c>
      <c r="E175" s="3" t="s">
        <v>142</v>
      </c>
      <c r="F175" t="s">
        <v>153</v>
      </c>
      <c r="G175" s="25">
        <f t="shared" si="2"/>
        <v>0</v>
      </c>
      <c r="H175" s="24"/>
      <c r="K175" s="5">
        <v>4</v>
      </c>
      <c r="L175" s="5">
        <v>1</v>
      </c>
      <c r="M175" s="5">
        <v>1</v>
      </c>
      <c r="N175" s="5" t="s">
        <v>1061</v>
      </c>
      <c r="O175" s="5" t="s">
        <v>350</v>
      </c>
      <c r="P175" s="5" t="s">
        <v>142</v>
      </c>
      <c r="Q175" s="5" t="s">
        <v>166</v>
      </c>
      <c r="S175">
        <v>6</v>
      </c>
      <c r="T175">
        <v>1</v>
      </c>
      <c r="U175">
        <v>1</v>
      </c>
      <c r="V175" t="str">
        <v xml:space="preserve">SURYA DHARMA KANG </v>
      </c>
      <c r="W175" t="str">
        <v>535220148</v>
      </c>
      <c r="X175" t="str">
        <v>Magang</v>
      </c>
    </row>
    <row r="176" spans="1:24" ht="33" customHeight="1" x14ac:dyDescent="0.2">
      <c r="A176" s="8">
        <v>2</v>
      </c>
      <c r="B176" s="8">
        <v>3</v>
      </c>
      <c r="C176" s="8">
        <v>0</v>
      </c>
      <c r="D176" s="4">
        <v>825220163</v>
      </c>
      <c r="E176" s="3" t="s">
        <v>142</v>
      </c>
      <c r="F176" t="s">
        <v>153</v>
      </c>
      <c r="G176" s="25">
        <f t="shared" si="2"/>
        <v>0</v>
      </c>
      <c r="H176" s="24"/>
      <c r="K176" s="5">
        <v>4</v>
      </c>
      <c r="L176" s="5">
        <v>1</v>
      </c>
      <c r="M176" s="5">
        <v>1</v>
      </c>
      <c r="N176" s="5" t="s">
        <v>1062</v>
      </c>
      <c r="O176" s="5" t="s">
        <v>351</v>
      </c>
      <c r="P176" s="5" t="s">
        <v>142</v>
      </c>
      <c r="Q176" s="5" t="s">
        <v>166</v>
      </c>
      <c r="S176">
        <v>6</v>
      </c>
      <c r="T176">
        <v>1</v>
      </c>
      <c r="U176">
        <v>1</v>
      </c>
      <c r="V176" t="str">
        <v>SASKIA LAVINSKY</v>
      </c>
      <c r="W176" t="str">
        <v>535220176</v>
      </c>
      <c r="X176" t="str">
        <v>Magang</v>
      </c>
    </row>
    <row r="177" spans="1:24" ht="42.95" customHeight="1" x14ac:dyDescent="0.2">
      <c r="A177" s="8">
        <v>3</v>
      </c>
      <c r="B177" s="8">
        <v>3</v>
      </c>
      <c r="C177" s="8">
        <v>0</v>
      </c>
      <c r="D177" s="3">
        <v>825220164</v>
      </c>
      <c r="E177" s="3" t="s">
        <v>142</v>
      </c>
      <c r="F177" t="s">
        <v>153</v>
      </c>
      <c r="G177" s="25">
        <f t="shared" si="2"/>
        <v>0</v>
      </c>
      <c r="H177" s="24"/>
      <c r="K177" s="5">
        <v>4</v>
      </c>
      <c r="L177" s="5">
        <v>1</v>
      </c>
      <c r="M177" s="5">
        <v>2</v>
      </c>
      <c r="N177" s="5" t="s">
        <v>1063</v>
      </c>
      <c r="O177" s="5" t="s">
        <v>352</v>
      </c>
      <c r="P177" s="5" t="s">
        <v>142</v>
      </c>
      <c r="Q177" s="5" t="s">
        <v>167</v>
      </c>
      <c r="S177">
        <v>0</v>
      </c>
      <c r="T177">
        <v>1</v>
      </c>
      <c r="U177">
        <v>2</v>
      </c>
      <c r="V177" t="str">
        <v>CARIN GUNAWAN</v>
      </c>
      <c r="W177" t="str">
        <v>535220056</v>
      </c>
      <c r="X177" t="str">
        <v>Magang</v>
      </c>
    </row>
    <row r="178" spans="1:24" ht="44.1" customHeight="1" x14ac:dyDescent="0.2">
      <c r="A178" s="8">
        <v>3</v>
      </c>
      <c r="B178" s="8">
        <v>3</v>
      </c>
      <c r="C178" s="8">
        <v>0</v>
      </c>
      <c r="D178" s="3">
        <v>825220068</v>
      </c>
      <c r="E178" s="3" t="s">
        <v>142</v>
      </c>
      <c r="F178" t="s">
        <v>153</v>
      </c>
      <c r="G178" s="25">
        <f t="shared" si="2"/>
        <v>0</v>
      </c>
      <c r="H178" s="24"/>
      <c r="K178" s="5">
        <v>4</v>
      </c>
      <c r="L178" s="5">
        <v>1</v>
      </c>
      <c r="M178" s="5">
        <v>2</v>
      </c>
      <c r="N178" s="5" t="s">
        <v>1064</v>
      </c>
      <c r="O178" s="5" t="s">
        <v>353</v>
      </c>
      <c r="P178" s="5" t="s">
        <v>142</v>
      </c>
      <c r="Q178" s="5" t="s">
        <v>167</v>
      </c>
      <c r="S178">
        <v>0</v>
      </c>
      <c r="T178">
        <v>1</v>
      </c>
      <c r="U178">
        <v>2</v>
      </c>
      <c r="V178" t="str">
        <v xml:space="preserve">STEVEN FLIANTO </v>
      </c>
      <c r="W178" t="str">
        <v>535220057</v>
      </c>
      <c r="X178" t="str">
        <v>Magang</v>
      </c>
    </row>
    <row r="179" spans="1:24" ht="42.95" customHeight="1" x14ac:dyDescent="0.2">
      <c r="A179" s="8">
        <v>3</v>
      </c>
      <c r="B179" s="8">
        <v>3</v>
      </c>
      <c r="C179" s="8">
        <v>0</v>
      </c>
      <c r="D179" s="3">
        <v>825220071</v>
      </c>
      <c r="E179" s="3" t="s">
        <v>142</v>
      </c>
      <c r="F179" t="s">
        <v>153</v>
      </c>
      <c r="G179" s="25">
        <f t="shared" si="2"/>
        <v>0</v>
      </c>
      <c r="H179" s="24"/>
      <c r="K179" s="5">
        <v>4</v>
      </c>
      <c r="L179" s="5">
        <v>1</v>
      </c>
      <c r="M179" s="5">
        <v>2</v>
      </c>
      <c r="N179" s="5" t="s">
        <v>1065</v>
      </c>
      <c r="O179" s="5" t="s">
        <v>354</v>
      </c>
      <c r="P179" s="5" t="s">
        <v>142</v>
      </c>
      <c r="Q179" s="5" t="s">
        <v>167</v>
      </c>
      <c r="S179">
        <v>0</v>
      </c>
      <c r="T179">
        <v>1</v>
      </c>
      <c r="U179">
        <v>2</v>
      </c>
      <c r="V179" t="str">
        <v>FRANSISKUS DHARMA HADI WIJAYA</v>
      </c>
      <c r="W179" t="str">
        <v>535220106</v>
      </c>
      <c r="X179" t="str">
        <v>Magang</v>
      </c>
    </row>
    <row r="180" spans="1:24" ht="44.1" customHeight="1" x14ac:dyDescent="0.2">
      <c r="A180" s="8">
        <v>3</v>
      </c>
      <c r="B180" s="8">
        <v>3</v>
      </c>
      <c r="C180" s="8">
        <v>0</v>
      </c>
      <c r="D180" s="3">
        <v>825220072</v>
      </c>
      <c r="E180" s="3" t="s">
        <v>142</v>
      </c>
      <c r="F180" t="s">
        <v>153</v>
      </c>
      <c r="G180" s="25">
        <f t="shared" si="2"/>
        <v>0</v>
      </c>
      <c r="H180" s="24"/>
      <c r="K180" s="5">
        <v>4</v>
      </c>
      <c r="L180" s="5">
        <v>1</v>
      </c>
      <c r="M180" s="5">
        <v>2</v>
      </c>
      <c r="N180" s="5" t="s">
        <v>1066</v>
      </c>
      <c r="O180" s="5" t="s">
        <v>355</v>
      </c>
      <c r="P180" s="5" t="s">
        <v>142</v>
      </c>
      <c r="Q180" s="5" t="s">
        <v>167</v>
      </c>
      <c r="S180">
        <v>0</v>
      </c>
      <c r="T180">
        <v>1</v>
      </c>
      <c r="U180">
        <v>2</v>
      </c>
      <c r="V180" t="str">
        <v>ANGELINE SHEVENIA</v>
      </c>
      <c r="W180" t="str">
        <v>535220108</v>
      </c>
      <c r="X180" t="str">
        <v>Magang</v>
      </c>
    </row>
    <row r="181" spans="1:24" ht="42.6" customHeight="1" x14ac:dyDescent="0.2">
      <c r="A181" s="8">
        <v>3</v>
      </c>
      <c r="B181" s="8">
        <v>3</v>
      </c>
      <c r="C181" s="8">
        <v>0</v>
      </c>
      <c r="D181" s="3">
        <v>825220073</v>
      </c>
      <c r="E181" s="3" t="s">
        <v>142</v>
      </c>
      <c r="F181" t="s">
        <v>153</v>
      </c>
      <c r="G181" s="25">
        <f t="shared" si="2"/>
        <v>0</v>
      </c>
      <c r="H181" s="24"/>
      <c r="K181" s="5">
        <v>4</v>
      </c>
      <c r="L181" s="5">
        <v>1</v>
      </c>
      <c r="M181" s="5">
        <v>2</v>
      </c>
      <c r="N181" s="5" t="s">
        <v>1067</v>
      </c>
      <c r="O181" s="5" t="s">
        <v>356</v>
      </c>
      <c r="P181" s="5" t="s">
        <v>142</v>
      </c>
      <c r="Q181" s="5" t="s">
        <v>167</v>
      </c>
      <c r="S181">
        <v>0</v>
      </c>
      <c r="T181">
        <v>1</v>
      </c>
      <c r="U181">
        <v>2</v>
      </c>
      <c r="V181" t="str">
        <v>LEVINA GRACE EVANGELINE</v>
      </c>
      <c r="W181" t="str">
        <v>535220109</v>
      </c>
      <c r="X181" t="str">
        <v>Magang</v>
      </c>
    </row>
    <row r="182" spans="1:24" ht="44.1" customHeight="1" x14ac:dyDescent="0.2">
      <c r="A182" s="8">
        <v>4</v>
      </c>
      <c r="B182" s="8">
        <v>3</v>
      </c>
      <c r="C182" s="8">
        <v>0</v>
      </c>
      <c r="D182" s="3">
        <v>535220002</v>
      </c>
      <c r="E182" s="3" t="s">
        <v>142</v>
      </c>
      <c r="F182" t="s">
        <v>170</v>
      </c>
      <c r="G182" s="25">
        <f t="shared" si="2"/>
        <v>0</v>
      </c>
      <c r="H182" s="24"/>
      <c r="K182" s="5">
        <v>5</v>
      </c>
      <c r="L182" s="5">
        <v>1</v>
      </c>
      <c r="M182" s="5">
        <v>0</v>
      </c>
      <c r="N182" s="5" t="s">
        <v>1068</v>
      </c>
      <c r="O182" s="5" t="s">
        <v>357</v>
      </c>
      <c r="P182" s="5" t="s">
        <v>143</v>
      </c>
      <c r="Q182" s="5" t="s">
        <v>165</v>
      </c>
      <c r="S182">
        <v>1</v>
      </c>
      <c r="T182">
        <v>1</v>
      </c>
      <c r="U182">
        <v>2</v>
      </c>
      <c r="V182" t="str">
        <v>RAYNALDO GRACIA BUNTORO</v>
      </c>
      <c r="W182" t="str">
        <v>535220162</v>
      </c>
      <c r="X182" t="str">
        <v>Magang</v>
      </c>
    </row>
    <row r="183" spans="1:24" ht="42.95" customHeight="1" x14ac:dyDescent="0.2">
      <c r="A183" s="8">
        <v>4</v>
      </c>
      <c r="B183" s="8">
        <v>3</v>
      </c>
      <c r="C183" s="8">
        <v>0</v>
      </c>
      <c r="D183" s="3">
        <v>535220004</v>
      </c>
      <c r="E183" s="3" t="s">
        <v>142</v>
      </c>
      <c r="F183" t="s">
        <v>170</v>
      </c>
      <c r="G183" s="25">
        <f t="shared" si="2"/>
        <v>0</v>
      </c>
      <c r="H183" s="24"/>
      <c r="K183" s="5">
        <v>5</v>
      </c>
      <c r="L183" s="5">
        <v>1</v>
      </c>
      <c r="M183" s="5">
        <v>0</v>
      </c>
      <c r="N183" s="5" t="s">
        <v>1069</v>
      </c>
      <c r="O183" s="5" t="s">
        <v>358</v>
      </c>
      <c r="P183" s="5" t="s">
        <v>143</v>
      </c>
      <c r="Q183" s="5" t="s">
        <v>165</v>
      </c>
      <c r="S183">
        <v>1</v>
      </c>
      <c r="T183">
        <v>1</v>
      </c>
      <c r="U183">
        <v>2</v>
      </c>
      <c r="V183" t="str">
        <v>CHRISTABELLA JOCELYNNE CHANDRA</v>
      </c>
      <c r="W183" t="str">
        <v>535220166</v>
      </c>
      <c r="X183" t="str">
        <v>Magang</v>
      </c>
    </row>
    <row r="184" spans="1:24" ht="44.1" customHeight="1" x14ac:dyDescent="0.2">
      <c r="A184" s="8">
        <v>4</v>
      </c>
      <c r="B184" s="8">
        <v>3</v>
      </c>
      <c r="C184" s="8">
        <v>0</v>
      </c>
      <c r="D184" s="3">
        <v>535220027</v>
      </c>
      <c r="E184" s="3" t="s">
        <v>142</v>
      </c>
      <c r="F184" t="s">
        <v>170</v>
      </c>
      <c r="G184" s="25">
        <f t="shared" si="2"/>
        <v>0</v>
      </c>
      <c r="H184" s="24"/>
      <c r="K184" s="5">
        <v>5</v>
      </c>
      <c r="L184" s="5">
        <v>1</v>
      </c>
      <c r="M184" s="5">
        <v>0</v>
      </c>
      <c r="N184" s="5" t="s">
        <v>1070</v>
      </c>
      <c r="O184" s="5" t="s">
        <v>359</v>
      </c>
      <c r="P184" s="5" t="s">
        <v>145</v>
      </c>
      <c r="Q184" s="5" t="s">
        <v>165</v>
      </c>
      <c r="S184">
        <v>1</v>
      </c>
      <c r="T184">
        <v>1</v>
      </c>
      <c r="U184">
        <v>2</v>
      </c>
      <c r="V184" t="str">
        <v>ANGELA CHOW</v>
      </c>
      <c r="W184" t="str">
        <v>535220170</v>
      </c>
      <c r="X184" t="str">
        <v>Magang</v>
      </c>
    </row>
    <row r="185" spans="1:24" ht="44.1" customHeight="1" x14ac:dyDescent="0.2">
      <c r="A185" s="8">
        <v>4</v>
      </c>
      <c r="B185" s="8">
        <v>3</v>
      </c>
      <c r="C185" s="8">
        <v>0</v>
      </c>
      <c r="D185" s="3">
        <v>535220030</v>
      </c>
      <c r="E185" s="3" t="s">
        <v>142</v>
      </c>
      <c r="F185" t="s">
        <v>170</v>
      </c>
      <c r="G185" s="25">
        <f t="shared" si="2"/>
        <v>0</v>
      </c>
      <c r="H185" s="24"/>
      <c r="K185" s="5">
        <v>5</v>
      </c>
      <c r="L185" s="5">
        <v>1</v>
      </c>
      <c r="M185" s="5">
        <v>0</v>
      </c>
      <c r="N185" s="5" t="s">
        <v>1071</v>
      </c>
      <c r="O185" s="5" t="s">
        <v>360</v>
      </c>
      <c r="P185" s="5" t="s">
        <v>145</v>
      </c>
      <c r="Q185" s="5" t="s">
        <v>165</v>
      </c>
      <c r="S185">
        <v>1</v>
      </c>
      <c r="T185">
        <v>1</v>
      </c>
      <c r="U185">
        <v>2</v>
      </c>
      <c r="V185" t="str">
        <v>DIMAS SAPUTRA</v>
      </c>
      <c r="W185" t="str">
        <v>535220145</v>
      </c>
      <c r="X185" t="str">
        <v>Wirausaha</v>
      </c>
    </row>
    <row r="186" spans="1:24" ht="43.35" customHeight="1" x14ac:dyDescent="0.2">
      <c r="A186" s="8">
        <v>4</v>
      </c>
      <c r="B186" s="8">
        <v>3</v>
      </c>
      <c r="C186" s="8">
        <v>0</v>
      </c>
      <c r="D186" s="3">
        <v>535220038</v>
      </c>
      <c r="E186" s="3" t="s">
        <v>142</v>
      </c>
      <c r="F186" t="s">
        <v>170</v>
      </c>
      <c r="G186" s="25">
        <f t="shared" si="2"/>
        <v>0</v>
      </c>
      <c r="H186" s="24"/>
      <c r="K186" s="5">
        <v>5</v>
      </c>
      <c r="L186" s="5">
        <v>1</v>
      </c>
      <c r="M186" s="5">
        <v>0</v>
      </c>
      <c r="N186" s="5" t="s">
        <v>1072</v>
      </c>
      <c r="O186" s="5" t="s">
        <v>361</v>
      </c>
      <c r="P186" s="5" t="s">
        <v>145</v>
      </c>
      <c r="Q186" s="5" t="s">
        <v>165</v>
      </c>
      <c r="S186">
        <v>1</v>
      </c>
      <c r="T186">
        <v>1</v>
      </c>
      <c r="U186">
        <v>2</v>
      </c>
      <c r="V186" t="str">
        <v>FARHAN ADHI WIDIARSONO</v>
      </c>
      <c r="W186" t="str">
        <v>535220228</v>
      </c>
      <c r="X186" t="str">
        <v>Wirausaha</v>
      </c>
    </row>
    <row r="187" spans="1:24" ht="43.5" customHeight="1" x14ac:dyDescent="0.2">
      <c r="A187" s="8">
        <v>5</v>
      </c>
      <c r="B187" s="8">
        <v>3</v>
      </c>
      <c r="C187" s="8">
        <v>0</v>
      </c>
      <c r="D187" s="3">
        <v>535220053</v>
      </c>
      <c r="E187" s="3" t="s">
        <v>143</v>
      </c>
      <c r="F187" t="s">
        <v>170</v>
      </c>
      <c r="G187" s="25">
        <f t="shared" si="2"/>
        <v>0</v>
      </c>
      <c r="H187" s="24"/>
      <c r="K187" s="5">
        <v>5</v>
      </c>
      <c r="L187" s="5">
        <v>1</v>
      </c>
      <c r="M187" s="5">
        <v>1</v>
      </c>
      <c r="N187" s="5" t="s">
        <v>1073</v>
      </c>
      <c r="O187" s="5" t="s">
        <v>362</v>
      </c>
      <c r="P187" s="5" t="s">
        <v>142</v>
      </c>
      <c r="Q187" s="5" t="s">
        <v>166</v>
      </c>
      <c r="S187">
        <v>2</v>
      </c>
      <c r="T187">
        <v>1</v>
      </c>
      <c r="U187">
        <v>2</v>
      </c>
      <c r="V187" t="str">
        <v>MARCIA YANPRINCESSA UTAMA</v>
      </c>
      <c r="W187" t="str">
        <v>535220044</v>
      </c>
      <c r="X187" t="str">
        <v>Magang</v>
      </c>
    </row>
    <row r="188" spans="1:24" ht="44.1" customHeight="1" x14ac:dyDescent="0.2">
      <c r="A188" s="8">
        <v>5</v>
      </c>
      <c r="B188" s="8">
        <v>3</v>
      </c>
      <c r="C188" s="8">
        <v>0</v>
      </c>
      <c r="D188" s="3">
        <v>535220024</v>
      </c>
      <c r="E188" s="3" t="s">
        <v>143</v>
      </c>
      <c r="F188" t="s">
        <v>166</v>
      </c>
      <c r="G188" s="25">
        <f t="shared" si="2"/>
        <v>0</v>
      </c>
      <c r="H188" s="24"/>
      <c r="K188" s="5">
        <v>5</v>
      </c>
      <c r="L188" s="5">
        <v>1</v>
      </c>
      <c r="M188" s="5">
        <v>1</v>
      </c>
      <c r="N188" s="5" t="s">
        <v>1074</v>
      </c>
      <c r="O188" s="5" t="s">
        <v>363</v>
      </c>
      <c r="P188" s="5" t="s">
        <v>142</v>
      </c>
      <c r="Q188" s="5" t="s">
        <v>166</v>
      </c>
      <c r="S188">
        <v>2</v>
      </c>
      <c r="T188">
        <v>1</v>
      </c>
      <c r="U188">
        <v>2</v>
      </c>
      <c r="V188" t="str">
        <v>VINCENT CALISTA</v>
      </c>
      <c r="W188" t="str">
        <v>535220075</v>
      </c>
      <c r="X188" t="str">
        <v>Magang</v>
      </c>
    </row>
    <row r="189" spans="1:24" ht="42.95" customHeight="1" x14ac:dyDescent="0.2">
      <c r="A189" s="8">
        <v>5</v>
      </c>
      <c r="B189" s="8">
        <v>3</v>
      </c>
      <c r="C189" s="8">
        <v>0</v>
      </c>
      <c r="D189" s="3">
        <v>535220175</v>
      </c>
      <c r="E189" s="3" t="s">
        <v>143</v>
      </c>
      <c r="F189" t="s">
        <v>166</v>
      </c>
      <c r="G189" s="25">
        <f t="shared" si="2"/>
        <v>0</v>
      </c>
      <c r="H189" s="24"/>
      <c r="K189" s="5">
        <v>5</v>
      </c>
      <c r="L189" s="5">
        <v>1</v>
      </c>
      <c r="M189" s="5">
        <v>1</v>
      </c>
      <c r="N189" s="5" t="s">
        <v>1075</v>
      </c>
      <c r="O189" s="5" t="s">
        <v>364</v>
      </c>
      <c r="P189" s="5" t="s">
        <v>142</v>
      </c>
      <c r="Q189" s="5" t="s">
        <v>166</v>
      </c>
      <c r="S189">
        <v>2</v>
      </c>
      <c r="T189">
        <v>1</v>
      </c>
      <c r="U189">
        <v>2</v>
      </c>
      <c r="V189" t="str">
        <v>GEORGE WIELIANTO</v>
      </c>
      <c r="W189" t="str">
        <v>535220090</v>
      </c>
      <c r="X189" t="str">
        <v>Magang</v>
      </c>
    </row>
    <row r="190" spans="1:24" ht="44.1" customHeight="1" x14ac:dyDescent="0.2">
      <c r="A190" s="8">
        <v>5</v>
      </c>
      <c r="B190" s="8">
        <v>3</v>
      </c>
      <c r="C190" s="8">
        <v>0</v>
      </c>
      <c r="D190" s="3">
        <v>535220212</v>
      </c>
      <c r="E190" s="3" t="s">
        <v>143</v>
      </c>
      <c r="F190" t="s">
        <v>166</v>
      </c>
      <c r="G190" s="25">
        <f t="shared" si="2"/>
        <v>0</v>
      </c>
      <c r="H190" s="24"/>
      <c r="K190" s="5">
        <v>5</v>
      </c>
      <c r="L190" s="5">
        <v>1</v>
      </c>
      <c r="M190" s="5">
        <v>1</v>
      </c>
      <c r="N190" s="5" t="s">
        <v>1076</v>
      </c>
      <c r="O190" s="5" t="s">
        <v>365</v>
      </c>
      <c r="P190" s="5" t="s">
        <v>143</v>
      </c>
      <c r="Q190" s="5" t="s">
        <v>166</v>
      </c>
      <c r="S190">
        <v>2</v>
      </c>
      <c r="T190">
        <v>1</v>
      </c>
      <c r="U190">
        <v>2</v>
      </c>
      <c r="V190" t="str">
        <v>MILSON FELICIANO</v>
      </c>
      <c r="W190" t="str">
        <v>535220093</v>
      </c>
      <c r="X190" t="str">
        <v>Magang</v>
      </c>
    </row>
    <row r="191" spans="1:24" ht="43.5" customHeight="1" x14ac:dyDescent="0.2">
      <c r="A191" s="8">
        <v>5</v>
      </c>
      <c r="B191" s="8">
        <v>3</v>
      </c>
      <c r="C191" s="8">
        <v>0</v>
      </c>
      <c r="D191" s="3">
        <v>535220045</v>
      </c>
      <c r="E191" s="3" t="s">
        <v>143</v>
      </c>
      <c r="F191" t="s">
        <v>166</v>
      </c>
      <c r="G191" s="25">
        <f t="shared" si="2"/>
        <v>0</v>
      </c>
      <c r="H191" s="24"/>
      <c r="K191" s="5">
        <v>5</v>
      </c>
      <c r="L191" s="5">
        <v>1</v>
      </c>
      <c r="M191" s="5">
        <v>1</v>
      </c>
      <c r="N191" s="5" t="s">
        <v>1077</v>
      </c>
      <c r="O191" s="5" t="s">
        <v>366</v>
      </c>
      <c r="P191" s="5" t="s">
        <v>143</v>
      </c>
      <c r="Q191" s="5" t="s">
        <v>166</v>
      </c>
      <c r="S191">
        <v>2</v>
      </c>
      <c r="T191">
        <v>1</v>
      </c>
      <c r="U191">
        <v>2</v>
      </c>
      <c r="V191" t="str">
        <v>NATHANIEL ERVIN JAHJA</v>
      </c>
      <c r="W191" t="str">
        <v>535220095</v>
      </c>
      <c r="X191" t="str">
        <v>Magang</v>
      </c>
    </row>
    <row r="192" spans="1:24" ht="43.5" customHeight="1" x14ac:dyDescent="0.2">
      <c r="A192" s="8">
        <v>6</v>
      </c>
      <c r="B192" s="8">
        <v>3</v>
      </c>
      <c r="C192" s="8">
        <v>0</v>
      </c>
      <c r="D192" s="3">
        <v>535220077</v>
      </c>
      <c r="E192" s="3" t="s">
        <v>142</v>
      </c>
      <c r="F192" t="s">
        <v>170</v>
      </c>
      <c r="G192" s="25">
        <f t="shared" si="2"/>
        <v>0</v>
      </c>
      <c r="H192" s="24"/>
      <c r="K192" s="5">
        <v>5</v>
      </c>
      <c r="L192" s="5">
        <v>1</v>
      </c>
      <c r="M192" s="5">
        <v>2</v>
      </c>
      <c r="N192" s="5" t="s">
        <v>1078</v>
      </c>
      <c r="O192" s="5" t="s">
        <v>367</v>
      </c>
      <c r="P192" s="5" t="s">
        <v>142</v>
      </c>
      <c r="Q192" s="5" t="s">
        <v>167</v>
      </c>
      <c r="S192">
        <v>3</v>
      </c>
      <c r="T192">
        <v>1</v>
      </c>
      <c r="U192">
        <v>2</v>
      </c>
      <c r="V192" t="str">
        <v xml:space="preserve">MARCHELLA ANGELINA </v>
      </c>
      <c r="W192" t="str">
        <v>535220001</v>
      </c>
      <c r="X192" t="str">
        <v>Magang</v>
      </c>
    </row>
    <row r="193" spans="1:24" ht="42.95" customHeight="1" x14ac:dyDescent="0.2">
      <c r="A193" s="8">
        <v>6</v>
      </c>
      <c r="B193" s="8">
        <v>3</v>
      </c>
      <c r="C193" s="8">
        <v>0</v>
      </c>
      <c r="D193" s="3">
        <v>535220084</v>
      </c>
      <c r="E193" s="3" t="s">
        <v>142</v>
      </c>
      <c r="F193" t="s">
        <v>170</v>
      </c>
      <c r="G193" s="25">
        <f t="shared" si="2"/>
        <v>0</v>
      </c>
      <c r="H193" s="24"/>
      <c r="K193" s="5">
        <v>5</v>
      </c>
      <c r="L193" s="5">
        <v>1</v>
      </c>
      <c r="M193" s="5">
        <v>2</v>
      </c>
      <c r="N193" s="5" t="s">
        <v>1079</v>
      </c>
      <c r="O193" s="5" t="s">
        <v>368</v>
      </c>
      <c r="P193" s="5" t="s">
        <v>142</v>
      </c>
      <c r="Q193" s="5" t="s">
        <v>167</v>
      </c>
      <c r="S193">
        <v>3</v>
      </c>
      <c r="T193">
        <v>1</v>
      </c>
      <c r="U193">
        <v>2</v>
      </c>
      <c r="V193" t="str">
        <v>WILLSEN YOGI PRASETIA</v>
      </c>
      <c r="W193" t="str">
        <v>535220010</v>
      </c>
      <c r="X193" t="str">
        <v>Magang</v>
      </c>
    </row>
    <row r="194" spans="1:24" ht="44.1" customHeight="1" x14ac:dyDescent="0.2">
      <c r="A194" s="8">
        <v>6</v>
      </c>
      <c r="B194" s="8">
        <v>3</v>
      </c>
      <c r="C194" s="8">
        <v>0</v>
      </c>
      <c r="D194" s="3">
        <v>535220034</v>
      </c>
      <c r="E194" s="3" t="s">
        <v>142</v>
      </c>
      <c r="F194" t="s">
        <v>167</v>
      </c>
      <c r="G194" s="25">
        <f t="shared" ref="G194:G257" si="3">IF(F194=M194,1,0)</f>
        <v>0</v>
      </c>
      <c r="H194" s="24"/>
      <c r="K194" s="5">
        <v>5</v>
      </c>
      <c r="L194" s="5">
        <v>1</v>
      </c>
      <c r="M194" s="5">
        <v>2</v>
      </c>
      <c r="N194" s="5" t="s">
        <v>1080</v>
      </c>
      <c r="O194" s="5" t="s">
        <v>369</v>
      </c>
      <c r="P194" s="5" t="s">
        <v>142</v>
      </c>
      <c r="Q194" s="5" t="s">
        <v>167</v>
      </c>
      <c r="S194">
        <v>3</v>
      </c>
      <c r="T194">
        <v>1</v>
      </c>
      <c r="U194">
        <v>2</v>
      </c>
      <c r="V194" t="str">
        <v>JUSTIN SALIM</v>
      </c>
      <c r="W194" t="str">
        <v>535220017</v>
      </c>
      <c r="X194" t="str">
        <v>Magang</v>
      </c>
    </row>
    <row r="195" spans="1:24" ht="44.1" customHeight="1" x14ac:dyDescent="0.2">
      <c r="A195" s="8">
        <v>6</v>
      </c>
      <c r="B195" s="8">
        <v>3</v>
      </c>
      <c r="C195" s="8">
        <v>0</v>
      </c>
      <c r="D195" s="3">
        <v>535220035</v>
      </c>
      <c r="E195" s="3" t="s">
        <v>142</v>
      </c>
      <c r="F195" t="s">
        <v>167</v>
      </c>
      <c r="G195" s="25">
        <f t="shared" si="3"/>
        <v>0</v>
      </c>
      <c r="H195" s="24"/>
      <c r="K195" s="5">
        <v>5</v>
      </c>
      <c r="L195" s="5">
        <v>1</v>
      </c>
      <c r="M195" s="5">
        <v>2</v>
      </c>
      <c r="N195" s="5" t="s">
        <v>1081</v>
      </c>
      <c r="O195" s="5" t="s">
        <v>370</v>
      </c>
      <c r="P195" s="5" t="s">
        <v>142</v>
      </c>
      <c r="Q195" s="5" t="s">
        <v>167</v>
      </c>
      <c r="S195">
        <v>3</v>
      </c>
      <c r="T195">
        <v>1</v>
      </c>
      <c r="U195">
        <v>2</v>
      </c>
      <c r="V195" t="str">
        <v>SEAN HENRY WIJAYA</v>
      </c>
      <c r="W195" t="str">
        <v>535220019</v>
      </c>
      <c r="X195" t="str">
        <v>Magang</v>
      </c>
    </row>
    <row r="196" spans="1:24" ht="43.5" customHeight="1" x14ac:dyDescent="0.2">
      <c r="A196" s="8">
        <v>6</v>
      </c>
      <c r="B196" s="8">
        <v>3</v>
      </c>
      <c r="C196" s="8">
        <v>0</v>
      </c>
      <c r="D196" s="3">
        <v>535220128</v>
      </c>
      <c r="E196" s="3" t="s">
        <v>142</v>
      </c>
      <c r="F196" t="s">
        <v>166</v>
      </c>
      <c r="G196" s="25">
        <f t="shared" si="3"/>
        <v>0</v>
      </c>
      <c r="H196" s="24"/>
      <c r="K196" s="5">
        <v>5</v>
      </c>
      <c r="L196" s="5">
        <v>1</v>
      </c>
      <c r="M196" s="5">
        <v>2</v>
      </c>
      <c r="N196" s="5" t="s">
        <v>1082</v>
      </c>
      <c r="O196" s="5" t="s">
        <v>371</v>
      </c>
      <c r="P196" s="5" t="s">
        <v>142</v>
      </c>
      <c r="Q196" s="5" t="s">
        <v>167</v>
      </c>
      <c r="S196">
        <v>3</v>
      </c>
      <c r="T196">
        <v>1</v>
      </c>
      <c r="U196">
        <v>2</v>
      </c>
      <c r="V196" t="str">
        <v>HEZEKIAH IVANDI</v>
      </c>
      <c r="W196" t="str">
        <v>535220039</v>
      </c>
      <c r="X196" t="str">
        <v>Magang</v>
      </c>
    </row>
    <row r="197" spans="1:24" ht="44.1" customHeight="1" x14ac:dyDescent="0.2">
      <c r="A197" s="8">
        <v>0</v>
      </c>
      <c r="B197" s="8">
        <v>6</v>
      </c>
      <c r="C197" s="8">
        <v>0</v>
      </c>
      <c r="D197" s="3">
        <v>825220039</v>
      </c>
      <c r="E197" s="3" t="s">
        <v>143</v>
      </c>
      <c r="F197" t="s">
        <v>173</v>
      </c>
      <c r="G197" s="25">
        <f t="shared" si="3"/>
        <v>0</v>
      </c>
      <c r="H197" s="24"/>
      <c r="K197" s="5">
        <v>6</v>
      </c>
      <c r="L197" s="5">
        <v>1</v>
      </c>
      <c r="M197" s="5">
        <v>0</v>
      </c>
      <c r="N197" s="5" t="s">
        <v>1083</v>
      </c>
      <c r="O197" s="5" t="s">
        <v>372</v>
      </c>
      <c r="P197" s="5" t="s">
        <v>145</v>
      </c>
      <c r="Q197" s="5" t="s">
        <v>165</v>
      </c>
      <c r="S197">
        <v>4</v>
      </c>
      <c r="T197">
        <v>1</v>
      </c>
      <c r="U197">
        <v>2</v>
      </c>
      <c r="V197" t="str">
        <v>DHIO SAMUDRA</v>
      </c>
      <c r="W197" t="str">
        <v>535220034</v>
      </c>
      <c r="X197" t="str">
        <v>Magang</v>
      </c>
    </row>
    <row r="198" spans="1:24" ht="42.95" customHeight="1" x14ac:dyDescent="0.2">
      <c r="A198" s="8">
        <v>0</v>
      </c>
      <c r="B198" s="8">
        <v>6</v>
      </c>
      <c r="C198" s="8">
        <v>0</v>
      </c>
      <c r="D198" s="3">
        <v>825220050</v>
      </c>
      <c r="E198" s="3" t="s">
        <v>143</v>
      </c>
      <c r="F198" t="s">
        <v>173</v>
      </c>
      <c r="G198" s="25">
        <f t="shared" si="3"/>
        <v>0</v>
      </c>
      <c r="H198" s="24"/>
      <c r="K198" s="5">
        <v>6</v>
      </c>
      <c r="L198" s="5">
        <v>1</v>
      </c>
      <c r="M198" s="5">
        <v>0</v>
      </c>
      <c r="N198" s="5" t="s">
        <v>1084</v>
      </c>
      <c r="O198" s="5" t="s">
        <v>373</v>
      </c>
      <c r="P198" s="5" t="s">
        <v>145</v>
      </c>
      <c r="Q198" s="5" t="s">
        <v>165</v>
      </c>
      <c r="S198">
        <v>4</v>
      </c>
      <c r="T198">
        <v>1</v>
      </c>
      <c r="U198">
        <v>2</v>
      </c>
      <c r="V198" t="str">
        <v>PUSPA INDAH</v>
      </c>
      <c r="W198" t="str">
        <v>535220035</v>
      </c>
      <c r="X198" t="str">
        <v>Magang</v>
      </c>
    </row>
    <row r="199" spans="1:24" ht="44.1" customHeight="1" x14ac:dyDescent="0.2">
      <c r="A199" s="8">
        <v>0</v>
      </c>
      <c r="B199" s="8">
        <v>6</v>
      </c>
      <c r="C199" s="8">
        <v>0</v>
      </c>
      <c r="D199" s="3">
        <v>825220052</v>
      </c>
      <c r="E199" s="3" t="s">
        <v>143</v>
      </c>
      <c r="F199" t="s">
        <v>173</v>
      </c>
      <c r="G199" s="25">
        <f t="shared" si="3"/>
        <v>0</v>
      </c>
      <c r="H199" s="24"/>
      <c r="K199" s="5">
        <v>6</v>
      </c>
      <c r="L199" s="5">
        <v>1</v>
      </c>
      <c r="M199" s="5">
        <v>0</v>
      </c>
      <c r="N199" s="5" t="s">
        <v>1085</v>
      </c>
      <c r="O199" s="5" t="s">
        <v>374</v>
      </c>
      <c r="P199" s="5" t="s">
        <v>145</v>
      </c>
      <c r="Q199" s="5" t="s">
        <v>165</v>
      </c>
      <c r="S199">
        <v>4</v>
      </c>
      <c r="T199">
        <v>1</v>
      </c>
      <c r="U199">
        <v>2</v>
      </c>
      <c r="V199" t="str">
        <v>WAHYU PAMUNGKAS</v>
      </c>
      <c r="W199" t="str">
        <v>535220037</v>
      </c>
      <c r="X199" t="str">
        <v>Magang</v>
      </c>
    </row>
    <row r="200" spans="1:24" ht="42.95" customHeight="1" x14ac:dyDescent="0.2">
      <c r="A200" s="8">
        <v>0</v>
      </c>
      <c r="B200" s="8">
        <v>6</v>
      </c>
      <c r="C200" s="8">
        <v>0</v>
      </c>
      <c r="D200" s="3">
        <v>825220066</v>
      </c>
      <c r="E200" s="3" t="s">
        <v>143</v>
      </c>
      <c r="F200" t="s">
        <v>173</v>
      </c>
      <c r="G200" s="25">
        <f t="shared" si="3"/>
        <v>0</v>
      </c>
      <c r="H200" s="24"/>
      <c r="K200" s="5">
        <v>6</v>
      </c>
      <c r="L200" s="5">
        <v>1</v>
      </c>
      <c r="M200" s="5">
        <v>0</v>
      </c>
      <c r="N200" s="5" t="s">
        <v>1086</v>
      </c>
      <c r="O200" s="5" t="s">
        <v>375</v>
      </c>
      <c r="P200" s="5" t="s">
        <v>145</v>
      </c>
      <c r="Q200" s="5" t="s">
        <v>165</v>
      </c>
      <c r="S200">
        <v>4</v>
      </c>
      <c r="T200">
        <v>1</v>
      </c>
      <c r="U200">
        <v>2</v>
      </c>
      <c r="V200" t="str">
        <v>VALENTINO ALMENDO RADJAWANE</v>
      </c>
      <c r="W200" t="str">
        <v>535220040</v>
      </c>
      <c r="X200" t="str">
        <v>Magang</v>
      </c>
    </row>
    <row r="201" spans="1:24" ht="43.7" customHeight="1" x14ac:dyDescent="0.2">
      <c r="A201" s="8">
        <v>0</v>
      </c>
      <c r="B201" s="8">
        <v>6</v>
      </c>
      <c r="C201" s="8">
        <v>0</v>
      </c>
      <c r="D201" s="3">
        <v>825220170</v>
      </c>
      <c r="E201" s="3" t="s">
        <v>143</v>
      </c>
      <c r="F201" t="s">
        <v>173</v>
      </c>
      <c r="G201" s="25">
        <f t="shared" si="3"/>
        <v>0</v>
      </c>
      <c r="H201" s="24"/>
      <c r="K201" s="5">
        <v>6</v>
      </c>
      <c r="L201" s="5">
        <v>1</v>
      </c>
      <c r="M201" s="5">
        <v>0</v>
      </c>
      <c r="N201" s="5" t="s">
        <v>1087</v>
      </c>
      <c r="O201" s="5" t="s">
        <v>376</v>
      </c>
      <c r="P201" s="5" t="s">
        <v>145</v>
      </c>
      <c r="Q201" s="5" t="s">
        <v>165</v>
      </c>
      <c r="S201">
        <v>4</v>
      </c>
      <c r="T201">
        <v>1</v>
      </c>
      <c r="U201">
        <v>2</v>
      </c>
      <c r="V201" t="str">
        <v>VINCENT WIJAYA</v>
      </c>
      <c r="W201" t="str">
        <v>535220064</v>
      </c>
      <c r="X201" t="str">
        <v>Magang</v>
      </c>
    </row>
    <row r="202" spans="1:24" ht="42.6" customHeight="1" x14ac:dyDescent="0.2">
      <c r="A202" s="8">
        <v>1</v>
      </c>
      <c r="B202" s="8">
        <v>6</v>
      </c>
      <c r="C202" s="8">
        <v>0</v>
      </c>
      <c r="D202" s="3">
        <v>825200094</v>
      </c>
      <c r="E202" s="3" t="s">
        <v>146</v>
      </c>
      <c r="F202" t="s">
        <v>173</v>
      </c>
      <c r="G202" s="25">
        <f t="shared" si="3"/>
        <v>0</v>
      </c>
      <c r="H202" s="24"/>
      <c r="K202" s="5">
        <v>6</v>
      </c>
      <c r="L202" s="5">
        <v>1</v>
      </c>
      <c r="M202" s="5">
        <v>1</v>
      </c>
      <c r="N202" s="5" t="s">
        <v>1088</v>
      </c>
      <c r="O202" s="5" t="s">
        <v>377</v>
      </c>
      <c r="P202" s="5" t="s">
        <v>143</v>
      </c>
      <c r="Q202" s="5" t="s">
        <v>166</v>
      </c>
      <c r="S202">
        <v>5</v>
      </c>
      <c r="T202">
        <v>1</v>
      </c>
      <c r="U202">
        <v>2</v>
      </c>
      <c r="V202" t="str">
        <v>BRYAN MEYVALDO KANGSADIPUTRA</v>
      </c>
      <c r="W202" t="str">
        <v>535220065</v>
      </c>
      <c r="X202" t="str">
        <v>Magang</v>
      </c>
    </row>
    <row r="203" spans="1:24" ht="44.1" customHeight="1" x14ac:dyDescent="0.2">
      <c r="A203" s="8">
        <v>1</v>
      </c>
      <c r="B203" s="8">
        <v>6</v>
      </c>
      <c r="C203" s="8">
        <v>0</v>
      </c>
      <c r="D203" s="3">
        <v>825220096</v>
      </c>
      <c r="E203" s="3" t="s">
        <v>146</v>
      </c>
      <c r="F203" t="s">
        <v>173</v>
      </c>
      <c r="G203" s="25">
        <f t="shared" si="3"/>
        <v>0</v>
      </c>
      <c r="H203" s="24"/>
      <c r="K203" s="5">
        <v>6</v>
      </c>
      <c r="L203" s="5">
        <v>1</v>
      </c>
      <c r="M203" s="5">
        <v>1</v>
      </c>
      <c r="N203" s="5" t="s">
        <v>1089</v>
      </c>
      <c r="O203" s="5" t="s">
        <v>378</v>
      </c>
      <c r="P203" s="5" t="s">
        <v>143</v>
      </c>
      <c r="Q203" s="5" t="s">
        <v>166</v>
      </c>
      <c r="S203">
        <v>5</v>
      </c>
      <c r="T203">
        <v>1</v>
      </c>
      <c r="U203">
        <v>2</v>
      </c>
      <c r="V203" t="str">
        <v>NATHANAEL KENNETH LAY</v>
      </c>
      <c r="W203" t="str">
        <v>535220066</v>
      </c>
      <c r="X203" t="str">
        <v>Magang</v>
      </c>
    </row>
    <row r="204" spans="1:24" ht="42.95" customHeight="1" x14ac:dyDescent="0.2">
      <c r="A204" s="8">
        <v>1</v>
      </c>
      <c r="B204" s="8">
        <v>6</v>
      </c>
      <c r="C204" s="8">
        <v>0</v>
      </c>
      <c r="D204" s="3">
        <v>535220185</v>
      </c>
      <c r="E204" s="3" t="s">
        <v>145</v>
      </c>
      <c r="F204" t="s">
        <v>165</v>
      </c>
      <c r="G204" s="25">
        <f t="shared" si="3"/>
        <v>0</v>
      </c>
      <c r="H204" s="24"/>
      <c r="K204" s="5">
        <v>6</v>
      </c>
      <c r="L204" s="5">
        <v>1</v>
      </c>
      <c r="M204" s="5">
        <v>1</v>
      </c>
      <c r="N204" s="5" t="s">
        <v>1090</v>
      </c>
      <c r="O204" s="5" t="s">
        <v>379</v>
      </c>
      <c r="P204" s="5" t="s">
        <v>142</v>
      </c>
      <c r="Q204" s="5" t="s">
        <v>167</v>
      </c>
      <c r="S204">
        <v>5</v>
      </c>
      <c r="T204">
        <v>1</v>
      </c>
      <c r="U204">
        <v>2</v>
      </c>
      <c r="V204" t="str">
        <v>NAYAKA WANGSHA LIMPUTRA</v>
      </c>
      <c r="W204" t="str">
        <v>535220067</v>
      </c>
      <c r="X204" t="str">
        <v>Magang</v>
      </c>
    </row>
    <row r="205" spans="1:24" ht="44.1" customHeight="1" x14ac:dyDescent="0.2">
      <c r="A205" s="8">
        <v>1</v>
      </c>
      <c r="B205" s="8">
        <v>6</v>
      </c>
      <c r="C205" s="8">
        <v>0</v>
      </c>
      <c r="D205" s="3">
        <v>535220190</v>
      </c>
      <c r="E205" s="3" t="s">
        <v>145</v>
      </c>
      <c r="F205" t="s">
        <v>165</v>
      </c>
      <c r="G205" s="25">
        <f t="shared" si="3"/>
        <v>0</v>
      </c>
      <c r="H205" s="24"/>
      <c r="K205" s="5">
        <v>6</v>
      </c>
      <c r="L205" s="5">
        <v>1</v>
      </c>
      <c r="M205" s="5">
        <v>1</v>
      </c>
      <c r="N205" s="5" t="s">
        <v>1091</v>
      </c>
      <c r="O205" s="5" t="s">
        <v>380</v>
      </c>
      <c r="P205" s="5" t="s">
        <v>142</v>
      </c>
      <c r="Q205" s="5" t="s">
        <v>167</v>
      </c>
      <c r="S205">
        <v>5</v>
      </c>
      <c r="T205">
        <v>1</v>
      </c>
      <c r="U205">
        <v>2</v>
      </c>
      <c r="V205" t="str">
        <v>LEKREY JEREL JACOB LAIPIOPA</v>
      </c>
      <c r="W205" t="str">
        <v>535220134</v>
      </c>
      <c r="X205" t="str">
        <v>Magang</v>
      </c>
    </row>
    <row r="206" spans="1:24" ht="44.1" customHeight="1" x14ac:dyDescent="0.2">
      <c r="A206" s="8">
        <v>1</v>
      </c>
      <c r="B206" s="8">
        <v>6</v>
      </c>
      <c r="C206" s="8">
        <v>0</v>
      </c>
      <c r="D206" s="3">
        <v>535220192</v>
      </c>
      <c r="E206" s="3" t="s">
        <v>145</v>
      </c>
      <c r="F206" t="s">
        <v>165</v>
      </c>
      <c r="G206" s="25">
        <f t="shared" si="3"/>
        <v>0</v>
      </c>
      <c r="H206" s="24"/>
      <c r="K206" s="5">
        <v>6</v>
      </c>
      <c r="L206" s="5">
        <v>1</v>
      </c>
      <c r="M206" s="5">
        <v>1</v>
      </c>
      <c r="N206" s="5" t="s">
        <v>1092</v>
      </c>
      <c r="O206" s="5" t="s">
        <v>381</v>
      </c>
      <c r="P206" s="5" t="s">
        <v>142</v>
      </c>
      <c r="Q206" s="5" t="s">
        <v>167</v>
      </c>
      <c r="S206">
        <v>5</v>
      </c>
      <c r="T206">
        <v>1</v>
      </c>
      <c r="U206">
        <v>2</v>
      </c>
      <c r="V206" t="str">
        <v>ALDO HARTANTO DEWANTORO</v>
      </c>
      <c r="W206" t="str">
        <v>535220135</v>
      </c>
      <c r="X206" t="str">
        <v>Magang</v>
      </c>
    </row>
    <row r="207" spans="1:24" ht="43.5" customHeight="1" x14ac:dyDescent="0.2">
      <c r="A207" s="8">
        <v>2</v>
      </c>
      <c r="B207" s="8">
        <v>6</v>
      </c>
      <c r="C207" s="8">
        <v>0</v>
      </c>
      <c r="D207" s="3">
        <v>535220227</v>
      </c>
      <c r="E207" s="3" t="s">
        <v>145</v>
      </c>
      <c r="F207" t="s">
        <v>165</v>
      </c>
      <c r="G207" s="25">
        <f t="shared" si="3"/>
        <v>0</v>
      </c>
      <c r="H207" s="24"/>
      <c r="K207" s="5">
        <v>6</v>
      </c>
      <c r="L207" s="5">
        <v>1</v>
      </c>
      <c r="M207" s="5">
        <v>2</v>
      </c>
      <c r="N207" s="5" t="s">
        <v>1093</v>
      </c>
      <c r="O207" s="5" t="s">
        <v>382</v>
      </c>
      <c r="P207" s="5" t="s">
        <v>142</v>
      </c>
      <c r="Q207" s="5" t="s">
        <v>168</v>
      </c>
      <c r="S207">
        <v>6</v>
      </c>
      <c r="T207">
        <v>1</v>
      </c>
      <c r="U207">
        <v>2</v>
      </c>
      <c r="V207" t="str">
        <v>ALDHO LEONARDI</v>
      </c>
      <c r="W207" t="str">
        <v>535220096</v>
      </c>
      <c r="X207" t="str">
        <v>Magang</v>
      </c>
    </row>
    <row r="208" spans="1:24" ht="44.1" customHeight="1" x14ac:dyDescent="0.2">
      <c r="A208" s="8">
        <v>2</v>
      </c>
      <c r="B208" s="8">
        <v>6</v>
      </c>
      <c r="C208" s="8">
        <v>0</v>
      </c>
      <c r="D208" s="3">
        <v>825220001</v>
      </c>
      <c r="E208" s="3" t="s">
        <v>145</v>
      </c>
      <c r="F208" t="s">
        <v>165</v>
      </c>
      <c r="G208" s="25">
        <f t="shared" si="3"/>
        <v>0</v>
      </c>
      <c r="H208" s="24"/>
      <c r="K208" s="5">
        <v>6</v>
      </c>
      <c r="L208" s="5">
        <v>1</v>
      </c>
      <c r="M208" s="5">
        <v>2</v>
      </c>
      <c r="N208" s="5" t="s">
        <v>1094</v>
      </c>
      <c r="O208" s="5" t="s">
        <v>383</v>
      </c>
      <c r="P208" s="5" t="s">
        <v>142</v>
      </c>
      <c r="Q208" s="5" t="s">
        <v>168</v>
      </c>
      <c r="S208">
        <v>6</v>
      </c>
      <c r="T208">
        <v>1</v>
      </c>
      <c r="U208">
        <v>2</v>
      </c>
      <c r="V208" t="str">
        <v>FELICIUS EDWARD TJENDRA</v>
      </c>
      <c r="W208" t="str">
        <v>535220101</v>
      </c>
      <c r="X208" t="str">
        <v>Magang</v>
      </c>
    </row>
    <row r="209" spans="1:24" ht="42.95" customHeight="1" x14ac:dyDescent="0.2">
      <c r="A209" s="8">
        <v>2</v>
      </c>
      <c r="B209" s="8">
        <v>6</v>
      </c>
      <c r="C209" s="8">
        <v>0</v>
      </c>
      <c r="D209" s="3">
        <v>825220029</v>
      </c>
      <c r="E209" s="3" t="s">
        <v>145</v>
      </c>
      <c r="F209" t="s">
        <v>165</v>
      </c>
      <c r="G209" s="25">
        <f t="shared" si="3"/>
        <v>0</v>
      </c>
      <c r="H209" s="24"/>
      <c r="K209" s="5">
        <v>6</v>
      </c>
      <c r="L209" s="5">
        <v>1</v>
      </c>
      <c r="M209" s="5">
        <v>2</v>
      </c>
      <c r="N209" s="5" t="s">
        <v>1095</v>
      </c>
      <c r="O209" s="5" t="s">
        <v>384</v>
      </c>
      <c r="P209" s="5" t="s">
        <v>142</v>
      </c>
      <c r="Q209" s="5" t="s">
        <v>168</v>
      </c>
      <c r="S209">
        <v>6</v>
      </c>
      <c r="T209">
        <v>1</v>
      </c>
      <c r="U209">
        <v>2</v>
      </c>
      <c r="V209" t="str">
        <v>EMMANUEL GARCIA SUMARGO</v>
      </c>
      <c r="W209" t="str">
        <v>535220103</v>
      </c>
      <c r="X209" t="str">
        <v>Magang</v>
      </c>
    </row>
    <row r="210" spans="1:24" ht="44.1" customHeight="1" x14ac:dyDescent="0.2">
      <c r="A210" s="8">
        <v>2</v>
      </c>
      <c r="B210" s="8">
        <v>6</v>
      </c>
      <c r="C210" s="8">
        <v>0</v>
      </c>
      <c r="D210" s="3">
        <v>825220030</v>
      </c>
      <c r="E210" s="3" t="s">
        <v>145</v>
      </c>
      <c r="F210" t="s">
        <v>165</v>
      </c>
      <c r="G210" s="25">
        <f t="shared" si="3"/>
        <v>0</v>
      </c>
      <c r="H210" s="24"/>
      <c r="K210" s="5">
        <v>6</v>
      </c>
      <c r="L210" s="5">
        <v>1</v>
      </c>
      <c r="M210" s="5">
        <v>2</v>
      </c>
      <c r="N210" s="5" t="s">
        <v>1096</v>
      </c>
      <c r="O210" s="5" t="s">
        <v>385</v>
      </c>
      <c r="P210" s="5" t="s">
        <v>142</v>
      </c>
      <c r="Q210" s="5" t="s">
        <v>168</v>
      </c>
      <c r="S210">
        <v>6</v>
      </c>
      <c r="T210">
        <v>1</v>
      </c>
      <c r="U210">
        <v>2</v>
      </c>
      <c r="V210" t="str">
        <v>GABRIELLA IGNATIA</v>
      </c>
      <c r="W210" t="str">
        <v>535220104</v>
      </c>
      <c r="X210" t="str">
        <v>Magang</v>
      </c>
    </row>
    <row r="211" spans="1:24" ht="43.5" customHeight="1" x14ac:dyDescent="0.2">
      <c r="A211" s="8">
        <v>2</v>
      </c>
      <c r="B211" s="8">
        <v>6</v>
      </c>
      <c r="C211" s="8">
        <v>0</v>
      </c>
      <c r="D211" s="3">
        <v>825220069</v>
      </c>
      <c r="E211" s="3" t="s">
        <v>145</v>
      </c>
      <c r="F211" t="s">
        <v>165</v>
      </c>
      <c r="G211" s="25">
        <f t="shared" si="3"/>
        <v>0</v>
      </c>
      <c r="H211" s="24"/>
      <c r="K211" s="5">
        <v>6</v>
      </c>
      <c r="L211" s="5">
        <v>1</v>
      </c>
      <c r="M211" s="5">
        <v>2</v>
      </c>
      <c r="N211" s="5" t="s">
        <v>1097</v>
      </c>
      <c r="O211" s="5" t="s">
        <v>386</v>
      </c>
      <c r="P211" s="5" t="s">
        <v>142</v>
      </c>
      <c r="Q211" s="5" t="s">
        <v>168</v>
      </c>
      <c r="S211">
        <v>6</v>
      </c>
      <c r="T211">
        <v>1</v>
      </c>
      <c r="U211">
        <v>2</v>
      </c>
      <c r="V211" t="str">
        <v>ARETHUSA RAYHAN SUBRATA</v>
      </c>
      <c r="W211" t="str">
        <v>535220164</v>
      </c>
      <c r="X211" t="str">
        <v>Magang</v>
      </c>
    </row>
    <row r="212" spans="1:24" ht="43.5" customHeight="1" x14ac:dyDescent="0.2">
      <c r="A212" s="8">
        <v>3</v>
      </c>
      <c r="B212" s="8">
        <v>6</v>
      </c>
      <c r="C212" s="8">
        <v>0</v>
      </c>
      <c r="D212" s="3">
        <v>825220112</v>
      </c>
      <c r="E212" s="3" t="s">
        <v>145</v>
      </c>
      <c r="F212" t="s">
        <v>165</v>
      </c>
      <c r="G212" s="25">
        <f t="shared" si="3"/>
        <v>0</v>
      </c>
      <c r="H212" s="24"/>
      <c r="K212" s="5">
        <v>0</v>
      </c>
      <c r="L212" s="5">
        <v>2</v>
      </c>
      <c r="M212" s="5">
        <v>0</v>
      </c>
      <c r="N212" s="5" t="s">
        <v>1098</v>
      </c>
      <c r="O212" s="5" t="s">
        <v>387</v>
      </c>
      <c r="P212" s="5" t="s">
        <v>142</v>
      </c>
      <c r="Q212" s="5" t="s">
        <v>169</v>
      </c>
      <c r="S212">
        <v>0</v>
      </c>
      <c r="T212">
        <v>2</v>
      </c>
      <c r="U212">
        <v>0</v>
      </c>
      <c r="V212" t="str">
        <v>VIE HUANG</v>
      </c>
      <c r="W212" t="str">
        <v>535220016</v>
      </c>
      <c r="X212" t="str">
        <v>Magang</v>
      </c>
    </row>
    <row r="213" spans="1:24" ht="42.95" customHeight="1" x14ac:dyDescent="0.2">
      <c r="A213" s="8">
        <v>3</v>
      </c>
      <c r="B213" s="8">
        <v>6</v>
      </c>
      <c r="C213" s="8">
        <v>0</v>
      </c>
      <c r="D213" s="3">
        <v>535220145</v>
      </c>
      <c r="E213" s="3" t="s">
        <v>147</v>
      </c>
      <c r="F213" t="s">
        <v>156</v>
      </c>
      <c r="G213" s="25">
        <f t="shared" si="3"/>
        <v>0</v>
      </c>
      <c r="H213" s="24"/>
      <c r="K213" s="5">
        <v>0</v>
      </c>
      <c r="L213" s="5">
        <v>2</v>
      </c>
      <c r="M213" s="5">
        <v>0</v>
      </c>
      <c r="N213" s="5" t="s">
        <v>1099</v>
      </c>
      <c r="O213" s="5" t="s">
        <v>388</v>
      </c>
      <c r="P213" s="5" t="s">
        <v>142</v>
      </c>
      <c r="Q213" s="5" t="s">
        <v>169</v>
      </c>
      <c r="S213">
        <v>0</v>
      </c>
      <c r="T213">
        <v>2</v>
      </c>
      <c r="U213">
        <v>0</v>
      </c>
      <c r="V213" t="str">
        <v>RICHARD CHRISTIAN</v>
      </c>
      <c r="W213" t="str">
        <v>535220018</v>
      </c>
      <c r="X213" t="str">
        <v>Magang</v>
      </c>
    </row>
    <row r="214" spans="1:24" ht="44.1" customHeight="1" x14ac:dyDescent="0.2">
      <c r="A214" s="8">
        <v>3</v>
      </c>
      <c r="B214" s="8">
        <v>6</v>
      </c>
      <c r="C214" s="8">
        <v>0</v>
      </c>
      <c r="D214" s="3">
        <v>535220228</v>
      </c>
      <c r="E214" s="3" t="s">
        <v>147</v>
      </c>
      <c r="F214" t="s">
        <v>156</v>
      </c>
      <c r="G214" s="25">
        <f t="shared" si="3"/>
        <v>0</v>
      </c>
      <c r="H214" s="24"/>
      <c r="K214" s="5">
        <v>0</v>
      </c>
      <c r="L214" s="5">
        <v>2</v>
      </c>
      <c r="M214" s="5">
        <v>0</v>
      </c>
      <c r="N214" s="5" t="s">
        <v>1100</v>
      </c>
      <c r="O214" s="5" t="s">
        <v>389</v>
      </c>
      <c r="P214" s="5" t="s">
        <v>142</v>
      </c>
      <c r="Q214" s="5" t="s">
        <v>169</v>
      </c>
      <c r="S214">
        <v>0</v>
      </c>
      <c r="T214">
        <v>2</v>
      </c>
      <c r="U214">
        <v>0</v>
      </c>
      <c r="V214" t="str">
        <v>KEVIN IVANDER CHASKA</v>
      </c>
      <c r="W214" t="str">
        <v>535220058</v>
      </c>
      <c r="X214" t="str">
        <v>Magang</v>
      </c>
    </row>
    <row r="215" spans="1:24" ht="44.1" customHeight="1" x14ac:dyDescent="0.2">
      <c r="A215" s="8">
        <v>3</v>
      </c>
      <c r="B215" s="8">
        <v>6</v>
      </c>
      <c r="C215" s="8">
        <v>0</v>
      </c>
      <c r="D215" s="3">
        <v>535220229</v>
      </c>
      <c r="E215" s="3" t="s">
        <v>147</v>
      </c>
      <c r="F215" t="s">
        <v>156</v>
      </c>
      <c r="G215" s="25">
        <f t="shared" si="3"/>
        <v>0</v>
      </c>
      <c r="H215" s="24"/>
      <c r="K215" s="5">
        <v>0</v>
      </c>
      <c r="L215" s="5">
        <v>2</v>
      </c>
      <c r="M215" s="5">
        <v>0</v>
      </c>
      <c r="N215" s="5" t="s">
        <v>1101</v>
      </c>
      <c r="O215" s="5" t="s">
        <v>390</v>
      </c>
      <c r="P215" s="5" t="s">
        <v>142</v>
      </c>
      <c r="Q215" s="5" t="s">
        <v>169</v>
      </c>
      <c r="S215">
        <v>0</v>
      </c>
      <c r="T215">
        <v>2</v>
      </c>
      <c r="U215">
        <v>0</v>
      </c>
      <c r="V215" t="str">
        <v>RICKY FERNANDO JF</v>
      </c>
      <c r="W215" t="str">
        <v>535220059</v>
      </c>
      <c r="X215" t="str">
        <v>Magang</v>
      </c>
    </row>
    <row r="216" spans="1:24" ht="43.5" customHeight="1" x14ac:dyDescent="0.2">
      <c r="A216" s="8">
        <v>3</v>
      </c>
      <c r="B216" s="8">
        <v>6</v>
      </c>
      <c r="C216" s="8">
        <v>0</v>
      </c>
      <c r="D216" s="3">
        <v>825220022</v>
      </c>
      <c r="E216" s="3" t="s">
        <v>147</v>
      </c>
      <c r="F216" t="s">
        <v>156</v>
      </c>
      <c r="G216" s="25">
        <f t="shared" si="3"/>
        <v>0</v>
      </c>
      <c r="H216" s="24"/>
      <c r="K216" s="5">
        <v>0</v>
      </c>
      <c r="L216" s="5">
        <v>2</v>
      </c>
      <c r="M216" s="5">
        <v>0</v>
      </c>
      <c r="N216" s="5" t="s">
        <v>1102</v>
      </c>
      <c r="O216" s="5" t="s">
        <v>391</v>
      </c>
      <c r="P216" s="5" t="s">
        <v>142</v>
      </c>
      <c r="Q216" s="5" t="s">
        <v>169</v>
      </c>
      <c r="S216">
        <v>0</v>
      </c>
      <c r="T216">
        <v>2</v>
      </c>
      <c r="U216">
        <v>0</v>
      </c>
      <c r="V216" t="str">
        <v xml:space="preserve">NANDA GOAW PUTRA </v>
      </c>
      <c r="W216" t="str">
        <v>535220069</v>
      </c>
      <c r="X216" t="str">
        <v>Magang</v>
      </c>
    </row>
    <row r="217" spans="1:24" ht="44.1" customHeight="1" x14ac:dyDescent="0.2">
      <c r="A217" s="8">
        <v>0</v>
      </c>
      <c r="B217" s="8">
        <v>6</v>
      </c>
      <c r="C217" s="8">
        <v>1</v>
      </c>
      <c r="D217" s="3">
        <v>825210038</v>
      </c>
      <c r="E217" s="3" t="s">
        <v>142</v>
      </c>
      <c r="F217" t="s">
        <v>172</v>
      </c>
      <c r="G217" s="25">
        <f t="shared" si="3"/>
        <v>0</v>
      </c>
      <c r="H217" s="24"/>
      <c r="K217" s="5">
        <v>0</v>
      </c>
      <c r="L217" s="5">
        <v>2</v>
      </c>
      <c r="M217" s="5">
        <v>1</v>
      </c>
      <c r="N217" s="5" t="s">
        <v>1103</v>
      </c>
      <c r="O217" s="5" t="s">
        <v>392</v>
      </c>
      <c r="P217" s="5" t="s">
        <v>142</v>
      </c>
      <c r="Q217" s="5" t="s">
        <v>164</v>
      </c>
      <c r="S217">
        <v>1</v>
      </c>
      <c r="T217">
        <v>2</v>
      </c>
      <c r="U217">
        <v>0</v>
      </c>
      <c r="V217" t="str">
        <v>CINDY AURELIA HARDI</v>
      </c>
      <c r="W217" t="str">
        <v>535220110</v>
      </c>
      <c r="X217" t="str">
        <v>Magang</v>
      </c>
    </row>
    <row r="218" spans="1:24" ht="42.95" customHeight="1" x14ac:dyDescent="0.2">
      <c r="A218" s="8">
        <v>0</v>
      </c>
      <c r="B218" s="8">
        <v>6</v>
      </c>
      <c r="C218" s="8">
        <v>1</v>
      </c>
      <c r="D218" s="3">
        <v>825220080</v>
      </c>
      <c r="E218" s="3" t="s">
        <v>142</v>
      </c>
      <c r="F218" t="s">
        <v>172</v>
      </c>
      <c r="G218" s="25">
        <f t="shared" si="3"/>
        <v>0</v>
      </c>
      <c r="H218" s="24"/>
      <c r="K218" s="5">
        <v>0</v>
      </c>
      <c r="L218" s="5">
        <v>2</v>
      </c>
      <c r="M218" s="5">
        <v>1</v>
      </c>
      <c r="N218" s="5" t="s">
        <v>1104</v>
      </c>
      <c r="O218" s="5" t="s">
        <v>393</v>
      </c>
      <c r="P218" s="5" t="s">
        <v>142</v>
      </c>
      <c r="Q218" s="5" t="s">
        <v>164</v>
      </c>
      <c r="S218">
        <v>1</v>
      </c>
      <c r="T218">
        <v>2</v>
      </c>
      <c r="U218">
        <v>0</v>
      </c>
      <c r="V218" t="str">
        <v>MATTHEW ALEXANDER TJAHJADI</v>
      </c>
      <c r="W218" t="str">
        <v>535220117</v>
      </c>
      <c r="X218" t="str">
        <v>Magang</v>
      </c>
    </row>
    <row r="219" spans="1:24" ht="44.1" customHeight="1" x14ac:dyDescent="0.2">
      <c r="A219" s="8">
        <v>0</v>
      </c>
      <c r="B219" s="8">
        <v>6</v>
      </c>
      <c r="C219" s="8">
        <v>1</v>
      </c>
      <c r="D219" s="3">
        <v>825220082</v>
      </c>
      <c r="E219" s="3" t="s">
        <v>142</v>
      </c>
      <c r="F219" t="s">
        <v>172</v>
      </c>
      <c r="G219" s="25">
        <f t="shared" si="3"/>
        <v>0</v>
      </c>
      <c r="H219" s="24"/>
      <c r="K219" s="5">
        <v>0</v>
      </c>
      <c r="L219" s="5">
        <v>2</v>
      </c>
      <c r="M219" s="5">
        <v>1</v>
      </c>
      <c r="N219" s="5" t="s">
        <v>1105</v>
      </c>
      <c r="O219" s="5" t="s">
        <v>394</v>
      </c>
      <c r="P219" s="5" t="s">
        <v>142</v>
      </c>
      <c r="Q219" s="5" t="s">
        <v>164</v>
      </c>
      <c r="S219">
        <v>1</v>
      </c>
      <c r="T219">
        <v>2</v>
      </c>
      <c r="U219">
        <v>0</v>
      </c>
      <c r="V219" t="str">
        <v>DAFLAH TSANY GUSRA</v>
      </c>
      <c r="W219" t="str">
        <v>535220177</v>
      </c>
      <c r="X219" t="str">
        <v>Magang</v>
      </c>
    </row>
    <row r="220" spans="1:24" ht="42.95" customHeight="1" x14ac:dyDescent="0.2">
      <c r="A220" s="8">
        <v>0</v>
      </c>
      <c r="B220" s="8">
        <v>6</v>
      </c>
      <c r="C220" s="8">
        <v>1</v>
      </c>
      <c r="D220" s="3">
        <v>825220085</v>
      </c>
      <c r="E220" s="3" t="s">
        <v>142</v>
      </c>
      <c r="F220" t="s">
        <v>172</v>
      </c>
      <c r="G220" s="25">
        <f t="shared" si="3"/>
        <v>0</v>
      </c>
      <c r="H220" s="24"/>
      <c r="K220" s="5">
        <v>0</v>
      </c>
      <c r="L220" s="5">
        <v>2</v>
      </c>
      <c r="M220" s="5">
        <v>1</v>
      </c>
      <c r="N220" s="5" t="s">
        <v>1106</v>
      </c>
      <c r="O220" s="5" t="s">
        <v>395</v>
      </c>
      <c r="P220" s="5" t="s">
        <v>142</v>
      </c>
      <c r="Q220" s="5" t="s">
        <v>164</v>
      </c>
      <c r="S220">
        <v>1</v>
      </c>
      <c r="T220">
        <v>2</v>
      </c>
      <c r="U220">
        <v>0</v>
      </c>
      <c r="V220" t="str">
        <v>RANDY GUNAWAN</v>
      </c>
      <c r="W220" t="str">
        <v>535220180</v>
      </c>
      <c r="X220" t="str">
        <v>Magang</v>
      </c>
    </row>
    <row r="221" spans="1:24" ht="43.7" customHeight="1" x14ac:dyDescent="0.2">
      <c r="A221" s="8">
        <v>0</v>
      </c>
      <c r="B221" s="8">
        <v>6</v>
      </c>
      <c r="C221" s="8">
        <v>1</v>
      </c>
      <c r="D221" s="3">
        <v>825220086</v>
      </c>
      <c r="E221" s="3" t="s">
        <v>142</v>
      </c>
      <c r="F221" t="s">
        <v>172</v>
      </c>
      <c r="G221" s="25">
        <f t="shared" si="3"/>
        <v>0</v>
      </c>
      <c r="H221" s="24"/>
      <c r="K221" s="5">
        <v>0</v>
      </c>
      <c r="L221" s="5">
        <v>2</v>
      </c>
      <c r="M221" s="5">
        <v>1</v>
      </c>
      <c r="N221" s="5" t="s">
        <v>1107</v>
      </c>
      <c r="O221" s="5" t="s">
        <v>396</v>
      </c>
      <c r="P221" s="5" t="s">
        <v>142</v>
      </c>
      <c r="Q221" s="5" t="s">
        <v>164</v>
      </c>
      <c r="S221">
        <v>1</v>
      </c>
      <c r="T221">
        <v>2</v>
      </c>
      <c r="U221">
        <v>0</v>
      </c>
      <c r="V221" t="str">
        <v>RAVELINO RADISSEY</v>
      </c>
      <c r="W221" t="str">
        <v>535220181</v>
      </c>
      <c r="X221" t="str">
        <v>Magang</v>
      </c>
    </row>
    <row r="222" spans="1:24" ht="42.6" customHeight="1" x14ac:dyDescent="0.2">
      <c r="A222" s="8">
        <v>1</v>
      </c>
      <c r="B222" s="8">
        <v>6</v>
      </c>
      <c r="C222" s="8">
        <v>1</v>
      </c>
      <c r="D222" s="3">
        <v>825220026</v>
      </c>
      <c r="E222" s="3" t="s">
        <v>142</v>
      </c>
      <c r="F222" t="s">
        <v>174</v>
      </c>
      <c r="G222" s="25">
        <f t="shared" si="3"/>
        <v>0</v>
      </c>
      <c r="H222" s="24"/>
      <c r="K222" s="5">
        <v>0</v>
      </c>
      <c r="L222" s="5">
        <v>2</v>
      </c>
      <c r="M222" s="5">
        <v>2</v>
      </c>
      <c r="N222" s="5" t="s">
        <v>1108</v>
      </c>
      <c r="O222" s="5" t="s">
        <v>397</v>
      </c>
      <c r="P222" s="5" t="s">
        <v>145</v>
      </c>
      <c r="Q222" s="5" t="s">
        <v>165</v>
      </c>
      <c r="S222">
        <v>2</v>
      </c>
      <c r="T222">
        <v>2</v>
      </c>
      <c r="U222">
        <v>0</v>
      </c>
      <c r="V222" t="str">
        <v>MERRY ULI ARTHA MANURUNG</v>
      </c>
      <c r="W222" t="str">
        <v>535220263</v>
      </c>
      <c r="X222" t="str">
        <v>Magang</v>
      </c>
    </row>
    <row r="223" spans="1:24" ht="44.1" customHeight="1" x14ac:dyDescent="0.2">
      <c r="A223" s="8">
        <v>1</v>
      </c>
      <c r="B223" s="8">
        <v>6</v>
      </c>
      <c r="C223" s="8">
        <v>1</v>
      </c>
      <c r="D223" s="3">
        <v>825220042</v>
      </c>
      <c r="E223" s="3" t="s">
        <v>142</v>
      </c>
      <c r="F223" t="s">
        <v>174</v>
      </c>
      <c r="G223" s="25">
        <f t="shared" si="3"/>
        <v>0</v>
      </c>
      <c r="H223" s="24"/>
      <c r="K223" s="5">
        <v>0</v>
      </c>
      <c r="L223" s="5">
        <v>2</v>
      </c>
      <c r="M223" s="5">
        <v>2</v>
      </c>
      <c r="N223" s="5" t="s">
        <v>1109</v>
      </c>
      <c r="O223" s="5" t="s">
        <v>398</v>
      </c>
      <c r="P223" s="5" t="s">
        <v>142</v>
      </c>
      <c r="Q223" s="5" t="s">
        <v>167</v>
      </c>
      <c r="S223">
        <v>2</v>
      </c>
      <c r="T223">
        <v>2</v>
      </c>
      <c r="U223">
        <v>0</v>
      </c>
      <c r="V223" t="str">
        <v>ALIYAH ZAHRAH</v>
      </c>
      <c r="W223" t="str">
        <v>535220243</v>
      </c>
      <c r="X223" t="str">
        <v>Stupen</v>
      </c>
    </row>
    <row r="224" spans="1:24" ht="42.95" customHeight="1" x14ac:dyDescent="0.2">
      <c r="A224" s="8">
        <v>1</v>
      </c>
      <c r="B224" s="8">
        <v>6</v>
      </c>
      <c r="C224" s="8">
        <v>1</v>
      </c>
      <c r="D224" s="3">
        <v>825220043</v>
      </c>
      <c r="E224" s="3" t="s">
        <v>142</v>
      </c>
      <c r="F224" t="s">
        <v>174</v>
      </c>
      <c r="G224" s="25">
        <f t="shared" si="3"/>
        <v>0</v>
      </c>
      <c r="H224" s="24"/>
      <c r="K224" s="5">
        <v>0</v>
      </c>
      <c r="L224" s="5">
        <v>2</v>
      </c>
      <c r="M224" s="5">
        <v>2</v>
      </c>
      <c r="N224" s="5" t="s">
        <v>1110</v>
      </c>
      <c r="O224" s="5" t="s">
        <v>399</v>
      </c>
      <c r="P224" s="5" t="s">
        <v>142</v>
      </c>
      <c r="Q224" s="5" t="s">
        <v>167</v>
      </c>
      <c r="S224">
        <v>2</v>
      </c>
      <c r="T224">
        <v>2</v>
      </c>
      <c r="U224">
        <v>0</v>
      </c>
      <c r="V224" t="str">
        <v>IQBAL ALFARIDZI BALMAN</v>
      </c>
      <c r="W224" t="str">
        <v>535220248</v>
      </c>
      <c r="X224" t="str">
        <v>Stupen</v>
      </c>
    </row>
    <row r="225" spans="1:24" ht="44.1" customHeight="1" x14ac:dyDescent="0.2">
      <c r="A225" s="8">
        <v>1</v>
      </c>
      <c r="B225" s="8">
        <v>6</v>
      </c>
      <c r="C225" s="8">
        <v>1</v>
      </c>
      <c r="D225" s="3">
        <v>825220044</v>
      </c>
      <c r="E225" s="3" t="s">
        <v>142</v>
      </c>
      <c r="F225" t="s">
        <v>174</v>
      </c>
      <c r="G225" s="25">
        <f t="shared" si="3"/>
        <v>0</v>
      </c>
      <c r="H225" s="24"/>
      <c r="K225" s="5">
        <v>0</v>
      </c>
      <c r="L225" s="5">
        <v>2</v>
      </c>
      <c r="M225" s="5">
        <v>2</v>
      </c>
      <c r="N225" s="5" t="s">
        <v>1111</v>
      </c>
      <c r="O225" s="5" t="s">
        <v>400</v>
      </c>
      <c r="P225" s="5" t="s">
        <v>142</v>
      </c>
      <c r="Q225" s="5" t="s">
        <v>167</v>
      </c>
      <c r="S225">
        <v>2</v>
      </c>
      <c r="T225">
        <v>2</v>
      </c>
      <c r="U225">
        <v>0</v>
      </c>
      <c r="V225" t="str">
        <v>NASWA AZAHRA</v>
      </c>
      <c r="W225" t="str">
        <v>535220252</v>
      </c>
      <c r="X225" t="str">
        <v>Stupen</v>
      </c>
    </row>
    <row r="226" spans="1:24" ht="44.1" customHeight="1" x14ac:dyDescent="0.2">
      <c r="A226" s="8">
        <v>1</v>
      </c>
      <c r="B226" s="8">
        <v>6</v>
      </c>
      <c r="C226" s="8">
        <v>1</v>
      </c>
      <c r="D226" s="3">
        <v>825220053</v>
      </c>
      <c r="E226" s="3" t="s">
        <v>142</v>
      </c>
      <c r="F226" t="s">
        <v>174</v>
      </c>
      <c r="G226" s="25">
        <f t="shared" si="3"/>
        <v>0</v>
      </c>
      <c r="H226" s="24"/>
      <c r="K226" s="5">
        <v>0</v>
      </c>
      <c r="L226" s="5">
        <v>2</v>
      </c>
      <c r="M226" s="5">
        <v>2</v>
      </c>
      <c r="N226" s="5" t="s">
        <v>1112</v>
      </c>
      <c r="O226" s="5" t="s">
        <v>401</v>
      </c>
      <c r="P226" s="5" t="s">
        <v>142</v>
      </c>
      <c r="Q226" s="5" t="s">
        <v>167</v>
      </c>
      <c r="S226">
        <v>2</v>
      </c>
      <c r="T226">
        <v>2</v>
      </c>
      <c r="U226">
        <v>0</v>
      </c>
      <c r="V226" t="str">
        <v>FERARRY WIJAYA</v>
      </c>
      <c r="W226" t="str">
        <v>535220254</v>
      </c>
      <c r="X226" t="str">
        <v>Stupen</v>
      </c>
    </row>
    <row r="227" spans="1:24" ht="43.5" customHeight="1" x14ac:dyDescent="0.2">
      <c r="A227" s="8">
        <v>2</v>
      </c>
      <c r="B227" s="8">
        <v>6</v>
      </c>
      <c r="C227" s="8">
        <v>1</v>
      </c>
      <c r="D227" s="3">
        <v>535220052</v>
      </c>
      <c r="E227" s="3" t="s">
        <v>142</v>
      </c>
      <c r="F227" t="s">
        <v>158</v>
      </c>
      <c r="G227" s="25">
        <f t="shared" si="3"/>
        <v>0</v>
      </c>
      <c r="H227" s="24"/>
      <c r="K227" s="5">
        <v>1</v>
      </c>
      <c r="L227" s="5">
        <v>2</v>
      </c>
      <c r="M227" s="5">
        <v>0</v>
      </c>
      <c r="N227" s="5" t="s">
        <v>1113</v>
      </c>
      <c r="O227" s="5" t="s">
        <v>402</v>
      </c>
      <c r="P227" s="5" t="s">
        <v>142</v>
      </c>
      <c r="Q227" s="5" t="s">
        <v>169</v>
      </c>
      <c r="S227">
        <v>3</v>
      </c>
      <c r="T227">
        <v>2</v>
      </c>
      <c r="U227">
        <v>0</v>
      </c>
      <c r="V227" t="str">
        <v>MICHAEL</v>
      </c>
      <c r="W227" t="str">
        <v>535220261</v>
      </c>
      <c r="X227" t="str">
        <v>Stupen</v>
      </c>
    </row>
    <row r="228" spans="1:24" ht="44.1" customHeight="1" x14ac:dyDescent="0.2">
      <c r="A228" s="8">
        <v>2</v>
      </c>
      <c r="B228" s="8">
        <v>6</v>
      </c>
      <c r="C228" s="8">
        <v>1</v>
      </c>
      <c r="D228" s="3">
        <v>535220085</v>
      </c>
      <c r="E228" s="3" t="s">
        <v>142</v>
      </c>
      <c r="F228" t="s">
        <v>158</v>
      </c>
      <c r="G228" s="25">
        <f t="shared" si="3"/>
        <v>0</v>
      </c>
      <c r="H228" s="24"/>
      <c r="K228" s="5">
        <v>1</v>
      </c>
      <c r="L228" s="5">
        <v>2</v>
      </c>
      <c r="M228" s="5">
        <v>0</v>
      </c>
      <c r="N228" s="5" t="s">
        <v>1114</v>
      </c>
      <c r="O228" s="5" t="s">
        <v>403</v>
      </c>
      <c r="P228" s="5" t="s">
        <v>142</v>
      </c>
      <c r="Q228" s="5" t="s">
        <v>169</v>
      </c>
      <c r="S228">
        <v>3</v>
      </c>
      <c r="T228">
        <v>2</v>
      </c>
      <c r="U228">
        <v>0</v>
      </c>
      <c r="V228" t="str">
        <v>AHMAD RORY</v>
      </c>
      <c r="W228" t="str">
        <v>825220167</v>
      </c>
      <c r="X228" t="str">
        <v>Stupen</v>
      </c>
    </row>
    <row r="229" spans="1:24" ht="42.95" customHeight="1" x14ac:dyDescent="0.2">
      <c r="A229" s="8">
        <v>2</v>
      </c>
      <c r="B229" s="8">
        <v>6</v>
      </c>
      <c r="C229" s="8">
        <v>1</v>
      </c>
      <c r="D229" s="3">
        <v>535220087</v>
      </c>
      <c r="E229" s="3" t="s">
        <v>142</v>
      </c>
      <c r="F229" t="s">
        <v>158</v>
      </c>
      <c r="G229" s="25">
        <f t="shared" si="3"/>
        <v>0</v>
      </c>
      <c r="H229" s="24"/>
      <c r="K229" s="5">
        <v>1</v>
      </c>
      <c r="L229" s="5">
        <v>2</v>
      </c>
      <c r="M229" s="5">
        <v>0</v>
      </c>
      <c r="N229" s="5" t="s">
        <v>1115</v>
      </c>
      <c r="O229" s="5" t="s">
        <v>404</v>
      </c>
      <c r="P229" s="5" t="s">
        <v>142</v>
      </c>
      <c r="Q229" s="5" t="s">
        <v>169</v>
      </c>
      <c r="S229">
        <v>3</v>
      </c>
      <c r="T229">
        <v>2</v>
      </c>
      <c r="U229">
        <v>0</v>
      </c>
      <c r="V229" t="str">
        <v>MICHAEL CHAN</v>
      </c>
      <c r="W229" t="str">
        <v>535220079</v>
      </c>
      <c r="X229" t="str">
        <v>Penelitian</v>
      </c>
    </row>
    <row r="230" spans="1:24" ht="44.1" customHeight="1" x14ac:dyDescent="0.2">
      <c r="A230" s="8">
        <v>2</v>
      </c>
      <c r="B230" s="8">
        <v>6</v>
      </c>
      <c r="C230" s="8">
        <v>1</v>
      </c>
      <c r="D230" s="3">
        <v>535220089</v>
      </c>
      <c r="E230" s="3" t="s">
        <v>142</v>
      </c>
      <c r="F230" t="s">
        <v>158</v>
      </c>
      <c r="G230" s="25">
        <f t="shared" si="3"/>
        <v>0</v>
      </c>
      <c r="H230" s="24"/>
      <c r="K230" s="5">
        <v>1</v>
      </c>
      <c r="L230" s="5">
        <v>2</v>
      </c>
      <c r="M230" s="5">
        <v>0</v>
      </c>
      <c r="N230" s="5" t="s">
        <v>1116</v>
      </c>
      <c r="O230" s="5" t="s">
        <v>405</v>
      </c>
      <c r="P230" s="5" t="s">
        <v>142</v>
      </c>
      <c r="Q230" s="5" t="s">
        <v>169</v>
      </c>
      <c r="S230">
        <v>0</v>
      </c>
      <c r="T230">
        <v>2</v>
      </c>
      <c r="U230">
        <v>1</v>
      </c>
      <c r="V230" t="str">
        <v>NATHANIEL ROWEN</v>
      </c>
      <c r="W230" t="str">
        <v>535220082</v>
      </c>
      <c r="X230" t="str">
        <v>Magang</v>
      </c>
    </row>
    <row r="231" spans="1:24" ht="43.5" customHeight="1" x14ac:dyDescent="0.2">
      <c r="A231" s="8">
        <v>2</v>
      </c>
      <c r="B231" s="8">
        <v>6</v>
      </c>
      <c r="C231" s="8">
        <v>1</v>
      </c>
      <c r="D231" s="3">
        <v>535220091</v>
      </c>
      <c r="E231" s="3" t="s">
        <v>142</v>
      </c>
      <c r="F231" t="s">
        <v>158</v>
      </c>
      <c r="G231" s="25">
        <f t="shared" si="3"/>
        <v>0</v>
      </c>
      <c r="H231" s="24"/>
      <c r="K231" s="5">
        <v>1</v>
      </c>
      <c r="L231" s="5">
        <v>2</v>
      </c>
      <c r="M231" s="5">
        <v>0</v>
      </c>
      <c r="N231" s="5" t="s">
        <v>1117</v>
      </c>
      <c r="O231" s="5" t="s">
        <v>406</v>
      </c>
      <c r="P231" s="5" t="s">
        <v>142</v>
      </c>
      <c r="Q231" s="5" t="s">
        <v>169</v>
      </c>
      <c r="S231">
        <v>0</v>
      </c>
      <c r="T231">
        <v>2</v>
      </c>
      <c r="U231">
        <v>1</v>
      </c>
      <c r="V231" t="str">
        <v>NICO THOMAS</v>
      </c>
      <c r="W231" t="str">
        <v>535220133</v>
      </c>
      <c r="X231" t="str">
        <v>Magang</v>
      </c>
    </row>
    <row r="232" spans="1:24" ht="43.5" customHeight="1" x14ac:dyDescent="0.2">
      <c r="A232" s="8">
        <v>3</v>
      </c>
      <c r="B232" s="8">
        <v>6</v>
      </c>
      <c r="C232" s="8">
        <v>1</v>
      </c>
      <c r="D232" s="3">
        <v>825220076</v>
      </c>
      <c r="E232" s="3" t="s">
        <v>142</v>
      </c>
      <c r="F232" t="s">
        <v>174</v>
      </c>
      <c r="G232" s="25">
        <f t="shared" si="3"/>
        <v>0</v>
      </c>
      <c r="H232" s="24"/>
      <c r="K232" s="5">
        <v>1</v>
      </c>
      <c r="L232" s="5">
        <v>2</v>
      </c>
      <c r="M232" s="5">
        <v>1</v>
      </c>
      <c r="N232" s="5" t="s">
        <v>1118</v>
      </c>
      <c r="O232" s="5" t="s">
        <v>407</v>
      </c>
      <c r="P232" s="5" t="s">
        <v>142</v>
      </c>
      <c r="Q232" s="5" t="s">
        <v>164</v>
      </c>
      <c r="S232">
        <v>0</v>
      </c>
      <c r="T232">
        <v>2</v>
      </c>
      <c r="U232">
        <v>1</v>
      </c>
      <c r="V232" t="str">
        <v>VINCENT ALEXANDER</v>
      </c>
      <c r="W232" t="str">
        <v>535220149</v>
      </c>
      <c r="X232" t="str">
        <v>Magang</v>
      </c>
    </row>
    <row r="233" spans="1:24" ht="42.95" customHeight="1" x14ac:dyDescent="0.2">
      <c r="A233" s="8">
        <v>3</v>
      </c>
      <c r="B233" s="8">
        <v>6</v>
      </c>
      <c r="C233" s="8">
        <v>1</v>
      </c>
      <c r="D233" s="3">
        <v>825220077</v>
      </c>
      <c r="E233" s="3" t="s">
        <v>142</v>
      </c>
      <c r="F233" t="s">
        <v>174</v>
      </c>
      <c r="G233" s="25">
        <f t="shared" si="3"/>
        <v>0</v>
      </c>
      <c r="H233" s="24"/>
      <c r="K233" s="5">
        <v>1</v>
      </c>
      <c r="L233" s="5">
        <v>2</v>
      </c>
      <c r="M233" s="5">
        <v>1</v>
      </c>
      <c r="N233" s="5" t="s">
        <v>1119</v>
      </c>
      <c r="O233" s="5" t="s">
        <v>408</v>
      </c>
      <c r="P233" s="5" t="s">
        <v>142</v>
      </c>
      <c r="Q233" s="5" t="s">
        <v>164</v>
      </c>
      <c r="S233">
        <v>0</v>
      </c>
      <c r="T233">
        <v>2</v>
      </c>
      <c r="U233">
        <v>1</v>
      </c>
      <c r="V233" t="str">
        <v>FU ANDRY PUTRA</v>
      </c>
      <c r="W233" t="str">
        <v>535220152</v>
      </c>
      <c r="X233" t="str">
        <v>Magang</v>
      </c>
    </row>
    <row r="234" spans="1:24" ht="44.1" customHeight="1" x14ac:dyDescent="0.2">
      <c r="A234" s="8">
        <v>3</v>
      </c>
      <c r="B234" s="8">
        <v>6</v>
      </c>
      <c r="C234" s="8">
        <v>1</v>
      </c>
      <c r="D234" s="3">
        <v>825220078</v>
      </c>
      <c r="E234" s="3" t="s">
        <v>142</v>
      </c>
      <c r="F234" t="s">
        <v>174</v>
      </c>
      <c r="G234" s="25">
        <f t="shared" si="3"/>
        <v>0</v>
      </c>
      <c r="H234" s="24"/>
      <c r="K234" s="5">
        <v>1</v>
      </c>
      <c r="L234" s="5">
        <v>2</v>
      </c>
      <c r="M234" s="5">
        <v>1</v>
      </c>
      <c r="N234" s="5" t="s">
        <v>1120</v>
      </c>
      <c r="O234" s="5" t="s">
        <v>409</v>
      </c>
      <c r="P234" s="5" t="s">
        <v>142</v>
      </c>
      <c r="Q234" s="5" t="s">
        <v>164</v>
      </c>
      <c r="S234">
        <v>0</v>
      </c>
      <c r="T234">
        <v>2</v>
      </c>
      <c r="U234">
        <v>1</v>
      </c>
      <c r="V234" t="str">
        <v>HENOKH MIKHAEL KRISTIANTAN</v>
      </c>
      <c r="W234" t="str">
        <v>535220154</v>
      </c>
      <c r="X234" t="str">
        <v>Magang</v>
      </c>
    </row>
    <row r="235" spans="1:24" ht="44.1" customHeight="1" x14ac:dyDescent="0.2">
      <c r="A235" s="8">
        <v>3</v>
      </c>
      <c r="B235" s="8">
        <v>6</v>
      </c>
      <c r="C235" s="8">
        <v>1</v>
      </c>
      <c r="D235" s="3">
        <v>825220079</v>
      </c>
      <c r="E235" s="3" t="s">
        <v>142</v>
      </c>
      <c r="F235" t="s">
        <v>174</v>
      </c>
      <c r="G235" s="25">
        <f t="shared" si="3"/>
        <v>0</v>
      </c>
      <c r="H235" s="24"/>
      <c r="K235" s="5">
        <v>1</v>
      </c>
      <c r="L235" s="5">
        <v>2</v>
      </c>
      <c r="M235" s="5">
        <v>1</v>
      </c>
      <c r="N235" s="5" t="s">
        <v>1121</v>
      </c>
      <c r="O235" s="5" t="s">
        <v>410</v>
      </c>
      <c r="P235" s="5" t="s">
        <v>142</v>
      </c>
      <c r="Q235" s="5" t="s">
        <v>164</v>
      </c>
      <c r="S235">
        <v>1</v>
      </c>
      <c r="T235">
        <v>2</v>
      </c>
      <c r="U235">
        <v>1</v>
      </c>
      <c r="V235" t="str">
        <v xml:space="preserve">AMOS VALENTINO NABABAN </v>
      </c>
      <c r="W235" t="str">
        <v>535220191</v>
      </c>
      <c r="X235" t="str">
        <v>Magang</v>
      </c>
    </row>
    <row r="236" spans="1:24" ht="43.5" customHeight="1" x14ac:dyDescent="0.2">
      <c r="A236" s="8">
        <v>3</v>
      </c>
      <c r="B236" s="8">
        <v>6</v>
      </c>
      <c r="C236" s="8">
        <v>1</v>
      </c>
      <c r="D236" s="3">
        <v>825220127</v>
      </c>
      <c r="E236" s="3" t="s">
        <v>142</v>
      </c>
      <c r="F236" t="s">
        <v>174</v>
      </c>
      <c r="G236" s="25">
        <f t="shared" si="3"/>
        <v>0</v>
      </c>
      <c r="H236" s="24"/>
      <c r="K236" s="5">
        <v>1</v>
      </c>
      <c r="L236" s="5">
        <v>2</v>
      </c>
      <c r="M236" s="5">
        <v>1</v>
      </c>
      <c r="N236" s="5" t="s">
        <v>1122</v>
      </c>
      <c r="O236" s="5" t="s">
        <v>411</v>
      </c>
      <c r="P236" s="5" t="s">
        <v>142</v>
      </c>
      <c r="Q236" s="5" t="s">
        <v>164</v>
      </c>
      <c r="S236">
        <v>1</v>
      </c>
      <c r="T236">
        <v>2</v>
      </c>
      <c r="U236">
        <v>1</v>
      </c>
      <c r="V236" t="str">
        <v>DANIEL HARTONO HONORIS</v>
      </c>
      <c r="W236" t="str">
        <v>535220206</v>
      </c>
      <c r="X236" t="str">
        <v>Magang</v>
      </c>
    </row>
    <row r="237" spans="1:24" ht="44.1" customHeight="1" x14ac:dyDescent="0.2">
      <c r="A237" s="8">
        <v>0</v>
      </c>
      <c r="B237" s="8">
        <v>6</v>
      </c>
      <c r="C237" s="8">
        <v>2</v>
      </c>
      <c r="D237" s="3">
        <v>535220039</v>
      </c>
      <c r="E237" s="3" t="s">
        <v>142</v>
      </c>
      <c r="F237" t="s">
        <v>166</v>
      </c>
      <c r="G237" s="25">
        <f t="shared" si="3"/>
        <v>0</v>
      </c>
      <c r="H237" s="24"/>
      <c r="K237" s="5">
        <v>1</v>
      </c>
      <c r="L237" s="5">
        <v>2</v>
      </c>
      <c r="M237" s="5">
        <v>2</v>
      </c>
      <c r="N237" s="5" t="s">
        <v>1123</v>
      </c>
      <c r="O237" s="5" t="s">
        <v>412</v>
      </c>
      <c r="P237" s="5" t="s">
        <v>142</v>
      </c>
      <c r="Q237" s="5" t="s">
        <v>168</v>
      </c>
      <c r="S237">
        <v>1</v>
      </c>
      <c r="T237">
        <v>2</v>
      </c>
      <c r="U237">
        <v>1</v>
      </c>
      <c r="V237" t="str">
        <v>RICKY CANGNIAGO</v>
      </c>
      <c r="W237" t="str">
        <v>535220210</v>
      </c>
      <c r="X237" t="str">
        <v>Magang</v>
      </c>
    </row>
    <row r="238" spans="1:24" ht="42.95" customHeight="1" x14ac:dyDescent="0.2">
      <c r="A238" s="8">
        <v>0</v>
      </c>
      <c r="B238" s="8">
        <v>6</v>
      </c>
      <c r="C238" s="8">
        <v>2</v>
      </c>
      <c r="D238" s="3">
        <v>535220041</v>
      </c>
      <c r="E238" s="3" t="s">
        <v>142</v>
      </c>
      <c r="F238" t="s">
        <v>166</v>
      </c>
      <c r="G238" s="25">
        <f t="shared" si="3"/>
        <v>0</v>
      </c>
      <c r="H238" s="24"/>
      <c r="K238" s="5">
        <v>1</v>
      </c>
      <c r="L238" s="5">
        <v>2</v>
      </c>
      <c r="M238" s="5">
        <v>2</v>
      </c>
      <c r="N238" s="5" t="s">
        <v>1124</v>
      </c>
      <c r="O238" s="5" t="s">
        <v>413</v>
      </c>
      <c r="P238" s="5" t="s">
        <v>142</v>
      </c>
      <c r="Q238" s="5" t="s">
        <v>168</v>
      </c>
      <c r="S238">
        <v>1</v>
      </c>
      <c r="T238">
        <v>2</v>
      </c>
      <c r="U238">
        <v>1</v>
      </c>
      <c r="V238" t="str">
        <v>AURELLIUS JEREMIAH THOMAS</v>
      </c>
      <c r="W238" t="str">
        <v>535220213</v>
      </c>
      <c r="X238" t="str">
        <v>Magang</v>
      </c>
    </row>
    <row r="239" spans="1:24" ht="44.1" customHeight="1" x14ac:dyDescent="0.2">
      <c r="A239" s="8">
        <v>0</v>
      </c>
      <c r="B239" s="8">
        <v>6</v>
      </c>
      <c r="C239" s="8">
        <v>2</v>
      </c>
      <c r="D239" s="3">
        <v>535220051</v>
      </c>
      <c r="E239" s="3" t="s">
        <v>142</v>
      </c>
      <c r="F239" t="s">
        <v>166</v>
      </c>
      <c r="G239" s="25">
        <f t="shared" si="3"/>
        <v>0</v>
      </c>
      <c r="H239" s="24"/>
      <c r="K239" s="5">
        <v>1</v>
      </c>
      <c r="L239" s="5">
        <v>2</v>
      </c>
      <c r="M239" s="5">
        <v>2</v>
      </c>
      <c r="N239" s="5" t="s">
        <v>1125</v>
      </c>
      <c r="O239" s="5" t="s">
        <v>414</v>
      </c>
      <c r="P239" s="5" t="s">
        <v>142</v>
      </c>
      <c r="Q239" s="5" t="s">
        <v>168</v>
      </c>
      <c r="S239">
        <v>1</v>
      </c>
      <c r="T239">
        <v>2</v>
      </c>
      <c r="U239">
        <v>1</v>
      </c>
      <c r="V239" t="str">
        <v>YOGA RAMADHANI KABAKORA</v>
      </c>
      <c r="W239" t="str">
        <v>535220247</v>
      </c>
      <c r="X239" t="str">
        <v>Magang</v>
      </c>
    </row>
    <row r="240" spans="1:24" ht="42.95" customHeight="1" x14ac:dyDescent="0.2">
      <c r="A240" s="8">
        <v>0</v>
      </c>
      <c r="B240" s="8">
        <v>6</v>
      </c>
      <c r="C240" s="8">
        <v>2</v>
      </c>
      <c r="D240" s="3">
        <v>535220146</v>
      </c>
      <c r="E240" s="3" t="s">
        <v>142</v>
      </c>
      <c r="F240" t="s">
        <v>166</v>
      </c>
      <c r="G240" s="25">
        <f t="shared" si="3"/>
        <v>0</v>
      </c>
      <c r="H240" s="24"/>
      <c r="K240" s="5">
        <v>1</v>
      </c>
      <c r="L240" s="5">
        <v>2</v>
      </c>
      <c r="M240" s="5">
        <v>2</v>
      </c>
      <c r="N240" s="5" t="s">
        <v>1126</v>
      </c>
      <c r="O240" s="5" t="s">
        <v>415</v>
      </c>
      <c r="P240" s="5" t="s">
        <v>142</v>
      </c>
      <c r="Q240" s="5" t="s">
        <v>168</v>
      </c>
      <c r="S240">
        <v>2</v>
      </c>
      <c r="T240">
        <v>2</v>
      </c>
      <c r="U240">
        <v>1</v>
      </c>
      <c r="V240" t="str">
        <v xml:space="preserve">LI WEI </v>
      </c>
      <c r="W240" t="str">
        <v>825220054</v>
      </c>
      <c r="X240" t="str">
        <v>Magang</v>
      </c>
    </row>
    <row r="241" spans="1:24" ht="43.7" customHeight="1" x14ac:dyDescent="0.2">
      <c r="A241" s="8">
        <v>0</v>
      </c>
      <c r="B241" s="8">
        <v>6</v>
      </c>
      <c r="C241" s="8">
        <v>2</v>
      </c>
      <c r="D241" s="3">
        <v>535220151</v>
      </c>
      <c r="E241" s="3" t="s">
        <v>142</v>
      </c>
      <c r="F241" t="s">
        <v>166</v>
      </c>
      <c r="G241" s="25">
        <f t="shared" si="3"/>
        <v>0</v>
      </c>
      <c r="H241" s="24"/>
      <c r="K241" s="5">
        <v>1</v>
      </c>
      <c r="L241" s="5">
        <v>2</v>
      </c>
      <c r="M241" s="5">
        <v>2</v>
      </c>
      <c r="N241" s="5" t="s">
        <v>1127</v>
      </c>
      <c r="O241" s="5" t="s">
        <v>416</v>
      </c>
      <c r="P241" s="5" t="s">
        <v>142</v>
      </c>
      <c r="Q241" s="5" t="s">
        <v>168</v>
      </c>
      <c r="S241">
        <v>2</v>
      </c>
      <c r="T241">
        <v>2</v>
      </c>
      <c r="U241">
        <v>1</v>
      </c>
      <c r="V241" t="str">
        <v>ARMANTA TARIGAN</v>
      </c>
      <c r="W241" t="str">
        <v>825220129</v>
      </c>
      <c r="X241" t="str">
        <v>Magang</v>
      </c>
    </row>
    <row r="242" spans="1:24" ht="42.6" customHeight="1" x14ac:dyDescent="0.2">
      <c r="A242" s="8">
        <v>1</v>
      </c>
      <c r="B242" s="8">
        <v>6</v>
      </c>
      <c r="C242" s="8">
        <v>2</v>
      </c>
      <c r="D242" s="3">
        <v>535220161</v>
      </c>
      <c r="E242" s="3" t="s">
        <v>142</v>
      </c>
      <c r="F242" t="s">
        <v>166</v>
      </c>
      <c r="G242" s="25">
        <f t="shared" si="3"/>
        <v>0</v>
      </c>
      <c r="H242" s="24"/>
      <c r="K242" s="5">
        <v>2</v>
      </c>
      <c r="L242" s="5">
        <v>2</v>
      </c>
      <c r="M242" s="5">
        <v>0</v>
      </c>
      <c r="N242" s="5" t="s">
        <v>1128</v>
      </c>
      <c r="O242" s="5" t="s">
        <v>417</v>
      </c>
      <c r="P242" s="5" t="s">
        <v>142</v>
      </c>
      <c r="Q242" s="5" t="s">
        <v>169</v>
      </c>
      <c r="S242">
        <v>2</v>
      </c>
      <c r="T242">
        <v>2</v>
      </c>
      <c r="U242">
        <v>1</v>
      </c>
      <c r="V242" t="str">
        <v>GERRANT ENRIQO HIYA</v>
      </c>
      <c r="W242" t="str">
        <v>825220147</v>
      </c>
      <c r="X242" t="str">
        <v>Magang</v>
      </c>
    </row>
    <row r="243" spans="1:24" ht="44.1" customHeight="1" x14ac:dyDescent="0.2">
      <c r="A243" s="8">
        <v>1</v>
      </c>
      <c r="B243" s="8">
        <v>6</v>
      </c>
      <c r="C243" s="8">
        <v>2</v>
      </c>
      <c r="D243" s="3">
        <v>535220235</v>
      </c>
      <c r="E243" s="3" t="s">
        <v>142</v>
      </c>
      <c r="F243" t="s">
        <v>166</v>
      </c>
      <c r="G243" s="25">
        <f t="shared" si="3"/>
        <v>0</v>
      </c>
      <c r="H243" s="24"/>
      <c r="K243" s="5">
        <v>2</v>
      </c>
      <c r="L243" s="5">
        <v>2</v>
      </c>
      <c r="M243" s="5">
        <v>0</v>
      </c>
      <c r="N243" s="5" t="s">
        <v>1129</v>
      </c>
      <c r="O243" s="5" t="s">
        <v>418</v>
      </c>
      <c r="P243" s="5" t="s">
        <v>143</v>
      </c>
      <c r="Q243" s="5" t="s">
        <v>169</v>
      </c>
      <c r="S243">
        <v>2</v>
      </c>
      <c r="T243">
        <v>2</v>
      </c>
      <c r="U243">
        <v>1</v>
      </c>
      <c r="V243" t="str">
        <v>AMARA THURIDHA</v>
      </c>
      <c r="W243" t="str">
        <v>825220153</v>
      </c>
      <c r="X243" t="str">
        <v>Magang</v>
      </c>
    </row>
    <row r="244" spans="1:24" ht="42.95" customHeight="1" x14ac:dyDescent="0.2">
      <c r="A244" s="8">
        <v>1</v>
      </c>
      <c r="B244" s="8">
        <v>6</v>
      </c>
      <c r="C244" s="8">
        <v>2</v>
      </c>
      <c r="D244" s="3">
        <v>535220056</v>
      </c>
      <c r="E244" s="3" t="s">
        <v>142</v>
      </c>
      <c r="F244" t="s">
        <v>156</v>
      </c>
      <c r="G244" s="25">
        <f t="shared" si="3"/>
        <v>0</v>
      </c>
      <c r="H244" s="24"/>
      <c r="K244" s="5">
        <v>2</v>
      </c>
      <c r="L244" s="5">
        <v>2</v>
      </c>
      <c r="M244" s="5">
        <v>0</v>
      </c>
      <c r="N244" s="5" t="s">
        <v>1130</v>
      </c>
      <c r="O244" s="5" t="s">
        <v>419</v>
      </c>
      <c r="P244" s="5" t="s">
        <v>143</v>
      </c>
      <c r="Q244" s="5" t="s">
        <v>169</v>
      </c>
      <c r="S244">
        <v>2</v>
      </c>
      <c r="T244">
        <v>2</v>
      </c>
      <c r="U244">
        <v>1</v>
      </c>
      <c r="V244" t="str">
        <v>ANDRI RIZKIKA</v>
      </c>
      <c r="W244" t="str">
        <v>825220168</v>
      </c>
      <c r="X244" t="str">
        <v>Magang</v>
      </c>
    </row>
    <row r="245" spans="1:24" ht="44.1" customHeight="1" x14ac:dyDescent="0.2">
      <c r="A245" s="8">
        <v>1</v>
      </c>
      <c r="B245" s="8">
        <v>6</v>
      </c>
      <c r="C245" s="8">
        <v>2</v>
      </c>
      <c r="D245" s="3">
        <v>535220057</v>
      </c>
      <c r="E245" s="3" t="s">
        <v>142</v>
      </c>
      <c r="F245" t="s">
        <v>156</v>
      </c>
      <c r="G245" s="25">
        <f t="shared" si="3"/>
        <v>0</v>
      </c>
      <c r="H245" s="24"/>
      <c r="K245" s="5">
        <v>2</v>
      </c>
      <c r="L245" s="5">
        <v>2</v>
      </c>
      <c r="M245" s="5">
        <v>0</v>
      </c>
      <c r="N245" s="5" t="s">
        <v>1131</v>
      </c>
      <c r="O245" s="5" t="s">
        <v>420</v>
      </c>
      <c r="P245" s="5" t="s">
        <v>143</v>
      </c>
      <c r="Q245" s="5" t="s">
        <v>169</v>
      </c>
      <c r="S245">
        <v>0</v>
      </c>
      <c r="T245">
        <v>2</v>
      </c>
      <c r="U245">
        <v>2</v>
      </c>
      <c r="V245" t="str">
        <v>KEVIN SUSANTO DHARMAWAN</v>
      </c>
      <c r="W245" t="str">
        <v>825220112</v>
      </c>
      <c r="X245" t="str">
        <v>Mengajar</v>
      </c>
    </row>
    <row r="246" spans="1:24" ht="44.1" customHeight="1" x14ac:dyDescent="0.2">
      <c r="A246" s="8">
        <v>1</v>
      </c>
      <c r="B246" s="8">
        <v>6</v>
      </c>
      <c r="C246" s="8">
        <v>2</v>
      </c>
      <c r="D246" s="3">
        <v>535220106</v>
      </c>
      <c r="E246" s="3" t="s">
        <v>142</v>
      </c>
      <c r="F246" t="s">
        <v>156</v>
      </c>
      <c r="G246" s="25">
        <f t="shared" si="3"/>
        <v>0</v>
      </c>
      <c r="H246" s="24"/>
      <c r="K246" s="5">
        <v>2</v>
      </c>
      <c r="L246" s="5">
        <v>2</v>
      </c>
      <c r="M246" s="5">
        <v>0</v>
      </c>
      <c r="N246" s="5" t="s">
        <v>1132</v>
      </c>
      <c r="O246" s="5" t="s">
        <v>421</v>
      </c>
      <c r="P246" s="5" t="s">
        <v>143</v>
      </c>
      <c r="Q246" s="5" t="s">
        <v>169</v>
      </c>
      <c r="S246">
        <v>0</v>
      </c>
      <c r="T246">
        <v>2</v>
      </c>
      <c r="U246">
        <v>2</v>
      </c>
      <c r="V246" t="str">
        <v>FADHEL PUTRA FELMI</v>
      </c>
      <c r="W246" t="str">
        <v>535220182</v>
      </c>
      <c r="X246" t="str">
        <v>Magang</v>
      </c>
    </row>
    <row r="247" spans="1:24" ht="44.1" customHeight="1" x14ac:dyDescent="0.2">
      <c r="A247" s="8">
        <v>2</v>
      </c>
      <c r="B247" s="8">
        <v>6</v>
      </c>
      <c r="C247" s="8">
        <v>2</v>
      </c>
      <c r="D247" s="3">
        <v>535220108</v>
      </c>
      <c r="E247" s="3" t="s">
        <v>142</v>
      </c>
      <c r="F247" t="s">
        <v>156</v>
      </c>
      <c r="G247" s="25">
        <f t="shared" si="3"/>
        <v>0</v>
      </c>
      <c r="H247" s="24"/>
      <c r="K247" s="5">
        <v>2</v>
      </c>
      <c r="L247" s="5">
        <v>2</v>
      </c>
      <c r="M247" s="5">
        <v>1</v>
      </c>
      <c r="N247" s="5" t="s">
        <v>1133</v>
      </c>
      <c r="O247" s="5" t="s">
        <v>422</v>
      </c>
      <c r="P247" s="5" t="s">
        <v>142</v>
      </c>
      <c r="Q247" s="5" t="s">
        <v>168</v>
      </c>
      <c r="S247">
        <v>0</v>
      </c>
      <c r="T247">
        <v>2</v>
      </c>
      <c r="U247">
        <v>2</v>
      </c>
      <c r="V247" t="str">
        <v>KENNETH MARLON TAN</v>
      </c>
      <c r="W247" t="str">
        <v>535220183</v>
      </c>
      <c r="X247" t="str">
        <v>Magang</v>
      </c>
    </row>
    <row r="248" spans="1:24" ht="44.1" customHeight="1" x14ac:dyDescent="0.2">
      <c r="A248" s="8">
        <v>2</v>
      </c>
      <c r="B248" s="8">
        <v>6</v>
      </c>
      <c r="C248" s="8">
        <v>2</v>
      </c>
      <c r="D248" s="3">
        <v>535220109</v>
      </c>
      <c r="E248" s="3" t="s">
        <v>142</v>
      </c>
      <c r="F248" t="s">
        <v>156</v>
      </c>
      <c r="G248" s="25">
        <f t="shared" si="3"/>
        <v>0</v>
      </c>
      <c r="H248" s="24"/>
      <c r="K248" s="5">
        <v>2</v>
      </c>
      <c r="L248" s="5">
        <v>2</v>
      </c>
      <c r="M248" s="5">
        <v>1</v>
      </c>
      <c r="N248" s="5" t="s">
        <v>1134</v>
      </c>
      <c r="O248" s="5" t="s">
        <v>423</v>
      </c>
      <c r="P248" s="5" t="s">
        <v>142</v>
      </c>
      <c r="Q248" s="5" t="s">
        <v>168</v>
      </c>
      <c r="S248">
        <v>0</v>
      </c>
      <c r="T248">
        <v>2</v>
      </c>
      <c r="U248">
        <v>2</v>
      </c>
      <c r="V248" t="str">
        <v>JHONATAN MARIKROS</v>
      </c>
      <c r="W248" t="str">
        <v>535220189</v>
      </c>
      <c r="X248" t="str">
        <v>Magang</v>
      </c>
    </row>
    <row r="249" spans="1:24" ht="42.95" customHeight="1" x14ac:dyDescent="0.2">
      <c r="A249" s="8">
        <v>2</v>
      </c>
      <c r="B249" s="8">
        <v>6</v>
      </c>
      <c r="C249" s="8">
        <v>2</v>
      </c>
      <c r="D249" s="3">
        <v>535220162</v>
      </c>
      <c r="E249" s="3" t="s">
        <v>142</v>
      </c>
      <c r="F249" t="s">
        <v>156</v>
      </c>
      <c r="G249" s="25">
        <f t="shared" si="3"/>
        <v>0</v>
      </c>
      <c r="H249" s="24"/>
      <c r="K249" s="5">
        <v>2</v>
      </c>
      <c r="L249" s="5">
        <v>2</v>
      </c>
      <c r="M249" s="5">
        <v>1</v>
      </c>
      <c r="N249" s="5" t="s">
        <v>1135</v>
      </c>
      <c r="O249" s="5" t="s">
        <v>424</v>
      </c>
      <c r="P249" s="5" t="s">
        <v>142</v>
      </c>
      <c r="Q249" s="5" t="s">
        <v>168</v>
      </c>
      <c r="S249">
        <v>0</v>
      </c>
      <c r="T249">
        <v>2</v>
      </c>
      <c r="U249">
        <v>2</v>
      </c>
      <c r="V249" t="str">
        <v>MUHAMMAD RAFFI HERMAWAN</v>
      </c>
      <c r="W249" t="str">
        <v>535220259</v>
      </c>
      <c r="X249" t="str">
        <v>Magang</v>
      </c>
    </row>
    <row r="250" spans="1:24" ht="44.1" customHeight="1" x14ac:dyDescent="0.2">
      <c r="A250" s="8">
        <v>2</v>
      </c>
      <c r="B250" s="8">
        <v>6</v>
      </c>
      <c r="C250" s="8">
        <v>2</v>
      </c>
      <c r="D250" s="3">
        <v>535220166</v>
      </c>
      <c r="E250" s="3" t="s">
        <v>142</v>
      </c>
      <c r="F250" t="s">
        <v>156</v>
      </c>
      <c r="G250" s="25">
        <f t="shared" si="3"/>
        <v>0</v>
      </c>
      <c r="H250" s="24"/>
      <c r="K250" s="5">
        <v>2</v>
      </c>
      <c r="L250" s="5">
        <v>2</v>
      </c>
      <c r="M250" s="5">
        <v>1</v>
      </c>
      <c r="N250" s="5" t="s">
        <v>1136</v>
      </c>
      <c r="O250" s="5" t="s">
        <v>425</v>
      </c>
      <c r="P250" s="5" t="s">
        <v>142</v>
      </c>
      <c r="Q250" s="5" t="s">
        <v>168</v>
      </c>
      <c r="S250">
        <v>1</v>
      </c>
      <c r="T250">
        <v>2</v>
      </c>
      <c r="U250">
        <v>2</v>
      </c>
      <c r="V250" t="str">
        <v>NOVANDRY APRILIAN</v>
      </c>
      <c r="W250" t="str">
        <v>535220165</v>
      </c>
      <c r="X250" t="str">
        <v>Magang</v>
      </c>
    </row>
    <row r="251" spans="1:24" ht="43.5" customHeight="1" x14ac:dyDescent="0.2">
      <c r="A251" s="8">
        <v>2</v>
      </c>
      <c r="B251" s="8">
        <v>6</v>
      </c>
      <c r="C251" s="8">
        <v>2</v>
      </c>
      <c r="D251" s="3">
        <v>535220170</v>
      </c>
      <c r="E251" s="3" t="s">
        <v>142</v>
      </c>
      <c r="F251" t="s">
        <v>156</v>
      </c>
      <c r="G251" s="25">
        <f t="shared" si="3"/>
        <v>0</v>
      </c>
      <c r="H251" s="24"/>
      <c r="K251" s="5">
        <v>2</v>
      </c>
      <c r="L251" s="5">
        <v>2</v>
      </c>
      <c r="M251" s="5">
        <v>1</v>
      </c>
      <c r="N251" s="5" t="s">
        <v>1137</v>
      </c>
      <c r="O251" s="5" t="s">
        <v>426</v>
      </c>
      <c r="P251" s="5" t="s">
        <v>142</v>
      </c>
      <c r="Q251" s="5" t="s">
        <v>168</v>
      </c>
      <c r="S251">
        <v>1</v>
      </c>
      <c r="T251">
        <v>2</v>
      </c>
      <c r="U251">
        <v>2</v>
      </c>
      <c r="V251" t="str">
        <v>RUDI HARTARTO</v>
      </c>
      <c r="W251" t="str">
        <v>535220197</v>
      </c>
      <c r="X251" t="str">
        <v>Magang</v>
      </c>
    </row>
    <row r="252" spans="1:24" ht="44.1" customHeight="1" x14ac:dyDescent="0.2">
      <c r="A252" s="8">
        <v>0</v>
      </c>
      <c r="B252" s="8">
        <v>7</v>
      </c>
      <c r="C252" s="8">
        <v>0</v>
      </c>
      <c r="D252" s="3">
        <v>825220021</v>
      </c>
      <c r="E252" s="3" t="s">
        <v>143</v>
      </c>
      <c r="F252" t="s">
        <v>173</v>
      </c>
      <c r="G252" s="25">
        <f t="shared" si="3"/>
        <v>0</v>
      </c>
      <c r="H252" s="24"/>
      <c r="K252" s="5">
        <v>3</v>
      </c>
      <c r="L252" s="5">
        <v>2</v>
      </c>
      <c r="M252" s="5">
        <v>0</v>
      </c>
      <c r="N252" s="5" t="s">
        <v>961</v>
      </c>
      <c r="O252" s="5" t="s">
        <v>427</v>
      </c>
      <c r="P252" s="5" t="s">
        <v>143</v>
      </c>
      <c r="Q252" s="5" t="s">
        <v>169</v>
      </c>
      <c r="S252">
        <v>1</v>
      </c>
      <c r="T252">
        <v>2</v>
      </c>
      <c r="U252">
        <v>2</v>
      </c>
      <c r="V252" t="str">
        <v>REYNALDO</v>
      </c>
      <c r="W252" t="str">
        <v>535220201</v>
      </c>
      <c r="X252" t="str">
        <v>Magang</v>
      </c>
    </row>
    <row r="253" spans="1:24" ht="42.95" customHeight="1" x14ac:dyDescent="0.2">
      <c r="A253" s="8">
        <v>0</v>
      </c>
      <c r="B253" s="8">
        <v>7</v>
      </c>
      <c r="C253" s="8">
        <v>0</v>
      </c>
      <c r="D253" s="3">
        <v>825220031</v>
      </c>
      <c r="E253" s="3" t="s">
        <v>143</v>
      </c>
      <c r="F253" t="s">
        <v>173</v>
      </c>
      <c r="G253" s="25">
        <f t="shared" si="3"/>
        <v>0</v>
      </c>
      <c r="H253" s="24"/>
      <c r="K253" s="5">
        <v>3</v>
      </c>
      <c r="L253" s="5">
        <v>2</v>
      </c>
      <c r="M253" s="5">
        <v>0</v>
      </c>
      <c r="N253" s="5" t="s">
        <v>1138</v>
      </c>
      <c r="O253" s="5" t="s">
        <v>428</v>
      </c>
      <c r="P253" s="5" t="s">
        <v>143</v>
      </c>
      <c r="Q253" s="5" t="s">
        <v>168</v>
      </c>
      <c r="S253">
        <v>1</v>
      </c>
      <c r="T253">
        <v>2</v>
      </c>
      <c r="U253">
        <v>2</v>
      </c>
      <c r="V253" t="str">
        <v>GILANG SAMUDRO SUWARJONO</v>
      </c>
      <c r="W253" t="str">
        <v>535229202</v>
      </c>
      <c r="X253" t="str">
        <v>Magang</v>
      </c>
    </row>
    <row r="254" spans="1:24" ht="44.1" customHeight="1" x14ac:dyDescent="0.2">
      <c r="A254" s="8">
        <v>0</v>
      </c>
      <c r="B254" s="8">
        <v>7</v>
      </c>
      <c r="C254" s="8">
        <v>0</v>
      </c>
      <c r="D254" s="3">
        <v>825220032</v>
      </c>
      <c r="E254" s="3" t="s">
        <v>143</v>
      </c>
      <c r="F254" t="s">
        <v>173</v>
      </c>
      <c r="G254" s="25">
        <f t="shared" si="3"/>
        <v>0</v>
      </c>
      <c r="H254" s="24"/>
      <c r="K254" s="5">
        <v>3</v>
      </c>
      <c r="L254" s="5">
        <v>2</v>
      </c>
      <c r="M254" s="5">
        <v>0</v>
      </c>
      <c r="N254" s="5" t="s">
        <v>1139</v>
      </c>
      <c r="O254" s="5" t="s">
        <v>429</v>
      </c>
      <c r="P254" s="5" t="s">
        <v>144</v>
      </c>
      <c r="Q254" s="5" t="s">
        <v>168</v>
      </c>
      <c r="S254">
        <v>1</v>
      </c>
      <c r="T254">
        <v>2</v>
      </c>
      <c r="U254">
        <v>2</v>
      </c>
      <c r="V254" t="str">
        <v>CHERYL NATHANIA</v>
      </c>
      <c r="W254" t="str">
        <v>825220051</v>
      </c>
      <c r="X254" t="str">
        <v>Magang</v>
      </c>
    </row>
    <row r="255" spans="1:24" ht="44.1" customHeight="1" x14ac:dyDescent="0.2">
      <c r="A255" s="8">
        <v>0</v>
      </c>
      <c r="B255" s="8">
        <v>7</v>
      </c>
      <c r="C255" s="8">
        <v>0</v>
      </c>
      <c r="D255" s="3">
        <v>825220033</v>
      </c>
      <c r="E255" s="3" t="s">
        <v>143</v>
      </c>
      <c r="F255" t="s">
        <v>173</v>
      </c>
      <c r="G255" s="25">
        <f t="shared" si="3"/>
        <v>0</v>
      </c>
      <c r="H255" s="24"/>
      <c r="K255" s="5">
        <v>4</v>
      </c>
      <c r="L255" s="5">
        <v>3</v>
      </c>
      <c r="M255" s="5">
        <v>0</v>
      </c>
      <c r="N255" s="5" t="s">
        <v>1140</v>
      </c>
      <c r="O255" s="5" t="s">
        <v>430</v>
      </c>
      <c r="P255" s="5" t="s">
        <v>142</v>
      </c>
      <c r="Q255" s="5" t="s">
        <v>170</v>
      </c>
      <c r="S255">
        <v>4</v>
      </c>
      <c r="T255">
        <v>3</v>
      </c>
      <c r="U255">
        <v>0</v>
      </c>
      <c r="V255" t="str">
        <v>JASON PERMANA</v>
      </c>
      <c r="W255" t="str">
        <v>535220002</v>
      </c>
      <c r="X255" t="str">
        <v>Magang</v>
      </c>
    </row>
    <row r="256" spans="1:24" ht="33" customHeight="1" x14ac:dyDescent="0.2">
      <c r="A256" s="8">
        <v>0</v>
      </c>
      <c r="B256" s="8">
        <v>7</v>
      </c>
      <c r="C256" s="8">
        <v>0</v>
      </c>
      <c r="D256" s="4">
        <v>825220035</v>
      </c>
      <c r="E256" s="3" t="s">
        <v>143</v>
      </c>
      <c r="F256" t="s">
        <v>173</v>
      </c>
      <c r="G256" s="25">
        <f t="shared" si="3"/>
        <v>0</v>
      </c>
      <c r="H256" s="24"/>
      <c r="K256" s="5">
        <v>4</v>
      </c>
      <c r="L256" s="5">
        <v>3</v>
      </c>
      <c r="M256" s="5">
        <v>0</v>
      </c>
      <c r="N256" s="5" t="s">
        <v>1141</v>
      </c>
      <c r="O256" s="5" t="s">
        <v>431</v>
      </c>
      <c r="P256" s="5" t="s">
        <v>142</v>
      </c>
      <c r="Q256" s="5" t="s">
        <v>170</v>
      </c>
      <c r="S256">
        <v>4</v>
      </c>
      <c r="T256">
        <v>3</v>
      </c>
      <c r="U256">
        <v>0</v>
      </c>
      <c r="V256" t="str">
        <v>ARYA WIRA KRISTANTO</v>
      </c>
      <c r="W256" t="str">
        <v>535220004</v>
      </c>
      <c r="X256" t="str">
        <v>Magang</v>
      </c>
    </row>
    <row r="257" spans="1:24" ht="42.95" customHeight="1" x14ac:dyDescent="0.2">
      <c r="A257" s="8">
        <v>1</v>
      </c>
      <c r="B257" s="8">
        <v>7</v>
      </c>
      <c r="C257" s="8">
        <v>0</v>
      </c>
      <c r="D257" s="3">
        <v>535220160</v>
      </c>
      <c r="E257" s="3" t="s">
        <v>143</v>
      </c>
      <c r="F257" t="s">
        <v>175</v>
      </c>
      <c r="G257" s="25">
        <f t="shared" si="3"/>
        <v>0</v>
      </c>
      <c r="H257" s="24"/>
      <c r="K257" s="5">
        <v>4</v>
      </c>
      <c r="L257" s="5">
        <v>3</v>
      </c>
      <c r="M257" s="5">
        <v>0</v>
      </c>
      <c r="N257" s="5" t="s">
        <v>1142</v>
      </c>
      <c r="O257" s="5" t="s">
        <v>432</v>
      </c>
      <c r="P257" s="5" t="s">
        <v>142</v>
      </c>
      <c r="Q257" s="5" t="s">
        <v>170</v>
      </c>
      <c r="S257">
        <v>4</v>
      </c>
      <c r="T257">
        <v>3</v>
      </c>
      <c r="U257">
        <v>0</v>
      </c>
      <c r="V257" t="str">
        <v>NICHOLAS MARTIN</v>
      </c>
      <c r="W257" t="str">
        <v>535220027</v>
      </c>
      <c r="X257" t="str">
        <v>Magang</v>
      </c>
    </row>
    <row r="258" spans="1:24" ht="44.1" customHeight="1" x14ac:dyDescent="0.2">
      <c r="A258" s="8">
        <v>1</v>
      </c>
      <c r="B258" s="8">
        <v>7</v>
      </c>
      <c r="C258" s="8">
        <v>0</v>
      </c>
      <c r="D258" s="3">
        <v>535220178</v>
      </c>
      <c r="E258" s="3" t="s">
        <v>143</v>
      </c>
      <c r="F258" t="s">
        <v>175</v>
      </c>
      <c r="G258" s="25">
        <f t="shared" ref="G258:G321" si="4">IF(F258=M258,1,0)</f>
        <v>0</v>
      </c>
      <c r="H258" s="24"/>
      <c r="K258" s="5">
        <v>4</v>
      </c>
      <c r="L258" s="5">
        <v>3</v>
      </c>
      <c r="M258" s="5">
        <v>0</v>
      </c>
      <c r="N258" s="5" t="s">
        <v>1143</v>
      </c>
      <c r="O258" s="5" t="s">
        <v>433</v>
      </c>
      <c r="P258" s="5" t="s">
        <v>142</v>
      </c>
      <c r="Q258" s="5" t="s">
        <v>170</v>
      </c>
      <c r="S258">
        <v>4</v>
      </c>
      <c r="T258">
        <v>3</v>
      </c>
      <c r="U258">
        <v>0</v>
      </c>
      <c r="V258" t="str">
        <v xml:space="preserve">FINNIA LI </v>
      </c>
      <c r="W258" t="str">
        <v>535220030</v>
      </c>
      <c r="X258" t="str">
        <v>Magang</v>
      </c>
    </row>
    <row r="259" spans="1:24" ht="42.95" customHeight="1" x14ac:dyDescent="0.2">
      <c r="A259" s="8">
        <v>1</v>
      </c>
      <c r="B259" s="8">
        <v>7</v>
      </c>
      <c r="C259" s="8">
        <v>0</v>
      </c>
      <c r="D259" s="3">
        <v>535220196</v>
      </c>
      <c r="E259" s="3" t="s">
        <v>143</v>
      </c>
      <c r="F259" t="s">
        <v>175</v>
      </c>
      <c r="G259" s="25">
        <f t="shared" si="4"/>
        <v>0</v>
      </c>
      <c r="H259" s="24"/>
      <c r="K259" s="5">
        <v>4</v>
      </c>
      <c r="L259" s="5">
        <v>3</v>
      </c>
      <c r="M259" s="5">
        <v>0</v>
      </c>
      <c r="N259" s="5" t="s">
        <v>1144</v>
      </c>
      <c r="O259" s="5" t="s">
        <v>434</v>
      </c>
      <c r="P259" s="5" t="s">
        <v>142</v>
      </c>
      <c r="Q259" s="5" t="s">
        <v>170</v>
      </c>
      <c r="S259">
        <v>4</v>
      </c>
      <c r="T259">
        <v>3</v>
      </c>
      <c r="U259">
        <v>0</v>
      </c>
      <c r="V259" t="str">
        <v>KEVIN JONATHAN JM</v>
      </c>
      <c r="W259" t="str">
        <v>535220038</v>
      </c>
      <c r="X259" t="str">
        <v>Magang</v>
      </c>
    </row>
    <row r="260" spans="1:24" ht="44.1" customHeight="1" x14ac:dyDescent="0.2">
      <c r="A260" s="8">
        <v>1</v>
      </c>
      <c r="B260" s="8">
        <v>7</v>
      </c>
      <c r="C260" s="8">
        <v>0</v>
      </c>
      <c r="D260" s="3">
        <v>535220216</v>
      </c>
      <c r="E260" s="3" t="s">
        <v>143</v>
      </c>
      <c r="F260" t="s">
        <v>175</v>
      </c>
      <c r="G260" s="25">
        <f t="shared" si="4"/>
        <v>0</v>
      </c>
      <c r="H260" s="24"/>
      <c r="K260" s="5">
        <v>5</v>
      </c>
      <c r="L260" s="5">
        <v>3</v>
      </c>
      <c r="M260" s="5">
        <v>0</v>
      </c>
      <c r="N260" s="5" t="s">
        <v>1145</v>
      </c>
      <c r="O260" s="5" t="s">
        <v>435</v>
      </c>
      <c r="P260" s="5" t="s">
        <v>142</v>
      </c>
      <c r="Q260" s="5" t="s">
        <v>170</v>
      </c>
      <c r="S260">
        <v>5</v>
      </c>
      <c r="T260">
        <v>3</v>
      </c>
      <c r="U260">
        <v>0</v>
      </c>
      <c r="V260" t="str">
        <v>RICHARD VINCENTIUS</v>
      </c>
      <c r="W260" t="str">
        <v>535220077</v>
      </c>
      <c r="X260" t="str">
        <v>Magang</v>
      </c>
    </row>
    <row r="261" spans="1:24" ht="42.6" customHeight="1" x14ac:dyDescent="0.2">
      <c r="A261" s="8">
        <v>1</v>
      </c>
      <c r="B261" s="8">
        <v>7</v>
      </c>
      <c r="C261" s="8">
        <v>0</v>
      </c>
      <c r="D261" s="3">
        <v>535220219</v>
      </c>
      <c r="E261" s="3" t="s">
        <v>143</v>
      </c>
      <c r="F261" t="s">
        <v>175</v>
      </c>
      <c r="G261" s="25">
        <f t="shared" si="4"/>
        <v>0</v>
      </c>
      <c r="H261" s="24"/>
      <c r="K261" s="5">
        <v>5</v>
      </c>
      <c r="L261" s="5">
        <v>3</v>
      </c>
      <c r="M261" s="5">
        <v>0</v>
      </c>
      <c r="N261" s="5" t="s">
        <v>1146</v>
      </c>
      <c r="O261" s="5" t="s">
        <v>436</v>
      </c>
      <c r="P261" s="5" t="s">
        <v>142</v>
      </c>
      <c r="Q261" s="5" t="s">
        <v>170</v>
      </c>
      <c r="S261">
        <v>5</v>
      </c>
      <c r="T261">
        <v>3</v>
      </c>
      <c r="U261">
        <v>0</v>
      </c>
      <c r="V261" t="str">
        <v xml:space="preserve">KEVIN NATANAEL </v>
      </c>
      <c r="W261" t="str">
        <v>535220084</v>
      </c>
      <c r="X261" t="str">
        <v>Magang</v>
      </c>
    </row>
    <row r="262" spans="1:24" ht="44.1" customHeight="1" x14ac:dyDescent="0.2">
      <c r="A262" s="8">
        <v>2</v>
      </c>
      <c r="B262" s="8">
        <v>7</v>
      </c>
      <c r="C262" s="8">
        <v>0</v>
      </c>
      <c r="D262" s="3">
        <v>535220222</v>
      </c>
      <c r="E262" s="3" t="s">
        <v>143</v>
      </c>
      <c r="F262" t="s">
        <v>175</v>
      </c>
      <c r="G262" s="25">
        <f t="shared" si="4"/>
        <v>0</v>
      </c>
      <c r="H262" s="24"/>
      <c r="K262" s="5">
        <v>5</v>
      </c>
      <c r="L262" s="5">
        <v>3</v>
      </c>
      <c r="M262" s="5">
        <v>0</v>
      </c>
      <c r="N262" s="5" t="s">
        <v>1147</v>
      </c>
      <c r="O262" s="5" t="s">
        <v>437</v>
      </c>
      <c r="P262" s="5" t="s">
        <v>143</v>
      </c>
      <c r="Q262" s="5" t="s">
        <v>170</v>
      </c>
      <c r="S262">
        <v>5</v>
      </c>
      <c r="T262">
        <v>3</v>
      </c>
      <c r="U262">
        <v>0</v>
      </c>
      <c r="V262" t="str">
        <v>STEVAN LUKAS SIAHAAN</v>
      </c>
      <c r="W262" t="str">
        <v>535220053</v>
      </c>
      <c r="X262" t="str">
        <v>Stupen</v>
      </c>
    </row>
    <row r="263" spans="1:24" ht="42.95" customHeight="1" x14ac:dyDescent="0.2">
      <c r="A263" s="8">
        <v>2</v>
      </c>
      <c r="B263" s="8">
        <v>7</v>
      </c>
      <c r="C263" s="8">
        <v>0</v>
      </c>
      <c r="D263" s="3">
        <v>535220226</v>
      </c>
      <c r="E263" s="3" t="s">
        <v>143</v>
      </c>
      <c r="F263" t="s">
        <v>175</v>
      </c>
      <c r="G263" s="25">
        <f t="shared" si="4"/>
        <v>0</v>
      </c>
      <c r="H263" s="24"/>
      <c r="K263" s="5">
        <v>0</v>
      </c>
      <c r="L263" s="5">
        <v>5</v>
      </c>
      <c r="M263" s="5">
        <v>0</v>
      </c>
      <c r="N263" s="5" t="s">
        <v>1148</v>
      </c>
      <c r="O263" s="5" t="s">
        <v>438</v>
      </c>
      <c r="P263" s="5" t="s">
        <v>142</v>
      </c>
      <c r="Q263" s="5" t="s">
        <v>172</v>
      </c>
      <c r="S263">
        <v>0</v>
      </c>
      <c r="T263">
        <v>5</v>
      </c>
      <c r="U263">
        <v>0</v>
      </c>
      <c r="V263" t="str">
        <v>GULIELMUS JASON</v>
      </c>
      <c r="W263" t="str">
        <v>825210038</v>
      </c>
      <c r="X263" t="str">
        <v>Magang</v>
      </c>
    </row>
    <row r="264" spans="1:24" ht="44.1" customHeight="1" x14ac:dyDescent="0.2">
      <c r="A264" s="8">
        <v>2</v>
      </c>
      <c r="B264" s="8">
        <v>7</v>
      </c>
      <c r="C264" s="8">
        <v>0</v>
      </c>
      <c r="D264" s="3">
        <v>535220231</v>
      </c>
      <c r="E264" s="3" t="s">
        <v>143</v>
      </c>
      <c r="F264" t="s">
        <v>175</v>
      </c>
      <c r="G264" s="25">
        <f t="shared" si="4"/>
        <v>0</v>
      </c>
      <c r="H264" s="24"/>
      <c r="K264" s="5">
        <v>0</v>
      </c>
      <c r="L264" s="5">
        <v>5</v>
      </c>
      <c r="M264" s="5">
        <v>0</v>
      </c>
      <c r="N264" s="5" t="s">
        <v>1149</v>
      </c>
      <c r="O264" s="5" t="s">
        <v>439</v>
      </c>
      <c r="P264" s="5" t="s">
        <v>142</v>
      </c>
      <c r="Q264" s="5" t="s">
        <v>172</v>
      </c>
      <c r="S264">
        <v>0</v>
      </c>
      <c r="T264">
        <v>5</v>
      </c>
      <c r="U264">
        <v>0</v>
      </c>
      <c r="V264" t="str">
        <v>RICHWILL RONALDY</v>
      </c>
      <c r="W264" t="str">
        <v>825220080</v>
      </c>
      <c r="X264" t="str">
        <v>Magang</v>
      </c>
    </row>
    <row r="265" spans="1:24" ht="44.1" customHeight="1" x14ac:dyDescent="0.2">
      <c r="A265" s="8">
        <v>2</v>
      </c>
      <c r="B265" s="8">
        <v>7</v>
      </c>
      <c r="C265" s="8">
        <v>0</v>
      </c>
      <c r="D265" s="3">
        <v>535220237</v>
      </c>
      <c r="E265" s="3" t="s">
        <v>143</v>
      </c>
      <c r="F265" t="s">
        <v>175</v>
      </c>
      <c r="G265" s="25">
        <f t="shared" si="4"/>
        <v>0</v>
      </c>
      <c r="H265" s="24"/>
      <c r="K265" s="5">
        <v>0</v>
      </c>
      <c r="L265" s="5">
        <v>5</v>
      </c>
      <c r="M265" s="5">
        <v>0</v>
      </c>
      <c r="N265" s="5" t="s">
        <v>1150</v>
      </c>
      <c r="O265" s="5" t="s">
        <v>440</v>
      </c>
      <c r="P265" s="5" t="s">
        <v>142</v>
      </c>
      <c r="Q265" s="5" t="s">
        <v>172</v>
      </c>
      <c r="S265">
        <v>0</v>
      </c>
      <c r="T265">
        <v>5</v>
      </c>
      <c r="U265">
        <v>0</v>
      </c>
      <c r="V265" t="str">
        <v>DELON CHRISTOPHER TANDY</v>
      </c>
      <c r="W265" t="str">
        <v>825220082</v>
      </c>
      <c r="X265" t="str">
        <v>Magang</v>
      </c>
    </row>
    <row r="266" spans="1:24" ht="43.35" customHeight="1" x14ac:dyDescent="0.2">
      <c r="A266" s="8">
        <v>2</v>
      </c>
      <c r="B266" s="8">
        <v>7</v>
      </c>
      <c r="C266" s="8">
        <v>0</v>
      </c>
      <c r="D266" s="3">
        <v>535220241</v>
      </c>
      <c r="E266" s="3" t="s">
        <v>143</v>
      </c>
      <c r="F266" t="s">
        <v>175</v>
      </c>
      <c r="G266" s="25">
        <f t="shared" si="4"/>
        <v>0</v>
      </c>
      <c r="H266" s="24"/>
      <c r="K266" s="5">
        <v>0</v>
      </c>
      <c r="L266" s="5">
        <v>5</v>
      </c>
      <c r="M266" s="5">
        <v>0</v>
      </c>
      <c r="N266" s="5" t="s">
        <v>1151</v>
      </c>
      <c r="O266" s="5" t="s">
        <v>441</v>
      </c>
      <c r="P266" s="5" t="s">
        <v>142</v>
      </c>
      <c r="Q266" s="5" t="s">
        <v>172</v>
      </c>
      <c r="S266">
        <v>0</v>
      </c>
      <c r="T266">
        <v>5</v>
      </c>
      <c r="U266">
        <v>0</v>
      </c>
      <c r="V266" t="str">
        <v>ONGGO JULIUS SIDDHARTA</v>
      </c>
      <c r="W266" t="str">
        <v>825220085</v>
      </c>
      <c r="X266" t="str">
        <v>Magang</v>
      </c>
    </row>
    <row r="267" spans="1:24" ht="44.1" customHeight="1" x14ac:dyDescent="0.2">
      <c r="A267" s="8">
        <v>3</v>
      </c>
      <c r="B267" s="8">
        <v>7</v>
      </c>
      <c r="C267" s="8">
        <v>0</v>
      </c>
      <c r="D267" s="3">
        <v>535220243</v>
      </c>
      <c r="E267" s="3" t="s">
        <v>143</v>
      </c>
      <c r="F267" t="s">
        <v>169</v>
      </c>
      <c r="G267" s="25">
        <f t="shared" si="4"/>
        <v>0</v>
      </c>
      <c r="H267" s="24"/>
      <c r="K267" s="5">
        <v>0</v>
      </c>
      <c r="L267" s="5">
        <v>5</v>
      </c>
      <c r="M267" s="5">
        <v>0</v>
      </c>
      <c r="N267" s="5" t="s">
        <v>1152</v>
      </c>
      <c r="O267" s="5" t="s">
        <v>442</v>
      </c>
      <c r="P267" s="5" t="s">
        <v>142</v>
      </c>
      <c r="Q267" s="5" t="s">
        <v>172</v>
      </c>
      <c r="S267">
        <v>0</v>
      </c>
      <c r="T267">
        <v>5</v>
      </c>
      <c r="U267">
        <v>0</v>
      </c>
      <c r="V267" t="str">
        <v>JASON TERRENCE</v>
      </c>
      <c r="W267" t="str">
        <v>825220086</v>
      </c>
      <c r="X267" t="str">
        <v>Magang</v>
      </c>
    </row>
    <row r="268" spans="1:24" ht="44.1" customHeight="1" x14ac:dyDescent="0.2">
      <c r="A268" s="8">
        <v>3</v>
      </c>
      <c r="B268" s="8">
        <v>7</v>
      </c>
      <c r="C268" s="8">
        <v>0</v>
      </c>
      <c r="D268" s="3">
        <v>535220248</v>
      </c>
      <c r="E268" s="3" t="s">
        <v>143</v>
      </c>
      <c r="F268" t="s">
        <v>169</v>
      </c>
      <c r="G268" s="25">
        <f t="shared" si="4"/>
        <v>0</v>
      </c>
      <c r="H268" s="24"/>
      <c r="K268" s="5">
        <v>0</v>
      </c>
      <c r="L268" s="5">
        <v>5</v>
      </c>
      <c r="M268" s="5">
        <v>1</v>
      </c>
      <c r="N268" s="5" t="s">
        <v>1153</v>
      </c>
      <c r="O268" s="5" t="s">
        <v>443</v>
      </c>
      <c r="P268" s="5" t="s">
        <v>142</v>
      </c>
      <c r="Q268" s="5" t="s">
        <v>158</v>
      </c>
      <c r="S268">
        <v>1</v>
      </c>
      <c r="T268">
        <v>5</v>
      </c>
      <c r="U268">
        <v>0</v>
      </c>
      <c r="V268" t="str">
        <v>CECILLIA CHERISH MARDJUKI</v>
      </c>
      <c r="W268" t="str">
        <v>825220090</v>
      </c>
      <c r="X268" t="str">
        <v>Magang</v>
      </c>
    </row>
    <row r="269" spans="1:24" ht="42.95" customHeight="1" x14ac:dyDescent="0.2">
      <c r="A269" s="8">
        <v>3</v>
      </c>
      <c r="B269" s="8">
        <v>7</v>
      </c>
      <c r="C269" s="8">
        <v>0</v>
      </c>
      <c r="D269" s="3">
        <v>535220252</v>
      </c>
      <c r="E269" s="3" t="s">
        <v>143</v>
      </c>
      <c r="F269" t="s">
        <v>169</v>
      </c>
      <c r="G269" s="25">
        <f t="shared" si="4"/>
        <v>0</v>
      </c>
      <c r="H269" s="24"/>
      <c r="K269" s="5">
        <v>0</v>
      </c>
      <c r="L269" s="5">
        <v>5</v>
      </c>
      <c r="M269" s="5">
        <v>1</v>
      </c>
      <c r="N269" s="5" t="s">
        <v>1154</v>
      </c>
      <c r="O269" s="5" t="s">
        <v>444</v>
      </c>
      <c r="P269" s="5" t="s">
        <v>142</v>
      </c>
      <c r="Q269" s="5" t="s">
        <v>158</v>
      </c>
      <c r="S269">
        <v>1</v>
      </c>
      <c r="T269">
        <v>5</v>
      </c>
      <c r="U269">
        <v>0</v>
      </c>
      <c r="V269" t="str">
        <v>MATTHEW SHANE WILIE</v>
      </c>
      <c r="W269" t="str">
        <v>825220091</v>
      </c>
      <c r="X269" t="str">
        <v>Magang</v>
      </c>
    </row>
    <row r="270" spans="1:24" ht="44.1" customHeight="1" x14ac:dyDescent="0.2">
      <c r="A270" s="8">
        <v>3</v>
      </c>
      <c r="B270" s="8">
        <v>7</v>
      </c>
      <c r="C270" s="8">
        <v>0</v>
      </c>
      <c r="D270" s="3">
        <v>535220254</v>
      </c>
      <c r="E270" s="3" t="s">
        <v>143</v>
      </c>
      <c r="F270" t="s">
        <v>169</v>
      </c>
      <c r="G270" s="25">
        <f t="shared" si="4"/>
        <v>0</v>
      </c>
      <c r="H270" s="24"/>
      <c r="K270" s="5">
        <v>0</v>
      </c>
      <c r="L270" s="5">
        <v>5</v>
      </c>
      <c r="M270" s="5">
        <v>1</v>
      </c>
      <c r="N270" s="5" t="s">
        <v>1155</v>
      </c>
      <c r="O270" s="5" t="s">
        <v>445</v>
      </c>
      <c r="P270" s="5" t="s">
        <v>142</v>
      </c>
      <c r="Q270" s="5" t="s">
        <v>158</v>
      </c>
      <c r="S270">
        <v>1</v>
      </c>
      <c r="T270">
        <v>5</v>
      </c>
      <c r="U270">
        <v>0</v>
      </c>
      <c r="V270" t="str">
        <v>YESSIKA MAHARANI TANJUNG</v>
      </c>
      <c r="W270" t="str">
        <v>825220092</v>
      </c>
      <c r="X270" t="str">
        <v>Magang</v>
      </c>
    </row>
    <row r="271" spans="1:24" ht="42.6" customHeight="1" x14ac:dyDescent="0.2">
      <c r="A271" s="8">
        <v>3</v>
      </c>
      <c r="B271" s="8">
        <v>7</v>
      </c>
      <c r="C271" s="8">
        <v>0</v>
      </c>
      <c r="D271" s="3">
        <v>535220261</v>
      </c>
      <c r="E271" s="3" t="s">
        <v>143</v>
      </c>
      <c r="F271" t="s">
        <v>169</v>
      </c>
      <c r="G271" s="25">
        <f t="shared" si="4"/>
        <v>0</v>
      </c>
      <c r="H271" s="24"/>
      <c r="K271" s="5">
        <v>0</v>
      </c>
      <c r="L271" s="5">
        <v>5</v>
      </c>
      <c r="M271" s="5">
        <v>1</v>
      </c>
      <c r="N271" s="5" t="s">
        <v>1156</v>
      </c>
      <c r="O271" s="5" t="s">
        <v>446</v>
      </c>
      <c r="P271" s="5" t="s">
        <v>142</v>
      </c>
      <c r="Q271" s="5" t="s">
        <v>158</v>
      </c>
      <c r="S271">
        <v>1</v>
      </c>
      <c r="T271">
        <v>5</v>
      </c>
      <c r="U271">
        <v>0</v>
      </c>
      <c r="V271" t="str">
        <v>REINERIUS SUKMA DIMAS KRISTIANTORO</v>
      </c>
      <c r="W271" t="str">
        <v>825220097</v>
      </c>
      <c r="X271" t="str">
        <v>Magang</v>
      </c>
    </row>
    <row r="272" spans="1:24" ht="44.1" customHeight="1" x14ac:dyDescent="0.2">
      <c r="A272" s="8">
        <v>4</v>
      </c>
      <c r="B272" s="8">
        <v>7</v>
      </c>
      <c r="C272" s="8">
        <v>0</v>
      </c>
      <c r="D272" s="3">
        <v>825220141</v>
      </c>
      <c r="E272" s="3" t="s">
        <v>142</v>
      </c>
      <c r="F272" t="s">
        <v>174</v>
      </c>
      <c r="G272" s="25">
        <f t="shared" si="4"/>
        <v>0</v>
      </c>
      <c r="H272" s="24"/>
      <c r="K272" s="5">
        <v>0</v>
      </c>
      <c r="L272" s="5">
        <v>5</v>
      </c>
      <c r="M272" s="5">
        <v>1</v>
      </c>
      <c r="N272" s="5" t="s">
        <v>1157</v>
      </c>
      <c r="O272" s="5" t="s">
        <v>447</v>
      </c>
      <c r="P272" s="5" t="s">
        <v>142</v>
      </c>
      <c r="Q272" s="5" t="s">
        <v>158</v>
      </c>
      <c r="S272">
        <v>1</v>
      </c>
      <c r="T272">
        <v>5</v>
      </c>
      <c r="U272">
        <v>0</v>
      </c>
      <c r="V272" t="str">
        <v>YUDHISTIRA WIJAYA KESUMA</v>
      </c>
      <c r="W272" t="str">
        <v>825220098</v>
      </c>
      <c r="X272" t="str">
        <v>Magang</v>
      </c>
    </row>
    <row r="273" spans="1:24" ht="42.95" customHeight="1" x14ac:dyDescent="0.2">
      <c r="A273" s="8">
        <v>4</v>
      </c>
      <c r="B273" s="8">
        <v>7</v>
      </c>
      <c r="C273" s="8">
        <v>0</v>
      </c>
      <c r="D273" s="3">
        <v>825220143</v>
      </c>
      <c r="E273" s="3" t="s">
        <v>142</v>
      </c>
      <c r="F273" t="s">
        <v>174</v>
      </c>
      <c r="G273" s="25">
        <f t="shared" si="4"/>
        <v>0</v>
      </c>
      <c r="H273" s="24"/>
      <c r="K273" s="5">
        <v>1</v>
      </c>
      <c r="L273" s="5">
        <v>5</v>
      </c>
      <c r="M273" s="5">
        <v>0</v>
      </c>
      <c r="N273" s="5" t="s">
        <v>1158</v>
      </c>
      <c r="O273" s="5" t="s">
        <v>448</v>
      </c>
      <c r="P273" s="5" t="s">
        <v>142</v>
      </c>
      <c r="Q273" s="5" t="s">
        <v>172</v>
      </c>
      <c r="S273">
        <v>2</v>
      </c>
      <c r="T273">
        <v>5</v>
      </c>
      <c r="U273">
        <v>0</v>
      </c>
      <c r="V273" t="str">
        <v>WHITNEY</v>
      </c>
      <c r="W273" t="str">
        <v>825220099</v>
      </c>
      <c r="X273" t="str">
        <v>Magang</v>
      </c>
    </row>
    <row r="274" spans="1:24" ht="44.1" customHeight="1" x14ac:dyDescent="0.2">
      <c r="A274" s="8">
        <v>4</v>
      </c>
      <c r="B274" s="8">
        <v>7</v>
      </c>
      <c r="C274" s="8">
        <v>0</v>
      </c>
      <c r="D274" s="3">
        <v>825220156</v>
      </c>
      <c r="E274" s="3" t="s">
        <v>142</v>
      </c>
      <c r="F274" t="s">
        <v>174</v>
      </c>
      <c r="G274" s="25">
        <f t="shared" si="4"/>
        <v>0</v>
      </c>
      <c r="H274" s="24"/>
      <c r="K274" s="5">
        <v>1</v>
      </c>
      <c r="L274" s="5">
        <v>5</v>
      </c>
      <c r="M274" s="5">
        <v>0</v>
      </c>
      <c r="N274" s="5" t="s">
        <v>1159</v>
      </c>
      <c r="O274" s="5" t="s">
        <v>449</v>
      </c>
      <c r="P274" s="5" t="s">
        <v>142</v>
      </c>
      <c r="Q274" s="5" t="s">
        <v>172</v>
      </c>
      <c r="S274">
        <v>2</v>
      </c>
      <c r="T274">
        <v>5</v>
      </c>
      <c r="U274">
        <v>0</v>
      </c>
      <c r="V274" t="str">
        <v>NATHASYA KRISTIANTI FERDIANA</v>
      </c>
      <c r="W274" t="str">
        <v>825220102</v>
      </c>
      <c r="X274" t="str">
        <v>Magang</v>
      </c>
    </row>
    <row r="275" spans="1:24" ht="44.1" customHeight="1" x14ac:dyDescent="0.2">
      <c r="A275" s="8">
        <v>4</v>
      </c>
      <c r="B275" s="8">
        <v>7</v>
      </c>
      <c r="C275" s="8">
        <v>0</v>
      </c>
      <c r="D275" s="3">
        <v>825220172</v>
      </c>
      <c r="E275" s="3" t="s">
        <v>142</v>
      </c>
      <c r="F275" t="s">
        <v>174</v>
      </c>
      <c r="G275" s="25">
        <f t="shared" si="4"/>
        <v>0</v>
      </c>
      <c r="H275" s="24"/>
      <c r="K275" s="5">
        <v>1</v>
      </c>
      <c r="L275" s="5">
        <v>5</v>
      </c>
      <c r="M275" s="5">
        <v>0</v>
      </c>
      <c r="N275" s="5" t="s">
        <v>1160</v>
      </c>
      <c r="O275" s="5" t="s">
        <v>450</v>
      </c>
      <c r="P275" s="5" t="s">
        <v>142</v>
      </c>
      <c r="Q275" s="5" t="s">
        <v>172</v>
      </c>
      <c r="S275">
        <v>2</v>
      </c>
      <c r="T275">
        <v>5</v>
      </c>
      <c r="U275">
        <v>0</v>
      </c>
      <c r="V275" t="str">
        <v>SHIFA AZAHRA PUTRI KURNIA</v>
      </c>
      <c r="W275" t="str">
        <v>825220103</v>
      </c>
      <c r="X275" t="str">
        <v>Magang</v>
      </c>
    </row>
    <row r="276" spans="1:24" ht="42.6" customHeight="1" x14ac:dyDescent="0.2">
      <c r="A276" s="8">
        <v>4</v>
      </c>
      <c r="B276" s="8">
        <v>7</v>
      </c>
      <c r="C276" s="8">
        <v>0</v>
      </c>
      <c r="D276" s="3">
        <v>825220173</v>
      </c>
      <c r="E276" s="3" t="s">
        <v>142</v>
      </c>
      <c r="F276" t="s">
        <v>174</v>
      </c>
      <c r="G276" s="25">
        <f t="shared" si="4"/>
        <v>0</v>
      </c>
      <c r="H276" s="24"/>
      <c r="K276" s="5">
        <v>1</v>
      </c>
      <c r="L276" s="5">
        <v>5</v>
      </c>
      <c r="M276" s="5">
        <v>0</v>
      </c>
      <c r="N276" s="5" t="s">
        <v>1161</v>
      </c>
      <c r="O276" s="5" t="s">
        <v>451</v>
      </c>
      <c r="P276" s="5" t="s">
        <v>142</v>
      </c>
      <c r="Q276" s="5" t="s">
        <v>172</v>
      </c>
      <c r="S276">
        <v>2</v>
      </c>
      <c r="T276">
        <v>5</v>
      </c>
      <c r="U276">
        <v>0</v>
      </c>
      <c r="V276" t="str">
        <v xml:space="preserve">CARISSA PUTERI </v>
      </c>
      <c r="W276" t="str">
        <v>825220110</v>
      </c>
      <c r="X276" t="str">
        <v>Magang</v>
      </c>
    </row>
    <row r="277" spans="1:24" ht="60" customHeight="1" x14ac:dyDescent="0.2">
      <c r="A277" s="11">
        <v>5</v>
      </c>
      <c r="B277" s="8">
        <v>7</v>
      </c>
      <c r="C277" s="8">
        <v>0</v>
      </c>
      <c r="D277" s="4">
        <v>825220070</v>
      </c>
      <c r="E277" s="3" t="s">
        <v>142</v>
      </c>
      <c r="F277" t="s">
        <v>174</v>
      </c>
      <c r="G277" s="25">
        <f t="shared" si="4"/>
        <v>0</v>
      </c>
      <c r="H277" s="24"/>
      <c r="K277" s="5">
        <v>1</v>
      </c>
      <c r="L277" s="5">
        <v>5</v>
      </c>
      <c r="M277" s="5">
        <v>0</v>
      </c>
      <c r="N277" s="5" t="s">
        <v>1162</v>
      </c>
      <c r="O277" s="5" t="s">
        <v>452</v>
      </c>
      <c r="P277" s="5" t="s">
        <v>142</v>
      </c>
      <c r="Q277" s="5" t="s">
        <v>172</v>
      </c>
      <c r="S277">
        <v>2</v>
      </c>
      <c r="T277">
        <v>5</v>
      </c>
      <c r="U277">
        <v>0</v>
      </c>
      <c r="V277" t="str">
        <v>DEDE DWI PRANATA PANNAVUDHO</v>
      </c>
      <c r="W277" t="str">
        <v>825220111</v>
      </c>
      <c r="X277" t="str">
        <v>Magang</v>
      </c>
    </row>
    <row r="278" spans="1:24" ht="44.1" customHeight="1" x14ac:dyDescent="0.2">
      <c r="A278" s="11">
        <v>5</v>
      </c>
      <c r="B278" s="8">
        <v>7</v>
      </c>
      <c r="C278" s="8">
        <v>0</v>
      </c>
      <c r="D278" s="3">
        <v>825220090</v>
      </c>
      <c r="E278" s="3" t="s">
        <v>142</v>
      </c>
      <c r="F278" t="s">
        <v>172</v>
      </c>
      <c r="G278" s="25">
        <f t="shared" si="4"/>
        <v>0</v>
      </c>
      <c r="H278" s="24"/>
      <c r="K278" s="5">
        <v>1</v>
      </c>
      <c r="L278" s="5">
        <v>5</v>
      </c>
      <c r="M278" s="5">
        <v>1</v>
      </c>
      <c r="N278" s="5" t="s">
        <v>1163</v>
      </c>
      <c r="O278" s="5" t="s">
        <v>453</v>
      </c>
      <c r="P278" s="5" t="s">
        <v>142</v>
      </c>
      <c r="Q278" s="5" t="s">
        <v>158</v>
      </c>
      <c r="S278">
        <v>3</v>
      </c>
      <c r="T278">
        <v>5</v>
      </c>
      <c r="U278">
        <v>0</v>
      </c>
      <c r="V278" t="str">
        <v>WILLIAM ALEXANDER</v>
      </c>
      <c r="W278" t="str">
        <v>825220117</v>
      </c>
      <c r="X278" t="str">
        <v>Magang</v>
      </c>
    </row>
    <row r="279" spans="1:24" ht="42.95" customHeight="1" x14ac:dyDescent="0.2">
      <c r="A279" s="11">
        <v>5</v>
      </c>
      <c r="B279" s="8">
        <v>7</v>
      </c>
      <c r="C279" s="8">
        <v>0</v>
      </c>
      <c r="D279" s="3">
        <v>825220091</v>
      </c>
      <c r="E279" s="3" t="s">
        <v>142</v>
      </c>
      <c r="F279" t="s">
        <v>172</v>
      </c>
      <c r="G279" s="25">
        <f t="shared" si="4"/>
        <v>0</v>
      </c>
      <c r="H279" s="24"/>
      <c r="K279" s="5">
        <v>1</v>
      </c>
      <c r="L279" s="5">
        <v>5</v>
      </c>
      <c r="M279" s="5">
        <v>1</v>
      </c>
      <c r="N279" s="5" t="s">
        <v>1164</v>
      </c>
      <c r="O279" s="5" t="s">
        <v>454</v>
      </c>
      <c r="P279" s="5" t="s">
        <v>142</v>
      </c>
      <c r="Q279" s="5" t="s">
        <v>158</v>
      </c>
      <c r="S279">
        <v>0</v>
      </c>
      <c r="T279">
        <v>5</v>
      </c>
      <c r="U279">
        <v>1</v>
      </c>
      <c r="V279" t="str">
        <v>STEVE CARINDRA</v>
      </c>
      <c r="W279" t="str">
        <v>535220094</v>
      </c>
      <c r="X279" t="str">
        <v>Magang</v>
      </c>
    </row>
    <row r="280" spans="1:24" ht="44.1" customHeight="1" x14ac:dyDescent="0.2">
      <c r="A280" s="11">
        <v>5</v>
      </c>
      <c r="B280" s="8">
        <v>7</v>
      </c>
      <c r="C280" s="8">
        <v>0</v>
      </c>
      <c r="D280" s="3">
        <v>825220092</v>
      </c>
      <c r="E280" s="3" t="s">
        <v>142</v>
      </c>
      <c r="F280" t="s">
        <v>172</v>
      </c>
      <c r="G280" s="25">
        <f t="shared" si="4"/>
        <v>0</v>
      </c>
      <c r="H280" s="24"/>
      <c r="K280" s="5">
        <v>1</v>
      </c>
      <c r="L280" s="5">
        <v>5</v>
      </c>
      <c r="M280" s="5">
        <v>1</v>
      </c>
      <c r="N280" s="5" t="s">
        <v>1165</v>
      </c>
      <c r="O280" s="5" t="s">
        <v>455</v>
      </c>
      <c r="P280" s="5" t="s">
        <v>142</v>
      </c>
      <c r="Q280" s="5" t="s">
        <v>158</v>
      </c>
      <c r="S280">
        <v>0</v>
      </c>
      <c r="T280">
        <v>5</v>
      </c>
      <c r="U280">
        <v>1</v>
      </c>
      <c r="V280" t="str">
        <v>HANVIN ADITYA</v>
      </c>
      <c r="W280" t="str">
        <v>535220098</v>
      </c>
      <c r="X280" t="str">
        <v>Magang</v>
      </c>
    </row>
    <row r="281" spans="1:24" ht="43.5" customHeight="1" x14ac:dyDescent="0.2">
      <c r="A281" s="11">
        <v>5</v>
      </c>
      <c r="B281" s="8">
        <v>7</v>
      </c>
      <c r="C281" s="8">
        <v>0</v>
      </c>
      <c r="D281" s="3">
        <v>825220097</v>
      </c>
      <c r="E281" s="3" t="s">
        <v>142</v>
      </c>
      <c r="F281" t="s">
        <v>172</v>
      </c>
      <c r="G281" s="25">
        <f t="shared" si="4"/>
        <v>0</v>
      </c>
      <c r="H281" s="24"/>
      <c r="K281" s="5">
        <v>1</v>
      </c>
      <c r="L281" s="5">
        <v>5</v>
      </c>
      <c r="M281" s="5">
        <v>1</v>
      </c>
      <c r="N281" s="5" t="s">
        <v>1166</v>
      </c>
      <c r="O281" s="5" t="s">
        <v>456</v>
      </c>
      <c r="P281" s="5" t="s">
        <v>142</v>
      </c>
      <c r="Q281" s="5" t="s">
        <v>158</v>
      </c>
      <c r="S281">
        <v>0</v>
      </c>
      <c r="T281">
        <v>5</v>
      </c>
      <c r="U281">
        <v>1</v>
      </c>
      <c r="V281" t="str">
        <v>NICHOLAS EUGENE SUPARDI</v>
      </c>
      <c r="W281" t="str">
        <v>535220102</v>
      </c>
      <c r="X281" t="str">
        <v>Magang</v>
      </c>
    </row>
    <row r="282" spans="1:24" ht="43.5" customHeight="1" x14ac:dyDescent="0.2">
      <c r="A282" s="8">
        <v>6</v>
      </c>
      <c r="B282" s="8">
        <v>7</v>
      </c>
      <c r="C282" s="8">
        <v>0</v>
      </c>
      <c r="D282" s="3">
        <v>535220094</v>
      </c>
      <c r="E282" s="3" t="s">
        <v>142</v>
      </c>
      <c r="F282" t="s">
        <v>158</v>
      </c>
      <c r="G282" s="25">
        <f t="shared" si="4"/>
        <v>0</v>
      </c>
      <c r="H282" s="24"/>
      <c r="K282" s="5">
        <v>1</v>
      </c>
      <c r="L282" s="5">
        <v>5</v>
      </c>
      <c r="M282" s="5">
        <v>1</v>
      </c>
      <c r="N282" s="5" t="s">
        <v>1167</v>
      </c>
      <c r="O282" s="5" t="s">
        <v>457</v>
      </c>
      <c r="P282" s="5" t="s">
        <v>142</v>
      </c>
      <c r="Q282" s="5" t="s">
        <v>158</v>
      </c>
      <c r="S282">
        <v>0</v>
      </c>
      <c r="T282">
        <v>5</v>
      </c>
      <c r="U282">
        <v>1</v>
      </c>
      <c r="V282" t="str">
        <v>HANS NATHANAEL TEDJA</v>
      </c>
      <c r="W282" t="str">
        <v>535220155</v>
      </c>
      <c r="X282" t="str">
        <v>Magang</v>
      </c>
    </row>
    <row r="283" spans="1:24" ht="42.95" customHeight="1" x14ac:dyDescent="0.2">
      <c r="A283" s="8">
        <v>6</v>
      </c>
      <c r="B283" s="8">
        <v>7</v>
      </c>
      <c r="C283" s="8">
        <v>0</v>
      </c>
      <c r="D283" s="3">
        <v>535220098</v>
      </c>
      <c r="E283" s="3" t="s">
        <v>142</v>
      </c>
      <c r="F283" t="s">
        <v>158</v>
      </c>
      <c r="G283" s="25">
        <f t="shared" si="4"/>
        <v>0</v>
      </c>
      <c r="H283" s="24"/>
      <c r="K283" s="5">
        <v>2</v>
      </c>
      <c r="L283" s="5">
        <v>5</v>
      </c>
      <c r="M283" s="5">
        <v>0</v>
      </c>
      <c r="N283" s="5" t="s">
        <v>1168</v>
      </c>
      <c r="O283" s="5" t="s">
        <v>458</v>
      </c>
      <c r="P283" s="5" t="s">
        <v>142</v>
      </c>
      <c r="Q283" s="5" t="s">
        <v>172</v>
      </c>
      <c r="S283">
        <v>0</v>
      </c>
      <c r="T283">
        <v>5</v>
      </c>
      <c r="U283">
        <v>1</v>
      </c>
      <c r="V283" t="str">
        <v>CARLOUIS FERNANDO HARIYADI</v>
      </c>
      <c r="W283" t="str">
        <v>535220156</v>
      </c>
      <c r="X283" t="str">
        <v>Magang</v>
      </c>
    </row>
    <row r="284" spans="1:24" ht="44.1" customHeight="1" x14ac:dyDescent="0.2">
      <c r="A284" s="8">
        <v>6</v>
      </c>
      <c r="B284" s="8">
        <v>7</v>
      </c>
      <c r="C284" s="8">
        <v>0</v>
      </c>
      <c r="D284" s="3">
        <v>535220102</v>
      </c>
      <c r="E284" s="3" t="s">
        <v>142</v>
      </c>
      <c r="F284" t="s">
        <v>158</v>
      </c>
      <c r="G284" s="25">
        <f t="shared" si="4"/>
        <v>0</v>
      </c>
      <c r="H284" s="24"/>
      <c r="K284" s="5">
        <v>2</v>
      </c>
      <c r="L284" s="5">
        <v>5</v>
      </c>
      <c r="M284" s="5">
        <v>0</v>
      </c>
      <c r="N284" s="5" t="s">
        <v>1169</v>
      </c>
      <c r="O284" s="5" t="s">
        <v>459</v>
      </c>
      <c r="P284" s="5" t="s">
        <v>142</v>
      </c>
      <c r="Q284" s="5" t="s">
        <v>172</v>
      </c>
      <c r="S284">
        <v>1</v>
      </c>
      <c r="T284">
        <v>5</v>
      </c>
      <c r="U284">
        <v>1</v>
      </c>
      <c r="V284" t="str">
        <v>DUSTIN JOSHUA ARMANDO WELLIKEN</v>
      </c>
      <c r="W284" t="str">
        <v>535220157</v>
      </c>
      <c r="X284" t="str">
        <v>Magang</v>
      </c>
    </row>
    <row r="285" spans="1:24" ht="44.1" customHeight="1" x14ac:dyDescent="0.2">
      <c r="A285" s="8">
        <v>6</v>
      </c>
      <c r="B285" s="8">
        <v>7</v>
      </c>
      <c r="C285" s="8">
        <v>0</v>
      </c>
      <c r="D285" s="3">
        <v>535220155</v>
      </c>
      <c r="E285" s="3" t="s">
        <v>142</v>
      </c>
      <c r="F285" t="s">
        <v>158</v>
      </c>
      <c r="G285" s="25">
        <f t="shared" si="4"/>
        <v>0</v>
      </c>
      <c r="H285" s="24"/>
      <c r="K285" s="5">
        <v>2</v>
      </c>
      <c r="L285" s="5">
        <v>5</v>
      </c>
      <c r="M285" s="5">
        <v>0</v>
      </c>
      <c r="N285" s="5" t="s">
        <v>1170</v>
      </c>
      <c r="O285" s="5" t="s">
        <v>460</v>
      </c>
      <c r="P285" s="5" t="s">
        <v>142</v>
      </c>
      <c r="Q285" s="5" t="s">
        <v>172</v>
      </c>
      <c r="S285">
        <v>1</v>
      </c>
      <c r="T285">
        <v>5</v>
      </c>
      <c r="U285">
        <v>1</v>
      </c>
      <c r="V285" t="str">
        <v xml:space="preserve">HANS CHRISTIAN HANDOTO </v>
      </c>
      <c r="W285" t="str">
        <v>535220159</v>
      </c>
      <c r="X285" t="str">
        <v>Magang</v>
      </c>
    </row>
    <row r="286" spans="1:24" ht="43.5" customHeight="1" x14ac:dyDescent="0.2">
      <c r="A286" s="8">
        <v>6</v>
      </c>
      <c r="B286" s="8">
        <v>7</v>
      </c>
      <c r="C286" s="8">
        <v>0</v>
      </c>
      <c r="D286" s="3">
        <v>535220156</v>
      </c>
      <c r="E286" s="3" t="s">
        <v>142</v>
      </c>
      <c r="F286" t="s">
        <v>158</v>
      </c>
      <c r="G286" s="25">
        <f t="shared" si="4"/>
        <v>0</v>
      </c>
      <c r="H286" s="24"/>
      <c r="K286" s="5">
        <v>2</v>
      </c>
      <c r="L286" s="5">
        <v>5</v>
      </c>
      <c r="M286" s="5">
        <v>0</v>
      </c>
      <c r="N286" s="5" t="s">
        <v>1171</v>
      </c>
      <c r="O286" s="5" t="s">
        <v>461</v>
      </c>
      <c r="P286" s="5" t="s">
        <v>142</v>
      </c>
      <c r="Q286" s="5" t="s">
        <v>172</v>
      </c>
      <c r="S286">
        <v>1</v>
      </c>
      <c r="T286">
        <v>5</v>
      </c>
      <c r="U286">
        <v>1</v>
      </c>
      <c r="V286" t="str">
        <v>NASHWA SAWITRI DEWAYANI</v>
      </c>
      <c r="W286" t="str">
        <v>535220220</v>
      </c>
      <c r="X286" t="str">
        <v>Magang</v>
      </c>
    </row>
    <row r="287" spans="1:24" ht="44.1" customHeight="1" x14ac:dyDescent="0.2">
      <c r="A287" s="8">
        <v>0</v>
      </c>
      <c r="B287" s="8">
        <v>7</v>
      </c>
      <c r="C287" s="8">
        <v>1</v>
      </c>
      <c r="D287" s="3">
        <v>825220098</v>
      </c>
      <c r="E287" s="3" t="s">
        <v>142</v>
      </c>
      <c r="F287" t="s">
        <v>172</v>
      </c>
      <c r="G287" s="25">
        <f t="shared" si="4"/>
        <v>0</v>
      </c>
      <c r="H287" s="24"/>
      <c r="K287" s="5">
        <v>2</v>
      </c>
      <c r="L287" s="5">
        <v>5</v>
      </c>
      <c r="M287" s="5">
        <v>0</v>
      </c>
      <c r="N287" s="5" t="s">
        <v>1172</v>
      </c>
      <c r="O287" s="5" t="s">
        <v>462</v>
      </c>
      <c r="P287" s="5" t="s">
        <v>142</v>
      </c>
      <c r="Q287" s="5" t="s">
        <v>172</v>
      </c>
      <c r="S287">
        <v>1</v>
      </c>
      <c r="T287">
        <v>5</v>
      </c>
      <c r="U287">
        <v>1</v>
      </c>
      <c r="V287" t="str">
        <v>GERRY DOMINIKI SINAGA</v>
      </c>
      <c r="W287" t="str">
        <v>535220225</v>
      </c>
      <c r="X287" t="str">
        <v>Magang</v>
      </c>
    </row>
    <row r="288" spans="1:24" ht="44.1" customHeight="1" x14ac:dyDescent="0.2">
      <c r="A288" s="8">
        <v>0</v>
      </c>
      <c r="B288" s="8">
        <v>7</v>
      </c>
      <c r="C288" s="8">
        <v>1</v>
      </c>
      <c r="D288" s="3">
        <v>825220099</v>
      </c>
      <c r="E288" s="3" t="s">
        <v>142</v>
      </c>
      <c r="F288" t="s">
        <v>172</v>
      </c>
      <c r="G288" s="25">
        <f t="shared" si="4"/>
        <v>0</v>
      </c>
      <c r="H288" s="24"/>
      <c r="K288" s="5">
        <v>2</v>
      </c>
      <c r="L288" s="5">
        <v>5</v>
      </c>
      <c r="M288" s="5">
        <v>1</v>
      </c>
      <c r="N288" s="5" t="s">
        <v>1173</v>
      </c>
      <c r="O288" s="5" t="s">
        <v>463</v>
      </c>
      <c r="P288" s="5" t="s">
        <v>142</v>
      </c>
      <c r="Q288" s="5" t="s">
        <v>158</v>
      </c>
      <c r="S288">
        <v>1</v>
      </c>
      <c r="T288">
        <v>5</v>
      </c>
      <c r="U288">
        <v>1</v>
      </c>
      <c r="V288" t="str">
        <v>MICHAEL ANGELO JORDAN</v>
      </c>
      <c r="W288" t="str">
        <v>535220246</v>
      </c>
      <c r="X288" t="str">
        <v>Magang</v>
      </c>
    </row>
    <row r="289" spans="1:24" ht="42.95" customHeight="1" x14ac:dyDescent="0.2">
      <c r="A289" s="8">
        <v>0</v>
      </c>
      <c r="B289" s="8">
        <v>7</v>
      </c>
      <c r="C289" s="8">
        <v>1</v>
      </c>
      <c r="D289" s="3">
        <v>825220102</v>
      </c>
      <c r="E289" s="3" t="s">
        <v>142</v>
      </c>
      <c r="F289" t="s">
        <v>172</v>
      </c>
      <c r="G289" s="25">
        <f t="shared" si="4"/>
        <v>0</v>
      </c>
      <c r="H289" s="24"/>
      <c r="K289" s="5">
        <v>3</v>
      </c>
      <c r="L289" s="5">
        <v>5</v>
      </c>
      <c r="M289" s="5">
        <v>0</v>
      </c>
      <c r="N289" s="5" t="s">
        <v>1174</v>
      </c>
      <c r="O289" s="5" t="s">
        <v>464</v>
      </c>
      <c r="P289" s="5" t="s">
        <v>142</v>
      </c>
      <c r="Q289" s="5" t="s">
        <v>172</v>
      </c>
      <c r="S289">
        <v>2</v>
      </c>
      <c r="T289">
        <v>5</v>
      </c>
      <c r="U289">
        <v>1</v>
      </c>
      <c r="V289" t="str">
        <v>WENLY RUSLI</v>
      </c>
      <c r="W289" t="str">
        <v>535220258</v>
      </c>
      <c r="X289" t="str">
        <v>Magang</v>
      </c>
    </row>
    <row r="290" spans="1:24" ht="44.1" customHeight="1" x14ac:dyDescent="0.2">
      <c r="A290" s="8">
        <v>0</v>
      </c>
      <c r="B290" s="8">
        <v>7</v>
      </c>
      <c r="C290" s="8">
        <v>1</v>
      </c>
      <c r="D290" s="3">
        <v>825220103</v>
      </c>
      <c r="E290" s="3" t="s">
        <v>142</v>
      </c>
      <c r="F290" t="s">
        <v>172</v>
      </c>
      <c r="G290" s="25">
        <f t="shared" si="4"/>
        <v>0</v>
      </c>
      <c r="H290" s="24"/>
      <c r="K290" s="5">
        <v>0</v>
      </c>
      <c r="L290" s="5">
        <v>6</v>
      </c>
      <c r="M290" s="5">
        <v>0</v>
      </c>
      <c r="N290" s="5" t="s">
        <v>1175</v>
      </c>
      <c r="O290" s="5" t="s">
        <v>465</v>
      </c>
      <c r="P290" s="5" t="s">
        <v>143</v>
      </c>
      <c r="Q290" s="5" t="s">
        <v>173</v>
      </c>
      <c r="S290">
        <v>0</v>
      </c>
      <c r="T290">
        <v>6</v>
      </c>
      <c r="U290">
        <v>0</v>
      </c>
      <c r="V290" t="str">
        <v>ASTON WILLIAM</v>
      </c>
      <c r="W290" t="str">
        <v>825220005</v>
      </c>
      <c r="X290" t="str">
        <v>Stupen</v>
      </c>
    </row>
    <row r="291" spans="1:24" ht="42.6" customHeight="1" x14ac:dyDescent="0.2">
      <c r="A291" s="8">
        <v>0</v>
      </c>
      <c r="B291" s="8">
        <v>7</v>
      </c>
      <c r="C291" s="8">
        <v>1</v>
      </c>
      <c r="D291" s="3">
        <v>825220110</v>
      </c>
      <c r="E291" s="3" t="s">
        <v>142</v>
      </c>
      <c r="F291" t="s">
        <v>172</v>
      </c>
      <c r="G291" s="25">
        <f t="shared" si="4"/>
        <v>0</v>
      </c>
      <c r="H291" s="24"/>
      <c r="K291" s="5">
        <v>0</v>
      </c>
      <c r="L291" s="5">
        <v>6</v>
      </c>
      <c r="M291" s="5">
        <v>0</v>
      </c>
      <c r="N291" s="5" t="s">
        <v>1176</v>
      </c>
      <c r="O291" s="5" t="s">
        <v>466</v>
      </c>
      <c r="P291" s="5" t="s">
        <v>143</v>
      </c>
      <c r="Q291" s="5" t="s">
        <v>173</v>
      </c>
      <c r="S291">
        <v>0</v>
      </c>
      <c r="T291">
        <v>6</v>
      </c>
      <c r="U291">
        <v>0</v>
      </c>
      <c r="V291" t="str">
        <v>ADRIANNUS JUSTIN SETIAWAN</v>
      </c>
      <c r="W291" t="str">
        <v>825220007</v>
      </c>
      <c r="X291" t="str">
        <v>Stupen</v>
      </c>
    </row>
    <row r="292" spans="1:24" ht="44.1" customHeight="1" x14ac:dyDescent="0.2">
      <c r="A292" s="8">
        <v>1</v>
      </c>
      <c r="B292" s="8">
        <v>7</v>
      </c>
      <c r="C292" s="8">
        <v>1</v>
      </c>
      <c r="D292" s="3">
        <v>825220111</v>
      </c>
      <c r="E292" s="3" t="s">
        <v>142</v>
      </c>
      <c r="F292" t="s">
        <v>172</v>
      </c>
      <c r="G292" s="25">
        <f t="shared" si="4"/>
        <v>0</v>
      </c>
      <c r="H292" s="24"/>
      <c r="K292" s="5">
        <v>0</v>
      </c>
      <c r="L292" s="5">
        <v>6</v>
      </c>
      <c r="M292" s="5">
        <v>0</v>
      </c>
      <c r="N292" s="5" t="s">
        <v>1177</v>
      </c>
      <c r="O292" s="5" t="s">
        <v>467</v>
      </c>
      <c r="P292" s="5" t="s">
        <v>143</v>
      </c>
      <c r="Q292" s="5" t="s">
        <v>173</v>
      </c>
      <c r="S292">
        <v>0</v>
      </c>
      <c r="T292">
        <v>6</v>
      </c>
      <c r="U292">
        <v>0</v>
      </c>
      <c r="V292" t="str">
        <v>LUISSANDRO HERMAWAN</v>
      </c>
      <c r="W292" t="str">
        <v>825220015</v>
      </c>
      <c r="X292" t="str">
        <v>Stupen</v>
      </c>
    </row>
    <row r="293" spans="1:24" ht="42.95" customHeight="1" x14ac:dyDescent="0.2">
      <c r="A293" s="8">
        <v>1</v>
      </c>
      <c r="B293" s="8">
        <v>7</v>
      </c>
      <c r="C293" s="8">
        <v>1</v>
      </c>
      <c r="D293" s="3">
        <v>825220117</v>
      </c>
      <c r="E293" s="3" t="s">
        <v>142</v>
      </c>
      <c r="F293" t="s">
        <v>172</v>
      </c>
      <c r="G293" s="25">
        <f t="shared" si="4"/>
        <v>0</v>
      </c>
      <c r="H293" s="24"/>
      <c r="K293" s="5">
        <v>0</v>
      </c>
      <c r="L293" s="5">
        <v>6</v>
      </c>
      <c r="M293" s="5">
        <v>0</v>
      </c>
      <c r="N293" s="5" t="s">
        <v>1178</v>
      </c>
      <c r="O293" s="5" t="s">
        <v>468</v>
      </c>
      <c r="P293" s="5" t="s">
        <v>143</v>
      </c>
      <c r="Q293" s="5" t="s">
        <v>173</v>
      </c>
      <c r="S293">
        <v>0</v>
      </c>
      <c r="T293">
        <v>6</v>
      </c>
      <c r="U293">
        <v>0</v>
      </c>
      <c r="V293" t="str">
        <v>DANIEL OKTAVIANUS</v>
      </c>
      <c r="W293" t="str">
        <v>825220017</v>
      </c>
      <c r="X293" t="str">
        <v>Stupen</v>
      </c>
    </row>
    <row r="294" spans="1:24" ht="44.1" customHeight="1" x14ac:dyDescent="0.2">
      <c r="A294" s="8">
        <v>1</v>
      </c>
      <c r="B294" s="8">
        <v>7</v>
      </c>
      <c r="C294" s="8">
        <v>1</v>
      </c>
      <c r="D294" s="3">
        <v>535220157</v>
      </c>
      <c r="E294" s="3" t="s">
        <v>142</v>
      </c>
      <c r="F294" t="s">
        <v>158</v>
      </c>
      <c r="G294" s="25">
        <f t="shared" si="4"/>
        <v>0</v>
      </c>
      <c r="H294" s="24"/>
      <c r="K294" s="5">
        <v>0</v>
      </c>
      <c r="L294" s="5">
        <v>6</v>
      </c>
      <c r="M294" s="5">
        <v>0</v>
      </c>
      <c r="N294" s="5" t="s">
        <v>1179</v>
      </c>
      <c r="O294" s="5" t="s">
        <v>469</v>
      </c>
      <c r="P294" s="5" t="s">
        <v>143</v>
      </c>
      <c r="Q294" s="5" t="s">
        <v>173</v>
      </c>
      <c r="S294">
        <v>0</v>
      </c>
      <c r="T294">
        <v>6</v>
      </c>
      <c r="U294">
        <v>0</v>
      </c>
      <c r="V294" t="str">
        <v>MARCELLINO FREDERICK WIJAYA</v>
      </c>
      <c r="W294" t="str">
        <v>825220021</v>
      </c>
      <c r="X294" t="str">
        <v>Stupen</v>
      </c>
    </row>
    <row r="295" spans="1:24" ht="44.1" customHeight="1" x14ac:dyDescent="0.2">
      <c r="A295" s="8">
        <v>1</v>
      </c>
      <c r="B295" s="8">
        <v>7</v>
      </c>
      <c r="C295" s="8">
        <v>1</v>
      </c>
      <c r="D295" s="3">
        <v>535220159</v>
      </c>
      <c r="E295" s="3" t="s">
        <v>142</v>
      </c>
      <c r="F295" t="s">
        <v>158</v>
      </c>
      <c r="G295" s="25">
        <f t="shared" si="4"/>
        <v>0</v>
      </c>
      <c r="H295" s="24"/>
      <c r="K295" s="5">
        <v>0</v>
      </c>
      <c r="L295" s="5">
        <v>6</v>
      </c>
      <c r="M295" s="5">
        <v>1</v>
      </c>
      <c r="N295" s="5" t="s">
        <v>1180</v>
      </c>
      <c r="O295" s="5" t="s">
        <v>470</v>
      </c>
      <c r="P295" s="5" t="s">
        <v>142</v>
      </c>
      <c r="Q295" s="5" t="s">
        <v>174</v>
      </c>
      <c r="S295">
        <v>1</v>
      </c>
      <c r="T295">
        <v>6</v>
      </c>
      <c r="U295">
        <v>0</v>
      </c>
      <c r="V295" t="str">
        <v>MARCELLINUS ANTHONY</v>
      </c>
      <c r="W295" t="str">
        <v>825220031</v>
      </c>
      <c r="X295" t="str">
        <v>Stupen</v>
      </c>
    </row>
    <row r="296" spans="1:24" ht="42.6" customHeight="1" x14ac:dyDescent="0.2">
      <c r="A296" s="8">
        <v>1</v>
      </c>
      <c r="B296" s="8">
        <v>7</v>
      </c>
      <c r="C296" s="8">
        <v>1</v>
      </c>
      <c r="D296" s="3">
        <v>535220220</v>
      </c>
      <c r="E296" s="3" t="s">
        <v>142</v>
      </c>
      <c r="F296" t="s">
        <v>158</v>
      </c>
      <c r="G296" s="25">
        <f t="shared" si="4"/>
        <v>0</v>
      </c>
      <c r="H296" s="24"/>
      <c r="K296" s="5">
        <v>0</v>
      </c>
      <c r="L296" s="5">
        <v>6</v>
      </c>
      <c r="M296" s="5">
        <v>1</v>
      </c>
      <c r="N296" s="5" t="s">
        <v>1181</v>
      </c>
      <c r="O296" s="5" t="s">
        <v>471</v>
      </c>
      <c r="P296" s="5" t="s">
        <v>142</v>
      </c>
      <c r="Q296" s="5" t="s">
        <v>174</v>
      </c>
      <c r="S296">
        <v>1</v>
      </c>
      <c r="T296">
        <v>6</v>
      </c>
      <c r="U296">
        <v>0</v>
      </c>
      <c r="V296" t="str">
        <v>YANSEN</v>
      </c>
      <c r="W296" t="str">
        <v>825220032</v>
      </c>
      <c r="X296" t="str">
        <v>Stupen</v>
      </c>
    </row>
    <row r="297" spans="1:24" ht="56.25" customHeight="1" x14ac:dyDescent="0.2">
      <c r="A297" s="11">
        <v>2</v>
      </c>
      <c r="B297" s="8">
        <v>7</v>
      </c>
      <c r="C297" s="8">
        <v>1</v>
      </c>
      <c r="D297" s="4">
        <v>535220225</v>
      </c>
      <c r="E297" s="3" t="s">
        <v>142</v>
      </c>
      <c r="F297" t="s">
        <v>158</v>
      </c>
      <c r="G297" s="25">
        <f t="shared" si="4"/>
        <v>0</v>
      </c>
      <c r="H297" s="24"/>
      <c r="K297" s="5">
        <v>0</v>
      </c>
      <c r="L297" s="5">
        <v>6</v>
      </c>
      <c r="M297" s="5">
        <v>1</v>
      </c>
      <c r="N297" s="5" t="s">
        <v>1182</v>
      </c>
      <c r="O297" s="5" t="s">
        <v>472</v>
      </c>
      <c r="P297" s="5" t="s">
        <v>142</v>
      </c>
      <c r="Q297" s="5" t="s">
        <v>174</v>
      </c>
      <c r="S297">
        <v>1</v>
      </c>
      <c r="T297">
        <v>6</v>
      </c>
      <c r="U297">
        <v>0</v>
      </c>
      <c r="V297" t="str">
        <v>WILSON FELIANO JUSEL</v>
      </c>
      <c r="W297" t="str">
        <v>825220033</v>
      </c>
      <c r="X297" t="str">
        <v>Stupen</v>
      </c>
    </row>
    <row r="298" spans="1:24" ht="44.1" customHeight="1" x14ac:dyDescent="0.2">
      <c r="A298" s="11">
        <v>2</v>
      </c>
      <c r="B298" s="8">
        <v>7</v>
      </c>
      <c r="C298" s="8">
        <v>1</v>
      </c>
      <c r="D298" s="3">
        <v>535220246</v>
      </c>
      <c r="E298" s="3" t="s">
        <v>142</v>
      </c>
      <c r="F298" t="s">
        <v>158</v>
      </c>
      <c r="G298" s="25">
        <f t="shared" si="4"/>
        <v>0</v>
      </c>
      <c r="H298" s="24"/>
      <c r="K298" s="5">
        <v>0</v>
      </c>
      <c r="L298" s="5">
        <v>6</v>
      </c>
      <c r="M298" s="5">
        <v>1</v>
      </c>
      <c r="N298" s="5" t="s">
        <v>1183</v>
      </c>
      <c r="O298" s="5" t="s">
        <v>473</v>
      </c>
      <c r="P298" s="5" t="s">
        <v>142</v>
      </c>
      <c r="Q298" s="5" t="s">
        <v>174</v>
      </c>
      <c r="S298">
        <v>1</v>
      </c>
      <c r="T298">
        <v>6</v>
      </c>
      <c r="U298">
        <v>0</v>
      </c>
      <c r="V298" t="str">
        <v>VINCENT</v>
      </c>
      <c r="W298" t="str">
        <v>825220035</v>
      </c>
      <c r="X298" t="str">
        <v>Stupen</v>
      </c>
    </row>
    <row r="299" spans="1:24" ht="42.95" customHeight="1" x14ac:dyDescent="0.2">
      <c r="A299" s="11">
        <v>2</v>
      </c>
      <c r="B299" s="8">
        <v>7</v>
      </c>
      <c r="C299" s="8">
        <v>1</v>
      </c>
      <c r="D299" s="3">
        <v>535220258</v>
      </c>
      <c r="E299" s="3" t="s">
        <v>142</v>
      </c>
      <c r="F299" t="s">
        <v>158</v>
      </c>
      <c r="G299" s="25">
        <f t="shared" si="4"/>
        <v>0</v>
      </c>
      <c r="H299" s="24"/>
      <c r="K299" s="5">
        <v>0</v>
      </c>
      <c r="L299" s="5">
        <v>6</v>
      </c>
      <c r="M299" s="5">
        <v>1</v>
      </c>
      <c r="N299" s="5" t="s">
        <v>1184</v>
      </c>
      <c r="O299" s="5" t="s">
        <v>474</v>
      </c>
      <c r="P299" s="5" t="s">
        <v>142</v>
      </c>
      <c r="Q299" s="5" t="s">
        <v>174</v>
      </c>
      <c r="S299">
        <v>1</v>
      </c>
      <c r="T299">
        <v>6</v>
      </c>
      <c r="U299">
        <v>0</v>
      </c>
      <c r="V299" t="str">
        <v>RAFAEL RASHEL RUNTU</v>
      </c>
      <c r="W299" t="str">
        <v>825220039</v>
      </c>
      <c r="X299" t="str">
        <v>Stupen</v>
      </c>
    </row>
    <row r="300" spans="1:24" ht="44.1" customHeight="1" x14ac:dyDescent="0.2">
      <c r="A300" s="11">
        <v>2</v>
      </c>
      <c r="B300" s="8">
        <v>7</v>
      </c>
      <c r="C300" s="8">
        <v>1</v>
      </c>
      <c r="D300" s="3">
        <v>535220042</v>
      </c>
      <c r="E300" s="3" t="s">
        <v>142</v>
      </c>
      <c r="F300" t="s">
        <v>164</v>
      </c>
      <c r="G300" s="25">
        <f t="shared" si="4"/>
        <v>0</v>
      </c>
      <c r="H300" s="24"/>
      <c r="K300" s="5">
        <v>0</v>
      </c>
      <c r="L300" s="5">
        <v>6</v>
      </c>
      <c r="M300" s="5">
        <v>2</v>
      </c>
      <c r="N300" s="5" t="s">
        <v>1185</v>
      </c>
      <c r="O300" s="5" t="s">
        <v>475</v>
      </c>
      <c r="P300" s="5" t="s">
        <v>143</v>
      </c>
      <c r="Q300" s="5" t="s">
        <v>175</v>
      </c>
      <c r="S300">
        <v>2</v>
      </c>
      <c r="T300">
        <v>6</v>
      </c>
      <c r="U300">
        <v>0</v>
      </c>
      <c r="V300" t="str">
        <v>GABRIELLA ADELINE HALIM</v>
      </c>
      <c r="W300" t="str">
        <v>825220050</v>
      </c>
      <c r="X300" t="str">
        <v>Stupen</v>
      </c>
    </row>
    <row r="301" spans="1:24" ht="43.5" customHeight="1" x14ac:dyDescent="0.2">
      <c r="A301" s="11">
        <v>2</v>
      </c>
      <c r="B301" s="8">
        <v>7</v>
      </c>
      <c r="C301" s="8">
        <v>1</v>
      </c>
      <c r="D301" s="3">
        <v>535220043</v>
      </c>
      <c r="E301" s="3" t="s">
        <v>142</v>
      </c>
      <c r="F301" t="s">
        <v>164</v>
      </c>
      <c r="G301" s="25">
        <f t="shared" si="4"/>
        <v>0</v>
      </c>
      <c r="H301" s="24"/>
      <c r="K301" s="5">
        <v>0</v>
      </c>
      <c r="L301" s="5">
        <v>6</v>
      </c>
      <c r="M301" s="5">
        <v>2</v>
      </c>
      <c r="N301" s="5" t="s">
        <v>1186</v>
      </c>
      <c r="O301" s="5" t="s">
        <v>476</v>
      </c>
      <c r="P301" s="5" t="s">
        <v>143</v>
      </c>
      <c r="Q301" s="5" t="s">
        <v>175</v>
      </c>
      <c r="S301">
        <v>2</v>
      </c>
      <c r="T301">
        <v>6</v>
      </c>
      <c r="U301">
        <v>0</v>
      </c>
      <c r="V301" t="str">
        <v>GRACE CAKRA</v>
      </c>
      <c r="W301" t="str">
        <v>825220052</v>
      </c>
      <c r="X301" t="str">
        <v>Stupen</v>
      </c>
    </row>
    <row r="302" spans="1:24" ht="43.5" customHeight="1" x14ac:dyDescent="0.2">
      <c r="A302" s="8">
        <v>3</v>
      </c>
      <c r="B302" s="8">
        <v>7</v>
      </c>
      <c r="C302" s="8">
        <v>1</v>
      </c>
      <c r="D302" s="3">
        <v>535220048</v>
      </c>
      <c r="E302" s="3" t="s">
        <v>142</v>
      </c>
      <c r="F302" t="s">
        <v>164</v>
      </c>
      <c r="G302" s="25">
        <f t="shared" si="4"/>
        <v>0</v>
      </c>
      <c r="H302" s="24"/>
      <c r="K302" s="5">
        <v>0</v>
      </c>
      <c r="L302" s="5">
        <v>6</v>
      </c>
      <c r="M302" s="5">
        <v>2</v>
      </c>
      <c r="N302" s="5" t="s">
        <v>1187</v>
      </c>
      <c r="O302" s="5" t="s">
        <v>477</v>
      </c>
      <c r="P302" s="5" t="s">
        <v>143</v>
      </c>
      <c r="Q302" s="5" t="s">
        <v>175</v>
      </c>
      <c r="S302">
        <v>2</v>
      </c>
      <c r="T302">
        <v>6</v>
      </c>
      <c r="U302">
        <v>0</v>
      </c>
      <c r="V302" t="str">
        <v xml:space="preserve">ALIF FAZJRUL CAESAR IFMAINI </v>
      </c>
      <c r="W302" t="str">
        <v>825220066</v>
      </c>
      <c r="X302" t="str">
        <v>Stupen</v>
      </c>
    </row>
    <row r="303" spans="1:24" ht="42.95" customHeight="1" x14ac:dyDescent="0.2">
      <c r="A303" s="8">
        <v>3</v>
      </c>
      <c r="B303" s="8">
        <v>7</v>
      </c>
      <c r="C303" s="8">
        <v>1</v>
      </c>
      <c r="D303" s="3">
        <v>535220049</v>
      </c>
      <c r="E303" s="3" t="s">
        <v>142</v>
      </c>
      <c r="F303" t="s">
        <v>164</v>
      </c>
      <c r="G303" s="25">
        <f t="shared" si="4"/>
        <v>0</v>
      </c>
      <c r="H303" s="24"/>
      <c r="K303" s="5">
        <v>0</v>
      </c>
      <c r="L303" s="5">
        <v>6</v>
      </c>
      <c r="M303" s="5">
        <v>2</v>
      </c>
      <c r="N303" s="5" t="s">
        <v>1188</v>
      </c>
      <c r="O303" s="5" t="s">
        <v>478</v>
      </c>
      <c r="P303" s="5" t="s">
        <v>143</v>
      </c>
      <c r="Q303" s="5" t="s">
        <v>175</v>
      </c>
      <c r="S303">
        <v>2</v>
      </c>
      <c r="T303">
        <v>6</v>
      </c>
      <c r="U303">
        <v>0</v>
      </c>
      <c r="V303" t="str">
        <v>MUHAMAD AKBAR MAULANA</v>
      </c>
      <c r="W303" t="str">
        <v>825220170</v>
      </c>
      <c r="X303" t="str">
        <v>Stupen</v>
      </c>
    </row>
    <row r="304" spans="1:24" ht="44.1" customHeight="1" x14ac:dyDescent="0.2">
      <c r="A304" s="8">
        <v>3</v>
      </c>
      <c r="B304" s="8">
        <v>7</v>
      </c>
      <c r="C304" s="8">
        <v>1</v>
      </c>
      <c r="D304" s="3">
        <v>535220073</v>
      </c>
      <c r="E304" s="3" t="s">
        <v>142</v>
      </c>
      <c r="F304" t="s">
        <v>164</v>
      </c>
      <c r="G304" s="25">
        <f t="shared" si="4"/>
        <v>0</v>
      </c>
      <c r="H304" s="24"/>
      <c r="K304" s="5">
        <v>0</v>
      </c>
      <c r="L304" s="5">
        <v>6</v>
      </c>
      <c r="M304" s="5">
        <v>2</v>
      </c>
      <c r="N304" s="5" t="s">
        <v>1189</v>
      </c>
      <c r="O304" s="5" t="s">
        <v>479</v>
      </c>
      <c r="P304" s="5" t="s">
        <v>143</v>
      </c>
      <c r="Q304" s="5" t="s">
        <v>175</v>
      </c>
      <c r="S304">
        <v>2</v>
      </c>
      <c r="T304">
        <v>6</v>
      </c>
      <c r="U304">
        <v>0</v>
      </c>
      <c r="V304" t="str">
        <v>KALIS JOVIAL TELAUMBANUA</v>
      </c>
      <c r="W304" t="str">
        <v>825200094</v>
      </c>
      <c r="X304" t="str">
        <v>KKN</v>
      </c>
    </row>
    <row r="305" spans="1:24" ht="44.1" customHeight="1" x14ac:dyDescent="0.2">
      <c r="A305" s="8">
        <v>3</v>
      </c>
      <c r="B305" s="8">
        <v>7</v>
      </c>
      <c r="C305" s="8">
        <v>1</v>
      </c>
      <c r="D305" s="3">
        <v>535220074</v>
      </c>
      <c r="E305" s="3" t="s">
        <v>142</v>
      </c>
      <c r="F305" t="s">
        <v>164</v>
      </c>
      <c r="G305" s="25">
        <f t="shared" si="4"/>
        <v>0</v>
      </c>
      <c r="H305" s="24"/>
      <c r="K305" s="5">
        <v>1</v>
      </c>
      <c r="L305" s="5">
        <v>6</v>
      </c>
      <c r="M305" s="5">
        <v>0</v>
      </c>
      <c r="N305" s="5" t="s">
        <v>1190</v>
      </c>
      <c r="O305" s="5" t="s">
        <v>480</v>
      </c>
      <c r="P305" s="5" t="s">
        <v>143</v>
      </c>
      <c r="Q305" s="5" t="s">
        <v>173</v>
      </c>
      <c r="S305">
        <v>3</v>
      </c>
      <c r="T305">
        <v>6</v>
      </c>
      <c r="U305">
        <v>0</v>
      </c>
      <c r="V305" t="str">
        <v>RENSHI YEHEZKIEL</v>
      </c>
      <c r="W305" t="str">
        <v>825220096</v>
      </c>
      <c r="X305" t="str">
        <v>KKN</v>
      </c>
    </row>
    <row r="306" spans="1:24" ht="43.5" customHeight="1" x14ac:dyDescent="0.2">
      <c r="A306" s="8">
        <v>3</v>
      </c>
      <c r="B306" s="8">
        <v>7</v>
      </c>
      <c r="C306" s="8">
        <v>1</v>
      </c>
      <c r="D306" s="3">
        <v>535220081</v>
      </c>
      <c r="E306" s="3" t="s">
        <v>142</v>
      </c>
      <c r="F306" t="s">
        <v>164</v>
      </c>
      <c r="G306" s="25">
        <f t="shared" si="4"/>
        <v>0</v>
      </c>
      <c r="H306" s="24"/>
      <c r="K306" s="5">
        <v>1</v>
      </c>
      <c r="L306" s="5">
        <v>6</v>
      </c>
      <c r="M306" s="5">
        <v>0</v>
      </c>
      <c r="N306" s="5" t="s">
        <v>1191</v>
      </c>
      <c r="O306" s="5" t="s">
        <v>481</v>
      </c>
      <c r="P306" s="5" t="s">
        <v>143</v>
      </c>
      <c r="Q306" s="5" t="s">
        <v>173</v>
      </c>
      <c r="S306">
        <v>3</v>
      </c>
      <c r="T306">
        <v>6</v>
      </c>
      <c r="U306">
        <v>0</v>
      </c>
      <c r="V306" t="str">
        <v>SRI BINTANG PRATOMO</v>
      </c>
      <c r="W306" t="str">
        <v>825220070</v>
      </c>
      <c r="X306" t="str">
        <v>Magang</v>
      </c>
    </row>
    <row r="307" spans="1:24" ht="44.1" customHeight="1" x14ac:dyDescent="0.2">
      <c r="A307" s="8">
        <v>0</v>
      </c>
      <c r="B307" s="8">
        <v>8</v>
      </c>
      <c r="C307" s="8">
        <v>0</v>
      </c>
      <c r="D307" s="3">
        <v>825220094</v>
      </c>
      <c r="E307" s="3" t="s">
        <v>143</v>
      </c>
      <c r="F307" t="s">
        <v>162</v>
      </c>
      <c r="G307" s="25">
        <f t="shared" si="4"/>
        <v>0</v>
      </c>
      <c r="H307" s="24"/>
      <c r="K307" s="5">
        <v>1</v>
      </c>
      <c r="L307" s="5">
        <v>6</v>
      </c>
      <c r="M307" s="5">
        <v>0</v>
      </c>
      <c r="N307" s="5" t="s">
        <v>1192</v>
      </c>
      <c r="O307" s="5" t="s">
        <v>482</v>
      </c>
      <c r="P307" s="5" t="s">
        <v>143</v>
      </c>
      <c r="Q307" s="5" t="s">
        <v>173</v>
      </c>
      <c r="S307">
        <v>0</v>
      </c>
      <c r="T307">
        <v>6</v>
      </c>
      <c r="U307">
        <v>1</v>
      </c>
      <c r="V307" t="str">
        <v xml:space="preserve">ANDRES MALVIN JIU </v>
      </c>
      <c r="W307" t="str">
        <v>825220026</v>
      </c>
      <c r="X307" t="str">
        <v>Magang</v>
      </c>
    </row>
    <row r="308" spans="1:24" ht="44.1" customHeight="1" x14ac:dyDescent="0.2">
      <c r="A308" s="8">
        <v>0</v>
      </c>
      <c r="B308" s="8">
        <v>8</v>
      </c>
      <c r="C308" s="8">
        <v>0</v>
      </c>
      <c r="D308" s="3">
        <v>825220095</v>
      </c>
      <c r="E308" s="3" t="s">
        <v>143</v>
      </c>
      <c r="F308" t="s">
        <v>162</v>
      </c>
      <c r="G308" s="25">
        <f t="shared" si="4"/>
        <v>0</v>
      </c>
      <c r="H308" s="24"/>
      <c r="K308" s="5">
        <v>1</v>
      </c>
      <c r="L308" s="5">
        <v>6</v>
      </c>
      <c r="M308" s="5">
        <v>0</v>
      </c>
      <c r="N308" s="5" t="s">
        <v>1193</v>
      </c>
      <c r="O308" s="5" t="s">
        <v>483</v>
      </c>
      <c r="P308" s="5" t="s">
        <v>143</v>
      </c>
      <c r="Q308" s="5" t="s">
        <v>173</v>
      </c>
      <c r="S308">
        <v>0</v>
      </c>
      <c r="T308">
        <v>6</v>
      </c>
      <c r="U308">
        <v>1</v>
      </c>
      <c r="V308" t="str">
        <v>DAVID HARIADI</v>
      </c>
      <c r="W308" t="str">
        <v>825220042</v>
      </c>
      <c r="X308" t="str">
        <v>Magang</v>
      </c>
    </row>
    <row r="309" spans="1:24" ht="42.95" customHeight="1" x14ac:dyDescent="0.2">
      <c r="A309" s="8">
        <v>0</v>
      </c>
      <c r="B309" s="8">
        <v>8</v>
      </c>
      <c r="C309" s="8">
        <v>0</v>
      </c>
      <c r="D309" s="3">
        <v>825220105</v>
      </c>
      <c r="E309" s="3" t="s">
        <v>143</v>
      </c>
      <c r="F309" t="s">
        <v>162</v>
      </c>
      <c r="G309" s="25">
        <f t="shared" si="4"/>
        <v>0</v>
      </c>
      <c r="H309" s="24"/>
      <c r="K309" s="5">
        <v>1</v>
      </c>
      <c r="L309" s="5">
        <v>6</v>
      </c>
      <c r="M309" s="5">
        <v>0</v>
      </c>
      <c r="N309" s="5" t="s">
        <v>1194</v>
      </c>
      <c r="O309" s="5" t="s">
        <v>484</v>
      </c>
      <c r="P309" s="5" t="s">
        <v>143</v>
      </c>
      <c r="Q309" s="5" t="s">
        <v>173</v>
      </c>
      <c r="S309">
        <v>0</v>
      </c>
      <c r="T309">
        <v>6</v>
      </c>
      <c r="U309">
        <v>1</v>
      </c>
      <c r="V309" t="str">
        <v>MALVIN ALFREDO</v>
      </c>
      <c r="W309" t="str">
        <v>825220043</v>
      </c>
      <c r="X309" t="str">
        <v>Magang</v>
      </c>
    </row>
    <row r="310" spans="1:24" ht="44.1" customHeight="1" x14ac:dyDescent="0.2">
      <c r="A310" s="8">
        <v>0</v>
      </c>
      <c r="B310" s="8">
        <v>8</v>
      </c>
      <c r="C310" s="8">
        <v>0</v>
      </c>
      <c r="D310" s="3">
        <v>825220113</v>
      </c>
      <c r="E310" s="3" t="s">
        <v>143</v>
      </c>
      <c r="F310" t="s">
        <v>162</v>
      </c>
      <c r="G310" s="25">
        <f t="shared" si="4"/>
        <v>0</v>
      </c>
      <c r="H310" s="24"/>
      <c r="K310" s="5">
        <v>1</v>
      </c>
      <c r="L310" s="5">
        <v>6</v>
      </c>
      <c r="M310" s="5">
        <v>1</v>
      </c>
      <c r="N310" s="5" t="s">
        <v>1195</v>
      </c>
      <c r="O310" s="5" t="s">
        <v>485</v>
      </c>
      <c r="P310" s="5" t="s">
        <v>142</v>
      </c>
      <c r="Q310" s="5" t="s">
        <v>174</v>
      </c>
      <c r="S310">
        <v>0</v>
      </c>
      <c r="T310">
        <v>6</v>
      </c>
      <c r="U310">
        <v>1</v>
      </c>
      <c r="V310" t="str">
        <v>FABIO SANTOSO</v>
      </c>
      <c r="W310" t="str">
        <v>825220044</v>
      </c>
      <c r="X310" t="str">
        <v>Magang</v>
      </c>
    </row>
    <row r="311" spans="1:24" ht="42.6" customHeight="1" x14ac:dyDescent="0.2">
      <c r="A311" s="8">
        <v>0</v>
      </c>
      <c r="B311" s="8">
        <v>8</v>
      </c>
      <c r="C311" s="8">
        <v>0</v>
      </c>
      <c r="D311" s="3">
        <v>825220114</v>
      </c>
      <c r="E311" s="3" t="s">
        <v>143</v>
      </c>
      <c r="F311" t="s">
        <v>162</v>
      </c>
      <c r="G311" s="25">
        <f t="shared" si="4"/>
        <v>0</v>
      </c>
      <c r="H311" s="24"/>
      <c r="K311" s="5">
        <v>1</v>
      </c>
      <c r="L311" s="5">
        <v>6</v>
      </c>
      <c r="M311" s="5">
        <v>1</v>
      </c>
      <c r="N311" s="5" t="s">
        <v>1196</v>
      </c>
      <c r="O311" s="5" t="s">
        <v>486</v>
      </c>
      <c r="P311" s="5" t="s">
        <v>142</v>
      </c>
      <c r="Q311" s="5" t="s">
        <v>174</v>
      </c>
      <c r="S311">
        <v>0</v>
      </c>
      <c r="T311">
        <v>6</v>
      </c>
      <c r="U311">
        <v>1</v>
      </c>
      <c r="V311" t="str">
        <v>FEDRIKO ARTYA RUVI</v>
      </c>
      <c r="W311" t="str">
        <v>825220053</v>
      </c>
      <c r="X311" t="str">
        <v>Magang</v>
      </c>
    </row>
    <row r="312" spans="1:24" ht="44.1" customHeight="1" x14ac:dyDescent="0.2">
      <c r="A312" s="8">
        <v>1</v>
      </c>
      <c r="B312" s="8">
        <v>8</v>
      </c>
      <c r="C312" s="8">
        <v>0</v>
      </c>
      <c r="D312" s="3">
        <v>825220115</v>
      </c>
      <c r="E312" s="3" t="s">
        <v>143</v>
      </c>
      <c r="F312" t="s">
        <v>162</v>
      </c>
      <c r="G312" s="25">
        <f t="shared" si="4"/>
        <v>0</v>
      </c>
      <c r="H312" s="24"/>
      <c r="K312" s="5">
        <v>1</v>
      </c>
      <c r="L312" s="5">
        <v>6</v>
      </c>
      <c r="M312" s="5">
        <v>1</v>
      </c>
      <c r="N312" s="5" t="s">
        <v>1197</v>
      </c>
      <c r="O312" s="5" t="s">
        <v>487</v>
      </c>
      <c r="P312" s="5" t="s">
        <v>142</v>
      </c>
      <c r="Q312" s="5" t="s">
        <v>174</v>
      </c>
      <c r="S312">
        <v>1</v>
      </c>
      <c r="T312">
        <v>6</v>
      </c>
      <c r="U312">
        <v>1</v>
      </c>
      <c r="V312" t="str">
        <v>LOUIS FRANCIS TALI</v>
      </c>
      <c r="W312" t="str">
        <v>825220076</v>
      </c>
      <c r="X312" t="str">
        <v>Magang</v>
      </c>
    </row>
    <row r="313" spans="1:24" ht="42.95" customHeight="1" x14ac:dyDescent="0.2">
      <c r="A313" s="8">
        <v>1</v>
      </c>
      <c r="B313" s="8">
        <v>8</v>
      </c>
      <c r="C313" s="8">
        <v>0</v>
      </c>
      <c r="D313" s="3">
        <v>825220121</v>
      </c>
      <c r="E313" s="3" t="s">
        <v>143</v>
      </c>
      <c r="F313" t="s">
        <v>162</v>
      </c>
      <c r="G313" s="25">
        <f t="shared" si="4"/>
        <v>0</v>
      </c>
      <c r="H313" s="24"/>
      <c r="K313" s="5">
        <v>1</v>
      </c>
      <c r="L313" s="5">
        <v>6</v>
      </c>
      <c r="M313" s="5">
        <v>1</v>
      </c>
      <c r="N313" s="5" t="s">
        <v>1198</v>
      </c>
      <c r="O313" s="5" t="s">
        <v>488</v>
      </c>
      <c r="P313" s="5" t="s">
        <v>142</v>
      </c>
      <c r="Q313" s="5" t="s">
        <v>174</v>
      </c>
      <c r="S313">
        <v>1</v>
      </c>
      <c r="T313">
        <v>6</v>
      </c>
      <c r="U313">
        <v>1</v>
      </c>
      <c r="V313" t="str">
        <v>CHRISTINA ANGELICA</v>
      </c>
      <c r="W313" t="str">
        <v>825220077</v>
      </c>
      <c r="X313" t="str">
        <v>Magang</v>
      </c>
    </row>
    <row r="314" spans="1:24" ht="44.1" customHeight="1" x14ac:dyDescent="0.2">
      <c r="A314" s="8">
        <v>1</v>
      </c>
      <c r="B314" s="8">
        <v>8</v>
      </c>
      <c r="C314" s="8">
        <v>0</v>
      </c>
      <c r="D314" s="3">
        <v>825220124</v>
      </c>
      <c r="E314" s="3" t="s">
        <v>143</v>
      </c>
      <c r="F314" t="s">
        <v>162</v>
      </c>
      <c r="G314" s="25">
        <f t="shared" si="4"/>
        <v>0</v>
      </c>
      <c r="H314" s="24"/>
      <c r="K314" s="5">
        <v>1</v>
      </c>
      <c r="L314" s="5">
        <v>6</v>
      </c>
      <c r="M314" s="5">
        <v>1</v>
      </c>
      <c r="N314" s="5" t="s">
        <v>1199</v>
      </c>
      <c r="O314" s="5" t="s">
        <v>489</v>
      </c>
      <c r="P314" s="5" t="s">
        <v>142</v>
      </c>
      <c r="Q314" s="5" t="s">
        <v>174</v>
      </c>
      <c r="S314">
        <v>1</v>
      </c>
      <c r="T314">
        <v>6</v>
      </c>
      <c r="U314">
        <v>1</v>
      </c>
      <c r="V314" t="str">
        <v>KHANIA LUIZA CAHYA TULUSWATI</v>
      </c>
      <c r="W314" t="str">
        <v>825220078</v>
      </c>
      <c r="X314" t="str">
        <v>Magang</v>
      </c>
    </row>
    <row r="315" spans="1:24" ht="44.1" customHeight="1" x14ac:dyDescent="0.2">
      <c r="A315" s="8">
        <v>1</v>
      </c>
      <c r="B315" s="8">
        <v>8</v>
      </c>
      <c r="C315" s="8">
        <v>0</v>
      </c>
      <c r="D315" s="3">
        <v>825220131</v>
      </c>
      <c r="E315" s="3" t="s">
        <v>143</v>
      </c>
      <c r="F315" t="s">
        <v>162</v>
      </c>
      <c r="G315" s="25">
        <f t="shared" si="4"/>
        <v>0</v>
      </c>
      <c r="H315" s="24"/>
      <c r="K315" s="5">
        <v>1</v>
      </c>
      <c r="L315" s="5">
        <v>6</v>
      </c>
      <c r="M315" s="5">
        <v>2</v>
      </c>
      <c r="N315" s="5" t="s">
        <v>1200</v>
      </c>
      <c r="O315" s="5" t="s">
        <v>490</v>
      </c>
      <c r="P315" s="5" t="s">
        <v>143</v>
      </c>
      <c r="Q315" s="5" t="s">
        <v>175</v>
      </c>
      <c r="S315">
        <v>1</v>
      </c>
      <c r="T315">
        <v>6</v>
      </c>
      <c r="U315">
        <v>1</v>
      </c>
      <c r="V315" t="str">
        <v>ZICHO OCTOZEUS TAN</v>
      </c>
      <c r="W315" t="str">
        <v>825220079</v>
      </c>
      <c r="X315" t="str">
        <v>Magang</v>
      </c>
    </row>
    <row r="316" spans="1:24" ht="42.6" customHeight="1" x14ac:dyDescent="0.2">
      <c r="A316" s="8">
        <v>1</v>
      </c>
      <c r="B316" s="8">
        <v>8</v>
      </c>
      <c r="C316" s="8">
        <v>0</v>
      </c>
      <c r="D316" s="3">
        <v>825220133</v>
      </c>
      <c r="E316" s="3" t="s">
        <v>143</v>
      </c>
      <c r="F316" t="s">
        <v>162</v>
      </c>
      <c r="G316" s="25">
        <f t="shared" si="4"/>
        <v>0</v>
      </c>
      <c r="H316" s="24"/>
      <c r="K316" s="5">
        <v>1</v>
      </c>
      <c r="L316" s="5">
        <v>6</v>
      </c>
      <c r="M316" s="5">
        <v>2</v>
      </c>
      <c r="N316" s="5" t="s">
        <v>1201</v>
      </c>
      <c r="O316" s="5" t="s">
        <v>491</v>
      </c>
      <c r="P316" s="5" t="s">
        <v>143</v>
      </c>
      <c r="Q316" s="5" t="s">
        <v>175</v>
      </c>
      <c r="S316">
        <v>1</v>
      </c>
      <c r="T316">
        <v>6</v>
      </c>
      <c r="U316">
        <v>1</v>
      </c>
      <c r="V316" t="str">
        <v>ANTHONY BERNARD</v>
      </c>
      <c r="W316" t="str">
        <v>825220127</v>
      </c>
      <c r="X316" t="str">
        <v>Magang</v>
      </c>
    </row>
    <row r="317" spans="1:24" ht="61.5" customHeight="1" x14ac:dyDescent="0.2">
      <c r="A317" s="11">
        <v>2</v>
      </c>
      <c r="B317" s="8">
        <v>8</v>
      </c>
      <c r="C317" s="8">
        <v>0</v>
      </c>
      <c r="D317" s="4">
        <v>825220137</v>
      </c>
      <c r="E317" s="3" t="s">
        <v>143</v>
      </c>
      <c r="F317" t="s">
        <v>162</v>
      </c>
      <c r="G317" s="25">
        <f t="shared" si="4"/>
        <v>0</v>
      </c>
      <c r="H317" s="24"/>
      <c r="K317" s="5">
        <v>1</v>
      </c>
      <c r="L317" s="5">
        <v>6</v>
      </c>
      <c r="M317" s="5">
        <v>2</v>
      </c>
      <c r="N317" s="5" t="s">
        <v>1202</v>
      </c>
      <c r="O317" s="5" t="s">
        <v>492</v>
      </c>
      <c r="P317" s="5" t="s">
        <v>143</v>
      </c>
      <c r="Q317" s="5" t="s">
        <v>175</v>
      </c>
      <c r="S317">
        <v>2</v>
      </c>
      <c r="T317">
        <v>6</v>
      </c>
      <c r="U317">
        <v>1</v>
      </c>
      <c r="V317" t="str">
        <v>JANE SYAHWALINA KAPRICA SANDRA</v>
      </c>
      <c r="W317" t="str">
        <v>825220141</v>
      </c>
      <c r="X317" t="str">
        <v>Magang</v>
      </c>
    </row>
    <row r="318" spans="1:24" ht="44.1" customHeight="1" x14ac:dyDescent="0.2">
      <c r="A318" s="11">
        <v>2</v>
      </c>
      <c r="B318" s="8">
        <v>8</v>
      </c>
      <c r="C318" s="8">
        <v>0</v>
      </c>
      <c r="D318" s="3">
        <v>825220005</v>
      </c>
      <c r="E318" s="3" t="s">
        <v>143</v>
      </c>
      <c r="F318" t="s">
        <v>173</v>
      </c>
      <c r="G318" s="25">
        <f t="shared" si="4"/>
        <v>0</v>
      </c>
      <c r="H318" s="24"/>
      <c r="K318" s="5">
        <v>1</v>
      </c>
      <c r="L318" s="5">
        <v>6</v>
      </c>
      <c r="M318" s="5">
        <v>2</v>
      </c>
      <c r="N318" s="5" t="s">
        <v>1203</v>
      </c>
      <c r="O318" s="5" t="s">
        <v>493</v>
      </c>
      <c r="P318" s="5" t="s">
        <v>143</v>
      </c>
      <c r="Q318" s="5" t="s">
        <v>175</v>
      </c>
      <c r="S318">
        <v>2</v>
      </c>
      <c r="T318">
        <v>6</v>
      </c>
      <c r="U318">
        <v>1</v>
      </c>
      <c r="V318" t="str">
        <v>ANDREW GUNAWAN</v>
      </c>
      <c r="W318" t="str">
        <v>825220143</v>
      </c>
      <c r="X318" t="str">
        <v>Magang</v>
      </c>
    </row>
    <row r="319" spans="1:24" ht="42.95" customHeight="1" x14ac:dyDescent="0.2">
      <c r="A319" s="11">
        <v>2</v>
      </c>
      <c r="B319" s="8">
        <v>8</v>
      </c>
      <c r="C319" s="8">
        <v>0</v>
      </c>
      <c r="D319" s="3">
        <v>825220007</v>
      </c>
      <c r="E319" s="3" t="s">
        <v>143</v>
      </c>
      <c r="F319" t="s">
        <v>173</v>
      </c>
      <c r="G319" s="25">
        <f t="shared" si="4"/>
        <v>0</v>
      </c>
      <c r="H319" s="24"/>
      <c r="K319" s="5">
        <v>1</v>
      </c>
      <c r="L319" s="5">
        <v>6</v>
      </c>
      <c r="M319" s="5">
        <v>2</v>
      </c>
      <c r="N319" s="5" t="s">
        <v>1204</v>
      </c>
      <c r="O319" s="5" t="s">
        <v>494</v>
      </c>
      <c r="P319" s="5" t="s">
        <v>143</v>
      </c>
      <c r="Q319" s="5" t="s">
        <v>175</v>
      </c>
      <c r="S319">
        <v>2</v>
      </c>
      <c r="T319">
        <v>6</v>
      </c>
      <c r="U319">
        <v>1</v>
      </c>
      <c r="V319" t="str">
        <v>NOVIA SYAHFITRI</v>
      </c>
      <c r="W319" t="str">
        <v>825220156</v>
      </c>
      <c r="X319" t="str">
        <v>Magang</v>
      </c>
    </row>
    <row r="320" spans="1:24" ht="44.1" customHeight="1" x14ac:dyDescent="0.2">
      <c r="A320" s="11">
        <v>2</v>
      </c>
      <c r="B320" s="8">
        <v>8</v>
      </c>
      <c r="C320" s="8">
        <v>0</v>
      </c>
      <c r="D320" s="3">
        <v>825220015</v>
      </c>
      <c r="E320" s="3" t="s">
        <v>143</v>
      </c>
      <c r="F320" t="s">
        <v>173</v>
      </c>
      <c r="G320" s="25">
        <f t="shared" si="4"/>
        <v>0</v>
      </c>
      <c r="H320" s="24"/>
      <c r="K320" s="5">
        <v>2</v>
      </c>
      <c r="L320" s="5">
        <v>6</v>
      </c>
      <c r="M320" s="5">
        <v>0</v>
      </c>
      <c r="N320" s="5" t="s">
        <v>1205</v>
      </c>
      <c r="O320" s="5" t="s">
        <v>495</v>
      </c>
      <c r="P320" s="5" t="s">
        <v>143</v>
      </c>
      <c r="Q320" s="5" t="s">
        <v>173</v>
      </c>
      <c r="S320">
        <v>2</v>
      </c>
      <c r="T320">
        <v>6</v>
      </c>
      <c r="U320">
        <v>1</v>
      </c>
      <c r="V320" t="str">
        <v>CAESHA RACHMA DHANI</v>
      </c>
      <c r="W320" t="str">
        <v>825220172</v>
      </c>
      <c r="X320" t="str">
        <v>Magang</v>
      </c>
    </row>
    <row r="321" spans="1:24" ht="42.6" customHeight="1" x14ac:dyDescent="0.2">
      <c r="A321" s="11">
        <v>2</v>
      </c>
      <c r="B321" s="8">
        <v>8</v>
      </c>
      <c r="C321" s="8">
        <v>0</v>
      </c>
      <c r="D321" s="3">
        <v>825220017</v>
      </c>
      <c r="E321" s="3" t="s">
        <v>143</v>
      </c>
      <c r="F321" t="s">
        <v>173</v>
      </c>
      <c r="G321" s="25">
        <f t="shared" si="4"/>
        <v>0</v>
      </c>
      <c r="H321" s="24"/>
      <c r="K321" s="5">
        <v>2</v>
      </c>
      <c r="L321" s="5">
        <v>6</v>
      </c>
      <c r="M321" s="5">
        <v>0</v>
      </c>
      <c r="N321" s="5" t="s">
        <v>1206</v>
      </c>
      <c r="O321" s="5" t="s">
        <v>496</v>
      </c>
      <c r="P321" s="5" t="s">
        <v>143</v>
      </c>
      <c r="Q321" s="5" t="s">
        <v>173</v>
      </c>
      <c r="S321">
        <v>2</v>
      </c>
      <c r="T321">
        <v>6</v>
      </c>
      <c r="U321">
        <v>1</v>
      </c>
      <c r="V321" t="str">
        <v>MIKHAEL EDO SINAMBELA</v>
      </c>
      <c r="W321" t="str">
        <v>825220173</v>
      </c>
      <c r="X321" t="str">
        <v>Magang</v>
      </c>
    </row>
    <row r="322" spans="1:24" ht="44.1" customHeight="1" x14ac:dyDescent="0.2">
      <c r="A322" s="8">
        <v>3</v>
      </c>
      <c r="B322" s="8">
        <v>8</v>
      </c>
      <c r="C322" s="8">
        <v>0</v>
      </c>
      <c r="D322" s="3">
        <v>825220087</v>
      </c>
      <c r="E322" s="3" t="s">
        <v>143</v>
      </c>
      <c r="F322" t="s">
        <v>162</v>
      </c>
      <c r="G322" s="25">
        <f t="shared" ref="G322:G336" si="5">IF(F322=M322,1,0)</f>
        <v>0</v>
      </c>
      <c r="H322" s="24"/>
      <c r="K322" s="5">
        <v>2</v>
      </c>
      <c r="L322" s="5">
        <v>6</v>
      </c>
      <c r="M322" s="5">
        <v>0</v>
      </c>
      <c r="N322" s="5" t="s">
        <v>1207</v>
      </c>
      <c r="O322" s="5" t="s">
        <v>497</v>
      </c>
      <c r="P322" s="5" t="s">
        <v>143</v>
      </c>
      <c r="Q322" s="5" t="s">
        <v>173</v>
      </c>
      <c r="S322">
        <v>0</v>
      </c>
      <c r="T322">
        <v>6</v>
      </c>
      <c r="U322">
        <v>2</v>
      </c>
      <c r="V322" t="str">
        <v>WILLIAM GUNAWAN</v>
      </c>
      <c r="W322" t="str">
        <v>535220092</v>
      </c>
      <c r="X322" t="str">
        <v>Stupen</v>
      </c>
    </row>
    <row r="323" spans="1:24" ht="42.95" customHeight="1" x14ac:dyDescent="0.2">
      <c r="A323" s="8">
        <v>3</v>
      </c>
      <c r="B323" s="8">
        <v>8</v>
      </c>
      <c r="C323" s="8">
        <v>0</v>
      </c>
      <c r="D323" s="3">
        <v>825220088</v>
      </c>
      <c r="E323" s="3" t="s">
        <v>143</v>
      </c>
      <c r="F323" t="s">
        <v>162</v>
      </c>
      <c r="G323" s="25">
        <f t="shared" si="5"/>
        <v>0</v>
      </c>
      <c r="H323" s="24"/>
      <c r="K323" s="5">
        <v>2</v>
      </c>
      <c r="L323" s="5">
        <v>6</v>
      </c>
      <c r="M323" s="5">
        <v>0</v>
      </c>
      <c r="N323" s="5" t="s">
        <v>1208</v>
      </c>
      <c r="O323" s="5" t="s">
        <v>498</v>
      </c>
      <c r="P323" s="5" t="s">
        <v>143</v>
      </c>
      <c r="Q323" s="5" t="s">
        <v>173</v>
      </c>
      <c r="S323">
        <v>0</v>
      </c>
      <c r="T323">
        <v>6</v>
      </c>
      <c r="U323">
        <v>2</v>
      </c>
      <c r="V323" t="str">
        <v>ALFIAN INDRAJAYA</v>
      </c>
      <c r="W323" t="str">
        <v>535220136</v>
      </c>
      <c r="X323" t="str">
        <v>Stupen</v>
      </c>
    </row>
    <row r="324" spans="1:24" ht="44.1" customHeight="1" x14ac:dyDescent="0.2">
      <c r="A324" s="8">
        <v>3</v>
      </c>
      <c r="B324" s="8">
        <v>8</v>
      </c>
      <c r="C324" s="8">
        <v>0</v>
      </c>
      <c r="D324" s="3">
        <v>825220093</v>
      </c>
      <c r="E324" s="3" t="s">
        <v>143</v>
      </c>
      <c r="F324" t="s">
        <v>162</v>
      </c>
      <c r="G324" s="25">
        <f t="shared" si="5"/>
        <v>0</v>
      </c>
      <c r="H324" s="24"/>
      <c r="K324" s="5">
        <v>2</v>
      </c>
      <c r="L324" s="5">
        <v>6</v>
      </c>
      <c r="M324" s="5">
        <v>0</v>
      </c>
      <c r="N324" s="5" t="s">
        <v>1209</v>
      </c>
      <c r="O324" s="5" t="s">
        <v>499</v>
      </c>
      <c r="P324" s="5" t="s">
        <v>146</v>
      </c>
      <c r="Q324" s="5" t="s">
        <v>173</v>
      </c>
      <c r="S324">
        <v>0</v>
      </c>
      <c r="T324">
        <v>6</v>
      </c>
      <c r="U324">
        <v>2</v>
      </c>
      <c r="V324" t="str">
        <v>KEVIN SAPUTRA</v>
      </c>
      <c r="W324" t="str">
        <v>535220139</v>
      </c>
      <c r="X324" t="str">
        <v>Stupen</v>
      </c>
    </row>
    <row r="325" spans="1:24" ht="44.1" customHeight="1" x14ac:dyDescent="0.2">
      <c r="A325" s="8">
        <v>3</v>
      </c>
      <c r="B325" s="8">
        <v>8</v>
      </c>
      <c r="C325" s="8">
        <v>0</v>
      </c>
      <c r="D325" s="3">
        <v>825220075</v>
      </c>
      <c r="E325" s="3" t="s">
        <v>142</v>
      </c>
      <c r="F325" t="s">
        <v>162</v>
      </c>
      <c r="G325" s="25">
        <f t="shared" si="5"/>
        <v>0</v>
      </c>
      <c r="H325" s="24"/>
      <c r="K325" s="5">
        <v>2</v>
      </c>
      <c r="L325" s="5">
        <v>6</v>
      </c>
      <c r="M325" s="5">
        <v>1</v>
      </c>
      <c r="N325" s="5" t="s">
        <v>1210</v>
      </c>
      <c r="O325" s="5" t="s">
        <v>500</v>
      </c>
      <c r="P325" s="5" t="s">
        <v>142</v>
      </c>
      <c r="Q325" s="5" t="s">
        <v>174</v>
      </c>
      <c r="S325">
        <v>0</v>
      </c>
      <c r="T325">
        <v>6</v>
      </c>
      <c r="U325">
        <v>2</v>
      </c>
      <c r="V325" t="str">
        <v>GABRIEL NATHANAEL IRAWAN</v>
      </c>
      <c r="W325" t="str">
        <v>535220142</v>
      </c>
      <c r="X325" t="str">
        <v>Stupen</v>
      </c>
    </row>
    <row r="326" spans="1:24" ht="42.6" customHeight="1" x14ac:dyDescent="0.2">
      <c r="A326" s="8">
        <v>3</v>
      </c>
      <c r="B326" s="8">
        <v>8</v>
      </c>
      <c r="C326" s="8">
        <v>0</v>
      </c>
      <c r="D326" s="3">
        <v>825220084</v>
      </c>
      <c r="E326" s="3" t="s">
        <v>142</v>
      </c>
      <c r="F326" t="s">
        <v>162</v>
      </c>
      <c r="G326" s="25">
        <f t="shared" si="5"/>
        <v>0</v>
      </c>
      <c r="H326" s="24"/>
      <c r="K326" s="5">
        <v>2</v>
      </c>
      <c r="L326" s="5">
        <v>6</v>
      </c>
      <c r="M326" s="5">
        <v>1</v>
      </c>
      <c r="N326" s="5" t="s">
        <v>1211</v>
      </c>
      <c r="O326" s="5" t="s">
        <v>501</v>
      </c>
      <c r="P326" s="5" t="s">
        <v>142</v>
      </c>
      <c r="Q326" s="5" t="s">
        <v>174</v>
      </c>
      <c r="S326">
        <v>0</v>
      </c>
      <c r="T326">
        <v>6</v>
      </c>
      <c r="U326">
        <v>2</v>
      </c>
      <c r="V326" t="str">
        <v xml:space="preserve">GIVEN PUTRA </v>
      </c>
      <c r="W326" t="str">
        <v>535220143</v>
      </c>
      <c r="X326" t="str">
        <v>Stupen</v>
      </c>
    </row>
    <row r="327" spans="1:24" ht="43.7" customHeight="1" x14ac:dyDescent="0.2">
      <c r="A327" s="8">
        <v>4</v>
      </c>
      <c r="B327" s="8">
        <v>8</v>
      </c>
      <c r="C327" s="8">
        <v>0</v>
      </c>
      <c r="D327" s="3">
        <v>535220092</v>
      </c>
      <c r="E327" s="3" t="s">
        <v>143</v>
      </c>
      <c r="F327" t="s">
        <v>175</v>
      </c>
      <c r="G327" s="25">
        <f t="shared" si="5"/>
        <v>0</v>
      </c>
      <c r="H327" s="24"/>
      <c r="K327" s="5">
        <v>2</v>
      </c>
      <c r="L327" s="5">
        <v>6</v>
      </c>
      <c r="M327" s="5">
        <v>1</v>
      </c>
      <c r="N327" s="5" t="s">
        <v>1212</v>
      </c>
      <c r="O327" s="5" t="s">
        <v>502</v>
      </c>
      <c r="P327" s="5" t="s">
        <v>142</v>
      </c>
      <c r="Q327" s="5" t="s">
        <v>174</v>
      </c>
      <c r="S327">
        <v>1</v>
      </c>
      <c r="T327">
        <v>6</v>
      </c>
      <c r="U327">
        <v>2</v>
      </c>
      <c r="V327" t="str">
        <v>ADHITYA INDRA RAHARJA</v>
      </c>
      <c r="W327" t="str">
        <v>535220160</v>
      </c>
      <c r="X327" t="str">
        <v>Stupen</v>
      </c>
    </row>
    <row r="328" spans="1:24" ht="44.1" customHeight="1" x14ac:dyDescent="0.2">
      <c r="A328" s="8">
        <v>4</v>
      </c>
      <c r="B328" s="8">
        <v>8</v>
      </c>
      <c r="C328" s="8">
        <v>0</v>
      </c>
      <c r="D328" s="3">
        <v>535220136</v>
      </c>
      <c r="E328" s="3" t="s">
        <v>143</v>
      </c>
      <c r="F328" t="s">
        <v>175</v>
      </c>
      <c r="G328" s="25">
        <f t="shared" si="5"/>
        <v>0</v>
      </c>
      <c r="H328" s="24"/>
      <c r="K328" s="5">
        <v>2</v>
      </c>
      <c r="L328" s="5">
        <v>6</v>
      </c>
      <c r="M328" s="5">
        <v>1</v>
      </c>
      <c r="N328" s="5" t="s">
        <v>1213</v>
      </c>
      <c r="O328" s="5" t="s">
        <v>503</v>
      </c>
      <c r="P328" s="5" t="s">
        <v>142</v>
      </c>
      <c r="Q328" s="5" t="s">
        <v>174</v>
      </c>
      <c r="S328">
        <v>1</v>
      </c>
      <c r="T328">
        <v>6</v>
      </c>
      <c r="U328">
        <v>2</v>
      </c>
      <c r="V328" t="str">
        <v>AULIA DWI YULIANTI</v>
      </c>
      <c r="W328" t="str">
        <v>535220178</v>
      </c>
      <c r="X328" t="str">
        <v>Stupen</v>
      </c>
    </row>
    <row r="329" spans="1:24" ht="42.95" customHeight="1" x14ac:dyDescent="0.2">
      <c r="A329" s="8">
        <v>4</v>
      </c>
      <c r="B329" s="8">
        <v>8</v>
      </c>
      <c r="C329" s="8">
        <v>0</v>
      </c>
      <c r="D329" s="3">
        <v>535220139</v>
      </c>
      <c r="E329" s="3" t="s">
        <v>143</v>
      </c>
      <c r="F329" t="s">
        <v>175</v>
      </c>
      <c r="G329" s="25">
        <f t="shared" si="5"/>
        <v>0</v>
      </c>
      <c r="H329" s="24"/>
      <c r="K329" s="5">
        <v>2</v>
      </c>
      <c r="L329" s="5">
        <v>6</v>
      </c>
      <c r="M329" s="5">
        <v>1</v>
      </c>
      <c r="N329" s="5" t="s">
        <v>1214</v>
      </c>
      <c r="O329" s="5" t="s">
        <v>504</v>
      </c>
      <c r="P329" s="5" t="s">
        <v>142</v>
      </c>
      <c r="Q329" s="5" t="s">
        <v>174</v>
      </c>
      <c r="S329">
        <v>1</v>
      </c>
      <c r="T329">
        <v>6</v>
      </c>
      <c r="U329">
        <v>2</v>
      </c>
      <c r="V329" t="str">
        <v>CHRIST THADDEUS</v>
      </c>
      <c r="W329" t="str">
        <v>535220196</v>
      </c>
      <c r="X329" t="str">
        <v>Stupen</v>
      </c>
    </row>
    <row r="330" spans="1:24" ht="44.1" customHeight="1" x14ac:dyDescent="0.2">
      <c r="A330" s="8">
        <v>4</v>
      </c>
      <c r="B330" s="8">
        <v>8</v>
      </c>
      <c r="C330" s="8">
        <v>0</v>
      </c>
      <c r="D330" s="3">
        <v>535220142</v>
      </c>
      <c r="E330" s="3" t="s">
        <v>143</v>
      </c>
      <c r="F330" t="s">
        <v>175</v>
      </c>
      <c r="G330" s="25">
        <f t="shared" si="5"/>
        <v>0</v>
      </c>
      <c r="H330" s="24"/>
      <c r="K330" s="5">
        <v>2</v>
      </c>
      <c r="L330" s="5">
        <v>6</v>
      </c>
      <c r="M330" s="5">
        <v>2</v>
      </c>
      <c r="N330" s="5" t="s">
        <v>1215</v>
      </c>
      <c r="O330" s="5" t="s">
        <v>505</v>
      </c>
      <c r="P330" s="5" t="s">
        <v>143</v>
      </c>
      <c r="Q330" s="5" t="s">
        <v>175</v>
      </c>
      <c r="S330">
        <v>1</v>
      </c>
      <c r="T330">
        <v>6</v>
      </c>
      <c r="U330">
        <v>2</v>
      </c>
      <c r="V330" t="str">
        <v>WILLY MICHAEL</v>
      </c>
      <c r="W330" t="str">
        <v>535220216</v>
      </c>
      <c r="X330" t="str">
        <v>Stupen</v>
      </c>
    </row>
    <row r="331" spans="1:24" ht="42.6" customHeight="1" x14ac:dyDescent="0.2">
      <c r="A331" s="8">
        <v>4</v>
      </c>
      <c r="B331" s="8">
        <v>8</v>
      </c>
      <c r="C331" s="8">
        <v>0</v>
      </c>
      <c r="D331" s="3">
        <v>535220143</v>
      </c>
      <c r="E331" s="3" t="s">
        <v>143</v>
      </c>
      <c r="F331" t="s">
        <v>175</v>
      </c>
      <c r="G331" s="25">
        <f t="shared" si="5"/>
        <v>0</v>
      </c>
      <c r="H331" s="24"/>
      <c r="K331" s="5">
        <v>2</v>
      </c>
      <c r="L331" s="5">
        <v>6</v>
      </c>
      <c r="M331" s="5">
        <v>2</v>
      </c>
      <c r="N331" s="5" t="s">
        <v>1216</v>
      </c>
      <c r="O331" s="5" t="s">
        <v>506</v>
      </c>
      <c r="P331" s="5" t="s">
        <v>143</v>
      </c>
      <c r="Q331" s="5" t="s">
        <v>175</v>
      </c>
      <c r="S331">
        <v>1</v>
      </c>
      <c r="T331">
        <v>6</v>
      </c>
      <c r="U331">
        <v>2</v>
      </c>
      <c r="V331" t="str">
        <v>WILSON ALFANDO</v>
      </c>
      <c r="W331" t="str">
        <v>535220219</v>
      </c>
      <c r="X331" t="str">
        <v>Stupen</v>
      </c>
    </row>
    <row r="332" spans="1:24" ht="44.1" customHeight="1" x14ac:dyDescent="0.2">
      <c r="A332" s="8">
        <v>5</v>
      </c>
      <c r="B332" s="8">
        <v>8</v>
      </c>
      <c r="C332" s="8">
        <v>0</v>
      </c>
      <c r="D332" s="3">
        <v>825220054</v>
      </c>
      <c r="E332" s="3" t="s">
        <v>142</v>
      </c>
      <c r="F332" t="s">
        <v>168</v>
      </c>
      <c r="G332" s="25">
        <f t="shared" si="5"/>
        <v>0</v>
      </c>
      <c r="H332" s="24"/>
      <c r="K332" s="5">
        <v>2</v>
      </c>
      <c r="L332" s="5">
        <v>6</v>
      </c>
      <c r="M332" s="5">
        <v>2</v>
      </c>
      <c r="N332" s="5" t="s">
        <v>1217</v>
      </c>
      <c r="O332" s="5" t="s">
        <v>507</v>
      </c>
      <c r="P332" s="5" t="s">
        <v>143</v>
      </c>
      <c r="Q332" s="5" t="s">
        <v>175</v>
      </c>
      <c r="S332">
        <v>2</v>
      </c>
      <c r="T332">
        <v>6</v>
      </c>
      <c r="U332">
        <v>2</v>
      </c>
      <c r="V332" t="str">
        <v>BENEVITO KEVIN SEBASTIAN HARIANDJA</v>
      </c>
      <c r="W332" t="str">
        <v>535220222</v>
      </c>
      <c r="X332" t="str">
        <v>Stupen</v>
      </c>
    </row>
    <row r="333" spans="1:24" ht="42.95" customHeight="1" x14ac:dyDescent="0.2">
      <c r="A333" s="8">
        <v>5</v>
      </c>
      <c r="B333" s="8">
        <v>8</v>
      </c>
      <c r="C333" s="8">
        <v>0</v>
      </c>
      <c r="D333" s="3">
        <v>825220129</v>
      </c>
      <c r="E333" s="3" t="s">
        <v>142</v>
      </c>
      <c r="F333" t="s">
        <v>168</v>
      </c>
      <c r="G333" s="25">
        <f t="shared" si="5"/>
        <v>0</v>
      </c>
      <c r="H333" s="24"/>
      <c r="K333" s="5">
        <v>2</v>
      </c>
      <c r="L333" s="5">
        <v>6</v>
      </c>
      <c r="M333" s="5">
        <v>2</v>
      </c>
      <c r="N333" s="5" t="s">
        <v>1218</v>
      </c>
      <c r="O333" s="5" t="s">
        <v>508</v>
      </c>
      <c r="P333" s="5" t="s">
        <v>143</v>
      </c>
      <c r="Q333" s="5" t="s">
        <v>175</v>
      </c>
      <c r="S333">
        <v>2</v>
      </c>
      <c r="T333">
        <v>6</v>
      </c>
      <c r="U333">
        <v>2</v>
      </c>
      <c r="V333" t="str">
        <v>PARVEEN UZMA HABIDIN</v>
      </c>
      <c r="W333" t="str">
        <v>535220226</v>
      </c>
      <c r="X333" t="str">
        <v>Stupen</v>
      </c>
    </row>
    <row r="334" spans="1:24" ht="44.1" customHeight="1" x14ac:dyDescent="0.2">
      <c r="A334" s="8">
        <v>5</v>
      </c>
      <c r="B334" s="8">
        <v>8</v>
      </c>
      <c r="C334" s="8">
        <v>0</v>
      </c>
      <c r="D334" s="3">
        <v>825220147</v>
      </c>
      <c r="E334" s="3" t="s">
        <v>142</v>
      </c>
      <c r="F334" t="s">
        <v>168</v>
      </c>
      <c r="G334" s="25">
        <f t="shared" si="5"/>
        <v>0</v>
      </c>
      <c r="H334" s="24"/>
      <c r="K334" s="5">
        <v>2</v>
      </c>
      <c r="L334" s="5">
        <v>6</v>
      </c>
      <c r="M334" s="5">
        <v>2</v>
      </c>
      <c r="N334" s="5" t="s">
        <v>1219</v>
      </c>
      <c r="O334" s="5" t="s">
        <v>509</v>
      </c>
      <c r="P334" s="5" t="s">
        <v>143</v>
      </c>
      <c r="Q334" s="5" t="s">
        <v>175</v>
      </c>
      <c r="S334">
        <v>2</v>
      </c>
      <c r="T334">
        <v>6</v>
      </c>
      <c r="U334">
        <v>2</v>
      </c>
      <c r="V334" t="str">
        <v>ANGGA RIZKI RAMADHAN</v>
      </c>
      <c r="W334" t="str">
        <v>535220231</v>
      </c>
      <c r="X334" t="str">
        <v>Stupen</v>
      </c>
    </row>
    <row r="335" spans="1:24" ht="42.95" customHeight="1" x14ac:dyDescent="0.2">
      <c r="A335" s="8">
        <v>5</v>
      </c>
      <c r="B335" s="8">
        <v>8</v>
      </c>
      <c r="C335" s="8">
        <v>0</v>
      </c>
      <c r="D335" s="3">
        <v>825220153</v>
      </c>
      <c r="E335" s="3" t="s">
        <v>142</v>
      </c>
      <c r="F335" t="s">
        <v>168</v>
      </c>
      <c r="G335" s="25">
        <f t="shared" si="5"/>
        <v>0</v>
      </c>
      <c r="H335" s="24"/>
      <c r="K335" s="5">
        <v>3</v>
      </c>
      <c r="L335" s="5">
        <v>6</v>
      </c>
      <c r="M335" s="5">
        <v>0</v>
      </c>
      <c r="N335" s="5" t="s">
        <v>1220</v>
      </c>
      <c r="O335" s="5" t="s">
        <v>510</v>
      </c>
      <c r="P335" s="5" t="s">
        <v>146</v>
      </c>
      <c r="Q335" s="5" t="s">
        <v>173</v>
      </c>
      <c r="S335">
        <v>2</v>
      </c>
      <c r="T335">
        <v>6</v>
      </c>
      <c r="U335">
        <v>2</v>
      </c>
      <c r="V335" t="str">
        <v>JUVENTIA AGNECIA</v>
      </c>
      <c r="W335" t="str">
        <v>535220237</v>
      </c>
      <c r="X335" t="str">
        <v>Stupen</v>
      </c>
    </row>
    <row r="336" spans="1:24" ht="44.1" customHeight="1" x14ac:dyDescent="0.2">
      <c r="A336" s="8">
        <v>5</v>
      </c>
      <c r="B336" s="8">
        <v>8</v>
      </c>
      <c r="C336" s="8">
        <v>0</v>
      </c>
      <c r="D336" s="3">
        <v>825220168</v>
      </c>
      <c r="E336" s="3" t="s">
        <v>142</v>
      </c>
      <c r="F336" s="28" t="s">
        <v>168</v>
      </c>
      <c r="G336" s="25">
        <f t="shared" si="5"/>
        <v>0</v>
      </c>
      <c r="H336" s="24"/>
      <c r="K336" s="5">
        <v>3</v>
      </c>
      <c r="L336" s="5">
        <v>6</v>
      </c>
      <c r="M336" s="5">
        <v>0</v>
      </c>
      <c r="N336" s="5" t="s">
        <v>1221</v>
      </c>
      <c r="O336" s="5" t="s">
        <v>511</v>
      </c>
      <c r="P336" s="5" t="s">
        <v>142</v>
      </c>
      <c r="Q336" s="5" t="s">
        <v>174</v>
      </c>
      <c r="S336">
        <v>2</v>
      </c>
      <c r="T336">
        <v>6</v>
      </c>
      <c r="U336">
        <v>2</v>
      </c>
      <c r="V336" t="str">
        <v>KHANSA MARITZA AR-RAHMAH</v>
      </c>
      <c r="W336" t="str">
        <v>535220241</v>
      </c>
      <c r="X336" t="str">
        <v>Stupen</v>
      </c>
    </row>
    <row r="337" spans="7:7" x14ac:dyDescent="0.2">
      <c r="G337" s="29">
        <f>SUM(G2:G336)</f>
        <v>0</v>
      </c>
    </row>
    <row r="338" spans="7:7" x14ac:dyDescent="0.2">
      <c r="G338" s="1"/>
    </row>
    <row r="339" spans="7:7" x14ac:dyDescent="0.2">
      <c r="G33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492B4-8FD6-42F4-B69A-AF980E07638D}">
  <dimension ref="A1:Y339"/>
  <sheetViews>
    <sheetView zoomScale="70" zoomScaleNormal="70" workbookViewId="0">
      <pane ySplit="1" topLeftCell="A29" activePane="bottomLeft" state="frozen"/>
      <selection pane="bottomLeft" activeCell="AG37" sqref="AG37"/>
    </sheetView>
  </sheetViews>
  <sheetFormatPr defaultRowHeight="12.75" x14ac:dyDescent="0.2"/>
  <cols>
    <col min="1" max="1" width="4.6640625" customWidth="1"/>
    <col min="2" max="2" width="7.5" customWidth="1"/>
    <col min="3" max="3" width="12.6640625" customWidth="1"/>
    <col min="4" max="4" width="15.1640625" customWidth="1"/>
    <col min="5" max="5" width="42.6640625" bestFit="1" customWidth="1"/>
    <col min="6" max="6" width="48.33203125" bestFit="1" customWidth="1"/>
    <col min="7" max="7" width="25.33203125" customWidth="1"/>
    <col min="8" max="8" width="17.83203125" customWidth="1"/>
    <col min="9" max="9" width="19.6640625" customWidth="1"/>
    <col min="11" max="16" width="0" style="5" hidden="1" customWidth="1"/>
    <col min="17" max="17" width="49.5" style="5" hidden="1" customWidth="1"/>
    <col min="18" max="18" width="18.6640625" customWidth="1"/>
    <col min="19" max="21" width="9.33203125" style="24"/>
    <col min="22" max="22" width="12.33203125" style="24" hidden="1" customWidth="1"/>
    <col min="23" max="23" width="9.33203125" style="24"/>
    <col min="24" max="24" width="18.33203125" style="24" customWidth="1"/>
    <col min="25" max="25" width="9.33203125" style="24"/>
  </cols>
  <sheetData>
    <row r="1" spans="1:25" x14ac:dyDescent="0.2">
      <c r="A1" t="s">
        <v>878</v>
      </c>
      <c r="B1" t="s">
        <v>879</v>
      </c>
      <c r="C1" t="s">
        <v>880</v>
      </c>
      <c r="D1" s="30" t="s">
        <v>176</v>
      </c>
      <c r="E1" t="s">
        <v>151</v>
      </c>
      <c r="F1" s="30" t="s">
        <v>152</v>
      </c>
      <c r="G1" s="27" t="s">
        <v>886</v>
      </c>
      <c r="H1" s="24" t="s">
        <v>883</v>
      </c>
      <c r="I1" s="26" t="s">
        <v>885</v>
      </c>
      <c r="K1" s="5" t="s">
        <v>149</v>
      </c>
      <c r="L1" s="5" t="s">
        <v>148</v>
      </c>
      <c r="M1" s="5" t="s">
        <v>150</v>
      </c>
      <c r="N1" s="5" t="s">
        <v>887</v>
      </c>
      <c r="O1" s="5" t="s">
        <v>176</v>
      </c>
      <c r="P1" s="5" t="s">
        <v>151</v>
      </c>
      <c r="Q1" s="5" t="s">
        <v>152</v>
      </c>
      <c r="R1" s="26" t="s">
        <v>1222</v>
      </c>
      <c r="S1" s="24" t="s">
        <v>149</v>
      </c>
      <c r="T1" s="24" t="s">
        <v>148</v>
      </c>
      <c r="U1" s="24" t="s">
        <v>150</v>
      </c>
      <c r="W1" s="24" t="s">
        <v>176</v>
      </c>
      <c r="X1" s="24" t="s">
        <v>151</v>
      </c>
      <c r="Y1" s="24" t="s">
        <v>152</v>
      </c>
    </row>
    <row r="2" spans="1:25" ht="44.1" customHeight="1" x14ac:dyDescent="0.2">
      <c r="A2" s="8">
        <v>0</v>
      </c>
      <c r="B2" s="8">
        <v>0</v>
      </c>
      <c r="C2" s="8">
        <v>0</v>
      </c>
      <c r="D2" s="3">
        <v>825220024</v>
      </c>
      <c r="E2" s="3" t="s">
        <v>142</v>
      </c>
      <c r="F2" t="s">
        <v>160</v>
      </c>
      <c r="G2" s="25" cm="1">
        <f t="array" ref="G2">IF(AND(A2:C2=S2:U2),IF((F2=Y2),1,0),999)</f>
        <v>0</v>
      </c>
      <c r="H2" s="25"/>
      <c r="K2" s="5">
        <v>0</v>
      </c>
      <c r="L2" s="5">
        <v>0</v>
      </c>
      <c r="M2" s="5">
        <v>0</v>
      </c>
      <c r="N2" s="5" t="s">
        <v>888</v>
      </c>
      <c r="O2" s="5" t="s">
        <v>177</v>
      </c>
      <c r="P2" s="5" t="s">
        <v>142</v>
      </c>
      <c r="Q2" s="5" t="s">
        <v>153</v>
      </c>
      <c r="S2" s="24" cm="1">
        <f t="array" ref="S2:Y336">_xlfn._xlws.SORT(K2:Q336,{2,3,1},{1,1,1})</f>
        <v>0</v>
      </c>
      <c r="T2" s="24">
        <v>0</v>
      </c>
      <c r="U2" s="24">
        <v>0</v>
      </c>
      <c r="V2" s="24" t="str">
        <v>JONATHAN FERDINAND</v>
      </c>
      <c r="W2" s="24" t="str">
        <v>825220046</v>
      </c>
      <c r="X2" s="24" t="str">
        <v>Magang</v>
      </c>
      <c r="Y2" s="24" t="str">
        <v>Dra. Ery Dewayani, MMSI</v>
      </c>
    </row>
    <row r="3" spans="1:25" ht="42.95" customHeight="1" x14ac:dyDescent="0.2">
      <c r="A3" s="8">
        <v>0</v>
      </c>
      <c r="B3" s="8">
        <v>0</v>
      </c>
      <c r="C3" s="8">
        <v>0</v>
      </c>
      <c r="D3" s="3">
        <v>825220040</v>
      </c>
      <c r="E3" s="3" t="s">
        <v>142</v>
      </c>
      <c r="F3" t="s">
        <v>160</v>
      </c>
      <c r="G3" s="25" cm="1">
        <f t="array" ref="G3">IF(AND(A3:C3=S3:U3),IF((F3=Y3),1,0),999)</f>
        <v>0</v>
      </c>
      <c r="H3" s="24"/>
      <c r="K3" s="5">
        <v>0</v>
      </c>
      <c r="L3" s="5">
        <v>0</v>
      </c>
      <c r="M3" s="5">
        <v>0</v>
      </c>
      <c r="N3" s="5" t="s">
        <v>889</v>
      </c>
      <c r="O3" s="5" t="s">
        <v>178</v>
      </c>
      <c r="P3" s="5" t="s">
        <v>142</v>
      </c>
      <c r="Q3" s="5" t="s">
        <v>153</v>
      </c>
      <c r="S3" s="24">
        <v>0</v>
      </c>
      <c r="T3" s="24">
        <v>0</v>
      </c>
      <c r="U3" s="24">
        <v>0</v>
      </c>
      <c r="V3" s="24" t="str">
        <v>JUSTIN BRUNELT LAUWDE</v>
      </c>
      <c r="W3" s="24" t="str">
        <v>825220048</v>
      </c>
      <c r="X3" s="24" t="str">
        <v>Magang</v>
      </c>
      <c r="Y3" s="24" t="str">
        <v>Dra. Ery Dewayani, MMSI</v>
      </c>
    </row>
    <row r="4" spans="1:25" ht="44.1" customHeight="1" x14ac:dyDescent="0.2">
      <c r="A4" s="8">
        <v>0</v>
      </c>
      <c r="B4" s="8">
        <v>0</v>
      </c>
      <c r="C4" s="8">
        <v>0</v>
      </c>
      <c r="D4" s="3">
        <v>825220045</v>
      </c>
      <c r="E4" s="3" t="s">
        <v>142</v>
      </c>
      <c r="F4" t="s">
        <v>160</v>
      </c>
      <c r="G4" s="25" cm="1">
        <f t="array" ref="G4">IF(AND(A4:C4=S4:U4),IF((F4=Y4),1,0),999)</f>
        <v>0</v>
      </c>
      <c r="H4" s="24"/>
      <c r="K4" s="5">
        <v>0</v>
      </c>
      <c r="L4" s="5">
        <v>0</v>
      </c>
      <c r="M4" s="5">
        <v>0</v>
      </c>
      <c r="N4" s="5" t="s">
        <v>890</v>
      </c>
      <c r="O4" s="5" t="s">
        <v>179</v>
      </c>
      <c r="P4" s="5" t="s">
        <v>142</v>
      </c>
      <c r="Q4" s="5" t="s">
        <v>153</v>
      </c>
      <c r="S4" s="24">
        <v>0</v>
      </c>
      <c r="T4" s="24">
        <v>0</v>
      </c>
      <c r="U4" s="24">
        <v>0</v>
      </c>
      <c r="V4" s="24" t="str">
        <v>IE CHEN</v>
      </c>
      <c r="W4" s="24" t="str">
        <v>825220057</v>
      </c>
      <c r="X4" s="24" t="str">
        <v>Magang</v>
      </c>
      <c r="Y4" s="24" t="str">
        <v>Dra. Ery Dewayani, MMSI</v>
      </c>
    </row>
    <row r="5" spans="1:25" ht="42.95" customHeight="1" x14ac:dyDescent="0.2">
      <c r="A5" s="8">
        <v>0</v>
      </c>
      <c r="B5" s="8">
        <v>0</v>
      </c>
      <c r="C5" s="8">
        <v>0</v>
      </c>
      <c r="D5" s="3">
        <v>825220049</v>
      </c>
      <c r="E5" s="3" t="s">
        <v>142</v>
      </c>
      <c r="F5" t="s">
        <v>160</v>
      </c>
      <c r="G5" s="25" cm="1">
        <f t="array" ref="G5">IF(AND(A5:C5=S5:U5),IF((F5=Y5),1,0),999)</f>
        <v>0</v>
      </c>
      <c r="H5" s="24"/>
      <c r="K5" s="5">
        <v>0</v>
      </c>
      <c r="L5" s="5">
        <v>0</v>
      </c>
      <c r="M5" s="5">
        <v>0</v>
      </c>
      <c r="N5" s="5" t="s">
        <v>891</v>
      </c>
      <c r="O5" s="5" t="s">
        <v>180</v>
      </c>
      <c r="P5" s="5" t="s">
        <v>142</v>
      </c>
      <c r="Q5" s="5" t="s">
        <v>153</v>
      </c>
      <c r="S5" s="24">
        <v>0</v>
      </c>
      <c r="T5" s="24">
        <v>0</v>
      </c>
      <c r="U5" s="24">
        <v>0</v>
      </c>
      <c r="V5" s="24" t="str">
        <v>VANESSA</v>
      </c>
      <c r="W5" s="24" t="str">
        <v>825220060</v>
      </c>
      <c r="X5" s="24" t="str">
        <v>Magang</v>
      </c>
      <c r="Y5" s="24" t="str">
        <v>Dra. Ery Dewayani, MMSI</v>
      </c>
    </row>
    <row r="6" spans="1:25" ht="44.1" customHeight="1" x14ac:dyDescent="0.2">
      <c r="A6" s="8">
        <v>0</v>
      </c>
      <c r="B6" s="8">
        <v>0</v>
      </c>
      <c r="C6" s="8">
        <v>0</v>
      </c>
      <c r="D6" s="3">
        <v>825220055</v>
      </c>
      <c r="E6" s="3" t="s">
        <v>142</v>
      </c>
      <c r="F6" t="s">
        <v>160</v>
      </c>
      <c r="G6" s="25" cm="1">
        <f t="array" ref="G6">IF(AND(A6:C6=S6:U6),IF((F6=Y6),1,0),999)</f>
        <v>0</v>
      </c>
      <c r="H6" s="24"/>
      <c r="K6" s="5">
        <v>0</v>
      </c>
      <c r="L6" s="5">
        <v>0</v>
      </c>
      <c r="M6" s="5">
        <v>0</v>
      </c>
      <c r="N6" s="5" t="s">
        <v>892</v>
      </c>
      <c r="O6" s="5" t="s">
        <v>181</v>
      </c>
      <c r="P6" s="5" t="s">
        <v>142</v>
      </c>
      <c r="Q6" s="5" t="s">
        <v>153</v>
      </c>
      <c r="S6" s="24">
        <v>0</v>
      </c>
      <c r="T6" s="24">
        <v>0</v>
      </c>
      <c r="U6" s="24">
        <v>0</v>
      </c>
      <c r="V6" s="24" t="str">
        <v>HANSEN CHRISTIAN LIE</v>
      </c>
      <c r="W6" s="24" t="str">
        <v>825220061</v>
      </c>
      <c r="X6" s="24" t="str">
        <v>Magang</v>
      </c>
      <c r="Y6" s="24" t="str">
        <v>Dra. Ery Dewayani, MMSI</v>
      </c>
    </row>
    <row r="7" spans="1:25" ht="42.6" customHeight="1" x14ac:dyDescent="0.2">
      <c r="A7" s="8">
        <v>1</v>
      </c>
      <c r="B7" s="8">
        <v>0</v>
      </c>
      <c r="C7" s="8">
        <v>0</v>
      </c>
      <c r="D7" s="3">
        <v>825220089</v>
      </c>
      <c r="E7" s="3" t="s">
        <v>142</v>
      </c>
      <c r="F7" t="s">
        <v>160</v>
      </c>
      <c r="G7" s="25" cm="1">
        <f t="array" ref="G7">IF(AND(A7:C7=S7:U7),IF((F7=Y7),1,0),999)</f>
        <v>0</v>
      </c>
      <c r="H7" s="25"/>
      <c r="K7" s="5">
        <v>0</v>
      </c>
      <c r="L7" s="5">
        <v>0</v>
      </c>
      <c r="M7" s="5">
        <v>1</v>
      </c>
      <c r="N7" s="5" t="s">
        <v>893</v>
      </c>
      <c r="O7" s="5" t="s">
        <v>182</v>
      </c>
      <c r="P7" s="5" t="s">
        <v>142</v>
      </c>
      <c r="Q7" s="5" t="s">
        <v>154</v>
      </c>
      <c r="S7" s="24">
        <v>1</v>
      </c>
      <c r="T7" s="24">
        <v>0</v>
      </c>
      <c r="U7" s="24">
        <v>0</v>
      </c>
      <c r="V7" s="24" t="str">
        <v>JESSICA WIDODO</v>
      </c>
      <c r="W7" s="24" t="str">
        <v>825220064</v>
      </c>
      <c r="X7" s="24" t="str">
        <v>Magang</v>
      </c>
      <c r="Y7" s="24" t="str">
        <v>Dra. Ery Dewayani, MMSI</v>
      </c>
    </row>
    <row r="8" spans="1:25" ht="47.25" customHeight="1" x14ac:dyDescent="0.2">
      <c r="A8" s="8">
        <v>1</v>
      </c>
      <c r="B8" s="8">
        <v>0</v>
      </c>
      <c r="C8" s="8">
        <v>0</v>
      </c>
      <c r="D8" s="4">
        <v>825220132</v>
      </c>
      <c r="E8" s="3" t="s">
        <v>142</v>
      </c>
      <c r="F8" t="s">
        <v>160</v>
      </c>
      <c r="G8" s="25" cm="1">
        <f t="array" ref="G8">IF(AND(A8:C8=S8:U8),IF((F8=Y8),1,0),999)</f>
        <v>0</v>
      </c>
      <c r="H8" s="24"/>
      <c r="K8" s="5">
        <v>0</v>
      </c>
      <c r="L8" s="5">
        <v>0</v>
      </c>
      <c r="M8" s="5">
        <v>1</v>
      </c>
      <c r="N8" s="5" t="s">
        <v>894</v>
      </c>
      <c r="O8" s="5" t="s">
        <v>183</v>
      </c>
      <c r="P8" s="5" t="s">
        <v>142</v>
      </c>
      <c r="Q8" s="5" t="s">
        <v>154</v>
      </c>
      <c r="S8" s="24">
        <v>1</v>
      </c>
      <c r="T8" s="24">
        <v>0</v>
      </c>
      <c r="U8" s="24">
        <v>0</v>
      </c>
      <c r="V8" s="24" t="str">
        <v>PAMELA METTA OKTAVIANA</v>
      </c>
      <c r="W8" s="24" t="str">
        <v>825220068</v>
      </c>
      <c r="X8" s="24" t="str">
        <v>Magang</v>
      </c>
      <c r="Y8" s="24" t="str">
        <v>Dra. Ery Dewayani, MMSI</v>
      </c>
    </row>
    <row r="9" spans="1:25" ht="44.1" customHeight="1" x14ac:dyDescent="0.2">
      <c r="A9" s="8">
        <v>1</v>
      </c>
      <c r="B9" s="8">
        <v>0</v>
      </c>
      <c r="C9" s="8">
        <v>0</v>
      </c>
      <c r="D9" s="3">
        <v>825220151</v>
      </c>
      <c r="E9" s="3" t="s">
        <v>142</v>
      </c>
      <c r="F9" t="s">
        <v>160</v>
      </c>
      <c r="G9" s="25" cm="1">
        <f t="array" ref="G9">IF(AND(A9:C9=S9:U9),IF((F9=Y9),1,0),999)</f>
        <v>0</v>
      </c>
      <c r="H9" s="24"/>
      <c r="K9" s="5">
        <v>0</v>
      </c>
      <c r="L9" s="5">
        <v>0</v>
      </c>
      <c r="M9" s="5">
        <v>1</v>
      </c>
      <c r="N9" s="5" t="s">
        <v>895</v>
      </c>
      <c r="O9" s="5" t="s">
        <v>184</v>
      </c>
      <c r="P9" s="5" t="s">
        <v>142</v>
      </c>
      <c r="Q9" s="5" t="s">
        <v>154</v>
      </c>
      <c r="S9" s="24">
        <v>1</v>
      </c>
      <c r="T9" s="24">
        <v>0</v>
      </c>
      <c r="U9" s="24">
        <v>0</v>
      </c>
      <c r="V9" s="24" t="str">
        <v>MICHAEL TRISTAN PRAMONO</v>
      </c>
      <c r="W9" s="24" t="str">
        <v>825220071</v>
      </c>
      <c r="X9" s="24" t="str">
        <v>Magang</v>
      </c>
      <c r="Y9" s="24" t="str">
        <v>Dra. Ery Dewayani, MMSI</v>
      </c>
    </row>
    <row r="10" spans="1:25" ht="42.95" customHeight="1" x14ac:dyDescent="0.2">
      <c r="A10" s="8">
        <v>1</v>
      </c>
      <c r="B10" s="8">
        <v>0</v>
      </c>
      <c r="C10" s="8">
        <v>0</v>
      </c>
      <c r="D10" s="3">
        <v>825220154</v>
      </c>
      <c r="E10" s="3" t="s">
        <v>142</v>
      </c>
      <c r="F10" t="s">
        <v>160</v>
      </c>
      <c r="G10" s="25" cm="1">
        <f t="array" ref="G10">IF(AND(A10:C10=S10:U10),IF((F10=Y10),1,0),999)</f>
        <v>0</v>
      </c>
      <c r="H10" s="24"/>
      <c r="K10" s="5">
        <v>0</v>
      </c>
      <c r="L10" s="5">
        <v>0</v>
      </c>
      <c r="M10" s="5">
        <v>1</v>
      </c>
      <c r="N10" s="5" t="s">
        <v>896</v>
      </c>
      <c r="O10" s="5" t="s">
        <v>185</v>
      </c>
      <c r="P10" s="5" t="s">
        <v>142</v>
      </c>
      <c r="Q10" s="5" t="s">
        <v>154</v>
      </c>
      <c r="S10" s="24">
        <v>1</v>
      </c>
      <c r="T10" s="24">
        <v>0</v>
      </c>
      <c r="U10" s="24">
        <v>0</v>
      </c>
      <c r="V10" s="24" t="str">
        <v>RAFAEL DAVRIO SUTHYA</v>
      </c>
      <c r="W10" s="24" t="str">
        <v>825220072</v>
      </c>
      <c r="X10" s="24" t="str">
        <v>Magang</v>
      </c>
      <c r="Y10" s="24" t="str">
        <v>Dra. Ery Dewayani, MMSI</v>
      </c>
    </row>
    <row r="11" spans="1:25" ht="43.5" customHeight="1" x14ac:dyDescent="0.2">
      <c r="A11" s="8">
        <v>1</v>
      </c>
      <c r="B11" s="8">
        <v>0</v>
      </c>
      <c r="C11" s="8">
        <v>0</v>
      </c>
      <c r="D11" s="3">
        <v>825220046</v>
      </c>
      <c r="E11" s="3" t="s">
        <v>142</v>
      </c>
      <c r="F11" t="s">
        <v>153</v>
      </c>
      <c r="G11" s="25" cm="1">
        <f t="array" ref="G11">IF(AND(A11:C11=S11:U11),IF((F11=Y11),1,0),999)</f>
        <v>1</v>
      </c>
      <c r="H11" s="24"/>
      <c r="K11" s="5">
        <v>0</v>
      </c>
      <c r="L11" s="5">
        <v>0</v>
      </c>
      <c r="M11" s="5">
        <v>1</v>
      </c>
      <c r="N11" s="5" t="s">
        <v>897</v>
      </c>
      <c r="O11" s="5" t="s">
        <v>186</v>
      </c>
      <c r="P11" s="5" t="s">
        <v>142</v>
      </c>
      <c r="Q11" s="5" t="s">
        <v>154</v>
      </c>
      <c r="S11" s="24">
        <v>1</v>
      </c>
      <c r="T11" s="24">
        <v>0</v>
      </c>
      <c r="U11" s="24">
        <v>0</v>
      </c>
      <c r="V11" s="24" t="str">
        <v>JOHANES NICHOLAS VIERY</v>
      </c>
      <c r="W11" s="24" t="str">
        <v>825220073</v>
      </c>
      <c r="X11" s="24" t="str">
        <v>Magang</v>
      </c>
      <c r="Y11" s="24" t="str">
        <v>Dra. Ery Dewayani, MMSI</v>
      </c>
    </row>
    <row r="12" spans="1:25" ht="42.95" customHeight="1" x14ac:dyDescent="0.2">
      <c r="A12" s="8">
        <v>2</v>
      </c>
      <c r="B12" s="8">
        <v>0</v>
      </c>
      <c r="C12" s="8">
        <v>0</v>
      </c>
      <c r="D12" s="3">
        <v>825220048</v>
      </c>
      <c r="E12" s="3" t="s">
        <v>142</v>
      </c>
      <c r="F12" t="s">
        <v>153</v>
      </c>
      <c r="G12" s="25" cm="1">
        <f t="array" ref="G12">IF(AND(A12:C12=S12:U12),IF((F12=Y12),1,0),999)</f>
        <v>1</v>
      </c>
      <c r="H12" s="24"/>
      <c r="K12" s="5">
        <v>0</v>
      </c>
      <c r="L12" s="5">
        <v>0</v>
      </c>
      <c r="M12" s="5">
        <v>2</v>
      </c>
      <c r="N12" s="5" t="s">
        <v>898</v>
      </c>
      <c r="O12" s="5" t="s">
        <v>187</v>
      </c>
      <c r="P12" s="5" t="s">
        <v>142</v>
      </c>
      <c r="Q12" s="5" t="s">
        <v>155</v>
      </c>
      <c r="S12" s="24">
        <v>2</v>
      </c>
      <c r="T12" s="24">
        <v>0</v>
      </c>
      <c r="U12" s="24">
        <v>0</v>
      </c>
      <c r="V12" s="24" t="str">
        <v xml:space="preserve">NICO SUWANTO </v>
      </c>
      <c r="W12" s="24" t="str">
        <v>825220074</v>
      </c>
      <c r="X12" s="24" t="str">
        <v>Magang</v>
      </c>
      <c r="Y12" s="24" t="str">
        <v>Dra. Ery Dewayani, MMSI</v>
      </c>
    </row>
    <row r="13" spans="1:25" ht="44.1" customHeight="1" x14ac:dyDescent="0.2">
      <c r="A13" s="8">
        <v>2</v>
      </c>
      <c r="B13" s="8">
        <v>0</v>
      </c>
      <c r="C13" s="8">
        <v>0</v>
      </c>
      <c r="D13" s="3">
        <v>825220057</v>
      </c>
      <c r="E13" s="3" t="s">
        <v>142</v>
      </c>
      <c r="F13" t="s">
        <v>153</v>
      </c>
      <c r="G13" s="25" cm="1">
        <f t="array" ref="G13">IF(AND(A13:C13=S13:U13),IF((F13=Y13),1,0),999)</f>
        <v>1</v>
      </c>
      <c r="H13" s="24"/>
      <c r="K13" s="5">
        <v>0</v>
      </c>
      <c r="L13" s="5">
        <v>0</v>
      </c>
      <c r="M13" s="5">
        <v>2</v>
      </c>
      <c r="N13" s="5" t="s">
        <v>899</v>
      </c>
      <c r="O13" s="5" t="s">
        <v>188</v>
      </c>
      <c r="P13" s="5" t="s">
        <v>142</v>
      </c>
      <c r="Q13" s="5" t="s">
        <v>155</v>
      </c>
      <c r="S13" s="24">
        <v>2</v>
      </c>
      <c r="T13" s="24">
        <v>0</v>
      </c>
      <c r="U13" s="24">
        <v>0</v>
      </c>
      <c r="V13" s="24" t="str">
        <v>JONATHAN LUCAS PAKPAHAN</v>
      </c>
      <c r="W13" s="24" t="str">
        <v>825220159</v>
      </c>
      <c r="X13" s="24" t="str">
        <v>Magang</v>
      </c>
      <c r="Y13" s="24" t="str">
        <v>Dra. Ery Dewayani, MMSI</v>
      </c>
    </row>
    <row r="14" spans="1:25" ht="42.95" customHeight="1" x14ac:dyDescent="0.2">
      <c r="A14" s="8">
        <v>2</v>
      </c>
      <c r="B14" s="8">
        <v>0</v>
      </c>
      <c r="C14" s="8">
        <v>0</v>
      </c>
      <c r="D14" s="3">
        <v>825220060</v>
      </c>
      <c r="E14" s="3" t="s">
        <v>142</v>
      </c>
      <c r="F14" t="s">
        <v>153</v>
      </c>
      <c r="G14" s="25" cm="1">
        <f t="array" ref="G14">IF(AND(A14:C14=S14:U14),IF((F14=Y14),1,0),999)</f>
        <v>1</v>
      </c>
      <c r="H14" s="24"/>
      <c r="K14" s="5">
        <v>0</v>
      </c>
      <c r="L14" s="5">
        <v>0</v>
      </c>
      <c r="M14" s="5">
        <v>2</v>
      </c>
      <c r="N14" s="5" t="s">
        <v>900</v>
      </c>
      <c r="O14" s="5" t="s">
        <v>189</v>
      </c>
      <c r="P14" s="5" t="s">
        <v>142</v>
      </c>
      <c r="Q14" s="5" t="s">
        <v>155</v>
      </c>
      <c r="S14" s="24">
        <v>2</v>
      </c>
      <c r="T14" s="24">
        <v>0</v>
      </c>
      <c r="U14" s="24">
        <v>0</v>
      </c>
      <c r="V14" s="24" t="str">
        <v>GRASYA B LAMPALA L MUNTHE</v>
      </c>
      <c r="W14" s="24" t="str">
        <v>825220160</v>
      </c>
      <c r="X14" s="24" t="str">
        <v>Magang</v>
      </c>
      <c r="Y14" s="24" t="str">
        <v>Dra. Ery Dewayani, MMSI</v>
      </c>
    </row>
    <row r="15" spans="1:25" ht="44.1" customHeight="1" x14ac:dyDescent="0.2">
      <c r="A15" s="8">
        <v>2</v>
      </c>
      <c r="B15" s="8">
        <v>0</v>
      </c>
      <c r="C15" s="8">
        <v>0</v>
      </c>
      <c r="D15" s="3">
        <v>825220061</v>
      </c>
      <c r="E15" s="3" t="s">
        <v>142</v>
      </c>
      <c r="F15" t="s">
        <v>153</v>
      </c>
      <c r="G15" s="25" cm="1">
        <f t="array" ref="G15">IF(AND(A15:C15=S15:U15),IF((F15=Y15),1,0),999)</f>
        <v>1</v>
      </c>
      <c r="H15" s="24"/>
      <c r="K15" s="5">
        <v>0</v>
      </c>
      <c r="L15" s="5">
        <v>0</v>
      </c>
      <c r="M15" s="5">
        <v>2</v>
      </c>
      <c r="N15" s="5" t="s">
        <v>901</v>
      </c>
      <c r="O15" s="5" t="s">
        <v>190</v>
      </c>
      <c r="P15" s="5" t="s">
        <v>142</v>
      </c>
      <c r="Q15" s="5" t="s">
        <v>155</v>
      </c>
      <c r="S15" s="24">
        <v>2</v>
      </c>
      <c r="T15" s="24">
        <v>0</v>
      </c>
      <c r="U15" s="24">
        <v>0</v>
      </c>
      <c r="V15" s="24" t="str">
        <v>GRACE APRILIANI PUTERI SANTOSO</v>
      </c>
      <c r="W15" s="24" t="str">
        <v>825220161</v>
      </c>
      <c r="X15" s="24" t="str">
        <v>Magang</v>
      </c>
      <c r="Y15" s="24" t="str">
        <v>Dra. Ery Dewayani, MMSI</v>
      </c>
    </row>
    <row r="16" spans="1:25" ht="43.5" customHeight="1" x14ac:dyDescent="0.2">
      <c r="A16" s="8">
        <v>2</v>
      </c>
      <c r="B16" s="8">
        <v>0</v>
      </c>
      <c r="C16" s="8">
        <v>0</v>
      </c>
      <c r="D16" s="3">
        <v>825220064</v>
      </c>
      <c r="E16" s="3" t="s">
        <v>142</v>
      </c>
      <c r="F16" t="s">
        <v>153</v>
      </c>
      <c r="G16" s="25" cm="1">
        <f t="array" ref="G16">IF(AND(A16:C16=S16:U16),IF((F16=Y16),1,0),999)</f>
        <v>1</v>
      </c>
      <c r="H16" s="24"/>
      <c r="K16" s="5">
        <v>0</v>
      </c>
      <c r="L16" s="5">
        <v>0</v>
      </c>
      <c r="M16" s="5">
        <v>2</v>
      </c>
      <c r="N16" s="5" t="s">
        <v>902</v>
      </c>
      <c r="O16" s="5" t="s">
        <v>191</v>
      </c>
      <c r="P16" s="5" t="s">
        <v>142</v>
      </c>
      <c r="Q16" s="5" t="s">
        <v>155</v>
      </c>
      <c r="S16" s="24">
        <v>2</v>
      </c>
      <c r="T16" s="24">
        <v>0</v>
      </c>
      <c r="U16" s="24">
        <v>0</v>
      </c>
      <c r="V16" s="24" t="str">
        <v>DEA AULIYA RAHMAWATI</v>
      </c>
      <c r="W16" s="24" t="str">
        <v>825220163</v>
      </c>
      <c r="X16" s="24" t="str">
        <v>Magang</v>
      </c>
      <c r="Y16" s="24" t="str">
        <v>Dra. Ery Dewayani, MMSI</v>
      </c>
    </row>
    <row r="17" spans="1:25" ht="42.95" customHeight="1" x14ac:dyDescent="0.2">
      <c r="A17" s="8">
        <v>3</v>
      </c>
      <c r="B17" s="8">
        <v>0</v>
      </c>
      <c r="C17" s="8">
        <v>0</v>
      </c>
      <c r="D17" s="3">
        <v>825220012</v>
      </c>
      <c r="E17" s="3" t="s">
        <v>142</v>
      </c>
      <c r="F17" t="s">
        <v>155</v>
      </c>
      <c r="G17" s="25" cm="1">
        <f t="array" ref="G17">IF(AND(A17:C17=S17:U17),IF((F17=Y17),1,0),999)</f>
        <v>0</v>
      </c>
      <c r="H17" s="24"/>
      <c r="K17" s="5">
        <v>1</v>
      </c>
      <c r="L17" s="5">
        <v>0</v>
      </c>
      <c r="M17" s="5">
        <v>0</v>
      </c>
      <c r="N17" s="5" t="s">
        <v>903</v>
      </c>
      <c r="O17" s="5" t="s">
        <v>192</v>
      </c>
      <c r="P17" s="5" t="s">
        <v>142</v>
      </c>
      <c r="Q17" s="5" t="s">
        <v>153</v>
      </c>
      <c r="S17" s="24">
        <v>3</v>
      </c>
      <c r="T17" s="24">
        <v>0</v>
      </c>
      <c r="U17" s="24">
        <v>0</v>
      </c>
      <c r="V17" s="24" t="str">
        <v>MUHAMMAD DAFFA AL HAKIM</v>
      </c>
      <c r="W17" s="24" t="str">
        <v>825220164</v>
      </c>
      <c r="X17" s="24" t="str">
        <v>Magang</v>
      </c>
      <c r="Y17" s="24" t="str">
        <v>Dra. Ery Dewayani, MMSI</v>
      </c>
    </row>
    <row r="18" spans="1:25" ht="43.7" customHeight="1" x14ac:dyDescent="0.2">
      <c r="A18" s="8">
        <v>3</v>
      </c>
      <c r="B18" s="8">
        <v>0</v>
      </c>
      <c r="C18" s="8">
        <v>0</v>
      </c>
      <c r="D18" s="3">
        <v>825220016</v>
      </c>
      <c r="E18" s="3" t="s">
        <v>142</v>
      </c>
      <c r="F18" t="s">
        <v>155</v>
      </c>
      <c r="G18" s="25" cm="1">
        <f t="array" ref="G18">IF(AND(A18:C18=S18:U18),IF((F18=Y18),1,0),999)</f>
        <v>0</v>
      </c>
      <c r="H18" s="24"/>
      <c r="K18" s="5">
        <v>1</v>
      </c>
      <c r="L18" s="5">
        <v>0</v>
      </c>
      <c r="M18" s="5">
        <v>0</v>
      </c>
      <c r="N18" s="5" t="s">
        <v>904</v>
      </c>
      <c r="O18" s="5" t="s">
        <v>193</v>
      </c>
      <c r="P18" s="5" t="s">
        <v>142</v>
      </c>
      <c r="Q18" s="5" t="s">
        <v>153</v>
      </c>
      <c r="S18" s="24">
        <v>3</v>
      </c>
      <c r="T18" s="24">
        <v>0</v>
      </c>
      <c r="U18" s="24">
        <v>0</v>
      </c>
      <c r="V18" s="24" t="str">
        <v>RAKHA NAUFAL SUJANA</v>
      </c>
      <c r="W18" s="24" t="str">
        <v>535220006</v>
      </c>
      <c r="X18" s="24" t="str">
        <v>Magang</v>
      </c>
      <c r="Y18" s="24" t="str">
        <v>Manatap Dolok Lauro, S.Kom., MMSI</v>
      </c>
    </row>
    <row r="19" spans="1:25" ht="44.1" customHeight="1" x14ac:dyDescent="0.2">
      <c r="A19" s="8">
        <v>3</v>
      </c>
      <c r="B19" s="8">
        <v>0</v>
      </c>
      <c r="C19" s="8">
        <v>0</v>
      </c>
      <c r="D19" s="3">
        <v>825220020</v>
      </c>
      <c r="E19" s="3" t="s">
        <v>142</v>
      </c>
      <c r="F19" t="s">
        <v>155</v>
      </c>
      <c r="G19" s="25" cm="1">
        <f t="array" ref="G19">IF(AND(A19:C19=S19:U19),IF((F19=Y19),1,0),999)</f>
        <v>0</v>
      </c>
      <c r="H19" s="24"/>
      <c r="K19" s="5">
        <v>1</v>
      </c>
      <c r="L19" s="5">
        <v>0</v>
      </c>
      <c r="M19" s="5">
        <v>0</v>
      </c>
      <c r="N19" s="5" t="s">
        <v>905</v>
      </c>
      <c r="O19" s="5" t="s">
        <v>194</v>
      </c>
      <c r="P19" s="5" t="s">
        <v>142</v>
      </c>
      <c r="Q19" s="5" t="s">
        <v>153</v>
      </c>
      <c r="S19" s="24">
        <v>3</v>
      </c>
      <c r="T19" s="24">
        <v>0</v>
      </c>
      <c r="U19" s="24">
        <v>0</v>
      </c>
      <c r="V19" s="24" t="str">
        <v>KANE PRADIPA KOMALA</v>
      </c>
      <c r="W19" s="24" t="str">
        <v>535220007</v>
      </c>
      <c r="X19" s="24" t="str">
        <v>Magang</v>
      </c>
      <c r="Y19" s="24" t="str">
        <v>Manatap Dolok Lauro, S.Kom., MMSI</v>
      </c>
    </row>
    <row r="20" spans="1:25" ht="42.95" customHeight="1" x14ac:dyDescent="0.2">
      <c r="A20" s="8">
        <v>3</v>
      </c>
      <c r="B20" s="8">
        <v>0</v>
      </c>
      <c r="C20" s="8">
        <v>0</v>
      </c>
      <c r="D20" s="3">
        <v>825220023</v>
      </c>
      <c r="E20" s="3" t="s">
        <v>142</v>
      </c>
      <c r="F20" t="s">
        <v>155</v>
      </c>
      <c r="G20" s="25" cm="1">
        <f t="array" ref="G20">IF(AND(A20:C20=S20:U20),IF((F20=Y20),1,0),999)</f>
        <v>0</v>
      </c>
      <c r="H20" s="24"/>
      <c r="K20" s="5">
        <v>1</v>
      </c>
      <c r="L20" s="5">
        <v>0</v>
      </c>
      <c r="M20" s="5">
        <v>0</v>
      </c>
      <c r="N20" s="5" t="s">
        <v>906</v>
      </c>
      <c r="O20" s="5" t="s">
        <v>195</v>
      </c>
      <c r="P20" s="5" t="s">
        <v>142</v>
      </c>
      <c r="Q20" s="5" t="s">
        <v>153</v>
      </c>
      <c r="S20" s="24">
        <v>3</v>
      </c>
      <c r="T20" s="24">
        <v>0</v>
      </c>
      <c r="U20" s="24">
        <v>0</v>
      </c>
      <c r="V20" s="24" t="str">
        <v>BENNY DWIYANTO</v>
      </c>
      <c r="W20" s="24" t="str">
        <v>535220012</v>
      </c>
      <c r="X20" s="24" t="str">
        <v>Magang</v>
      </c>
      <c r="Y20" s="24" t="str">
        <v>Manatap Dolok Lauro, S.Kom., MMSI</v>
      </c>
    </row>
    <row r="21" spans="1:25" ht="43.5" customHeight="1" x14ac:dyDescent="0.2">
      <c r="A21" s="8">
        <v>3</v>
      </c>
      <c r="B21" s="8">
        <v>0</v>
      </c>
      <c r="C21" s="8">
        <v>0</v>
      </c>
      <c r="D21" s="3">
        <v>825220028</v>
      </c>
      <c r="E21" s="3" t="s">
        <v>142</v>
      </c>
      <c r="F21" t="s">
        <v>155</v>
      </c>
      <c r="G21" s="25" cm="1">
        <f t="array" ref="G21">IF(AND(A21:C21=S21:U21),IF((F21=Y21),1,0),999)</f>
        <v>0</v>
      </c>
      <c r="H21" s="24"/>
      <c r="K21" s="5">
        <v>1</v>
      </c>
      <c r="L21" s="5">
        <v>0</v>
      </c>
      <c r="M21" s="5">
        <v>0</v>
      </c>
      <c r="N21" s="5" t="s">
        <v>907</v>
      </c>
      <c r="O21" s="5" t="s">
        <v>196</v>
      </c>
      <c r="P21" s="5" t="s">
        <v>142</v>
      </c>
      <c r="Q21" s="5" t="s">
        <v>153</v>
      </c>
      <c r="S21" s="24">
        <v>3</v>
      </c>
      <c r="T21" s="24">
        <v>0</v>
      </c>
      <c r="U21" s="24">
        <v>0</v>
      </c>
      <c r="V21" s="24" t="str">
        <v>CHRISTIAN FERNANDO</v>
      </c>
      <c r="W21" s="24" t="str">
        <v>535220055</v>
      </c>
      <c r="X21" s="24" t="str">
        <v>Magang</v>
      </c>
      <c r="Y21" s="24" t="str">
        <v>Manatap Dolok Lauro, S.Kom., MMSI</v>
      </c>
    </row>
    <row r="22" spans="1:25" ht="42.95" customHeight="1" x14ac:dyDescent="0.2">
      <c r="A22" s="8">
        <v>4</v>
      </c>
      <c r="B22" s="8">
        <v>0</v>
      </c>
      <c r="C22" s="8">
        <v>0</v>
      </c>
      <c r="D22" s="3">
        <v>825220167</v>
      </c>
      <c r="E22" s="3" t="s">
        <v>143</v>
      </c>
      <c r="F22" t="s">
        <v>168</v>
      </c>
      <c r="G22" s="25" cm="1">
        <f t="array" ref="G22">IF(AND(A22:C22=S22:U22),IF((F22=Y22),1,0),999)</f>
        <v>0</v>
      </c>
      <c r="H22" s="24"/>
      <c r="K22" s="5">
        <v>1</v>
      </c>
      <c r="L22" s="5">
        <v>0</v>
      </c>
      <c r="M22" s="5">
        <v>1</v>
      </c>
      <c r="N22" s="5" t="s">
        <v>908</v>
      </c>
      <c r="O22" s="5" t="s">
        <v>197</v>
      </c>
      <c r="P22" s="5" t="s">
        <v>142</v>
      </c>
      <c r="Q22" s="5" t="s">
        <v>154</v>
      </c>
      <c r="S22" s="24">
        <v>4</v>
      </c>
      <c r="T22" s="24">
        <v>0</v>
      </c>
      <c r="U22" s="24">
        <v>0</v>
      </c>
      <c r="V22" s="24" t="str">
        <v>JONATAN PUTRA GUNAWAN</v>
      </c>
      <c r="W22" s="24" t="str">
        <v>535220009</v>
      </c>
      <c r="X22" s="24" t="str">
        <v>Stupen</v>
      </c>
      <c r="Y22" s="24" t="str">
        <v>Janson Hendryli, S.Kom., M.Kom.</v>
      </c>
    </row>
    <row r="23" spans="1:25" ht="44.1" customHeight="1" x14ac:dyDescent="0.2">
      <c r="A23" s="8">
        <v>4</v>
      </c>
      <c r="B23" s="8">
        <v>0</v>
      </c>
      <c r="C23" s="8">
        <v>0</v>
      </c>
      <c r="D23" s="3">
        <v>535220097</v>
      </c>
      <c r="E23" s="3" t="s">
        <v>143</v>
      </c>
      <c r="F23" t="s">
        <v>165</v>
      </c>
      <c r="G23" s="25" cm="1">
        <f t="array" ref="G23">IF(AND(A23:C23=S23:U23),IF((F23=Y23),1,0),999)</f>
        <v>0</v>
      </c>
      <c r="H23" s="24"/>
      <c r="K23" s="5">
        <v>1</v>
      </c>
      <c r="L23" s="5">
        <v>0</v>
      </c>
      <c r="M23" s="5">
        <v>1</v>
      </c>
      <c r="N23" s="5" t="s">
        <v>909</v>
      </c>
      <c r="O23" s="5" t="s">
        <v>198</v>
      </c>
      <c r="P23" s="5" t="s">
        <v>142</v>
      </c>
      <c r="Q23" s="5" t="s">
        <v>154</v>
      </c>
      <c r="S23" s="24">
        <v>4</v>
      </c>
      <c r="T23" s="24">
        <v>0</v>
      </c>
      <c r="U23" s="24">
        <v>0</v>
      </c>
      <c r="V23" s="24" t="str">
        <v>DEVIN SAPUTRA WIJAYA</v>
      </c>
      <c r="W23" s="24" t="str">
        <v>535220011</v>
      </c>
      <c r="X23" s="24" t="str">
        <v>Stupen</v>
      </c>
      <c r="Y23" s="24" t="str">
        <v>Janson Hendryli, S.Kom., M.Kom.</v>
      </c>
    </row>
    <row r="24" spans="1:25" ht="42.95" customHeight="1" x14ac:dyDescent="0.2">
      <c r="A24" s="8">
        <v>4</v>
      </c>
      <c r="B24" s="8">
        <v>0</v>
      </c>
      <c r="C24" s="8">
        <v>0</v>
      </c>
      <c r="D24" s="3">
        <v>535220105</v>
      </c>
      <c r="E24" s="3" t="s">
        <v>143</v>
      </c>
      <c r="F24" t="s">
        <v>165</v>
      </c>
      <c r="G24" s="25" cm="1">
        <f t="array" ref="G24">IF(AND(A24:C24=S24:U24),IF((F24=Y24),1,0),999)</f>
        <v>0</v>
      </c>
      <c r="H24" s="24"/>
      <c r="K24" s="5">
        <v>1</v>
      </c>
      <c r="L24" s="5">
        <v>0</v>
      </c>
      <c r="M24" s="5">
        <v>1</v>
      </c>
      <c r="N24" s="5" t="s">
        <v>910</v>
      </c>
      <c r="O24" s="5" t="s">
        <v>199</v>
      </c>
      <c r="P24" s="5" t="s">
        <v>142</v>
      </c>
      <c r="Q24" s="5" t="s">
        <v>154</v>
      </c>
      <c r="S24" s="24">
        <v>4</v>
      </c>
      <c r="T24" s="24">
        <v>0</v>
      </c>
      <c r="U24" s="24">
        <v>0</v>
      </c>
      <c r="V24" s="24" t="str">
        <v>JONATHAN</v>
      </c>
      <c r="W24" s="24" t="str">
        <v>535220026</v>
      </c>
      <c r="X24" s="24" t="str">
        <v>Stupen</v>
      </c>
      <c r="Y24" s="24" t="str">
        <v>Janson Hendryli, S.Kom., M.Kom.</v>
      </c>
    </row>
    <row r="25" spans="1:25" ht="44.1" customHeight="1" x14ac:dyDescent="0.2">
      <c r="A25" s="8">
        <v>4</v>
      </c>
      <c r="B25" s="8">
        <v>0</v>
      </c>
      <c r="C25" s="8">
        <v>0</v>
      </c>
      <c r="D25" s="3">
        <v>535220127</v>
      </c>
      <c r="E25" s="3" t="s">
        <v>143</v>
      </c>
      <c r="F25" t="s">
        <v>165</v>
      </c>
      <c r="G25" s="25" cm="1">
        <f t="array" ref="G25">IF(AND(A25:C25=S25:U25),IF((F25=Y25),1,0),999)</f>
        <v>0</v>
      </c>
      <c r="H25" s="24"/>
      <c r="K25" s="5">
        <v>1</v>
      </c>
      <c r="L25" s="5">
        <v>0</v>
      </c>
      <c r="M25" s="5">
        <v>1</v>
      </c>
      <c r="N25" s="5" t="s">
        <v>911</v>
      </c>
      <c r="O25" s="5" t="s">
        <v>200</v>
      </c>
      <c r="P25" s="5" t="s">
        <v>142</v>
      </c>
      <c r="Q25" s="5" t="s">
        <v>154</v>
      </c>
      <c r="S25" s="24">
        <v>4</v>
      </c>
      <c r="T25" s="24">
        <v>0</v>
      </c>
      <c r="U25" s="24">
        <v>0</v>
      </c>
      <c r="V25" s="24" t="str">
        <v>GARRENT NATHANAEL</v>
      </c>
      <c r="W25" s="24" t="str">
        <v>535220072</v>
      </c>
      <c r="X25" s="24" t="str">
        <v>Stupen</v>
      </c>
      <c r="Y25" s="24" t="str">
        <v>Janson Hendryli, S.Kom., M.Kom.</v>
      </c>
    </row>
    <row r="26" spans="1:25" ht="42.6" customHeight="1" x14ac:dyDescent="0.2">
      <c r="A26" s="8">
        <v>4</v>
      </c>
      <c r="B26" s="8">
        <v>0</v>
      </c>
      <c r="C26" s="8">
        <v>0</v>
      </c>
      <c r="D26" s="3">
        <v>535220130</v>
      </c>
      <c r="E26" s="3" t="s">
        <v>143</v>
      </c>
      <c r="F26" t="s">
        <v>165</v>
      </c>
      <c r="G26" s="25" cm="1">
        <f t="array" ref="G26">IF(AND(A26:C26=S26:U26),IF((F26=Y26),1,0),999)</f>
        <v>0</v>
      </c>
      <c r="H26" s="24"/>
      <c r="K26" s="5">
        <v>1</v>
      </c>
      <c r="L26" s="5">
        <v>0</v>
      </c>
      <c r="M26" s="5">
        <v>1</v>
      </c>
      <c r="N26" s="5" t="s">
        <v>912</v>
      </c>
      <c r="O26" s="5" t="s">
        <v>201</v>
      </c>
      <c r="P26" s="5" t="s">
        <v>142</v>
      </c>
      <c r="Q26" s="5" t="s">
        <v>154</v>
      </c>
      <c r="S26" s="24">
        <v>4</v>
      </c>
      <c r="T26" s="24">
        <v>0</v>
      </c>
      <c r="U26" s="24">
        <v>0</v>
      </c>
      <c r="V26" s="24" t="str">
        <v>CHELSIA CINDELERIA HERWANTO</v>
      </c>
      <c r="W26" s="24" t="str">
        <v>535220083</v>
      </c>
      <c r="X26" s="24" t="str">
        <v>Stupen</v>
      </c>
      <c r="Y26" s="24" t="str">
        <v>Janson Hendryli, S.Kom., M.Kom.</v>
      </c>
    </row>
    <row r="27" spans="1:25" ht="42.95" customHeight="1" x14ac:dyDescent="0.2">
      <c r="A27" s="8">
        <v>5</v>
      </c>
      <c r="B27" s="8">
        <v>0</v>
      </c>
      <c r="C27" s="8">
        <v>0</v>
      </c>
      <c r="D27" s="3">
        <v>535220009</v>
      </c>
      <c r="E27" s="3" t="s">
        <v>143</v>
      </c>
      <c r="F27" t="s">
        <v>159</v>
      </c>
      <c r="G27" s="25" cm="1">
        <f t="array" ref="G27">IF(AND(A27:C27=S27:U27),IF((F27=Y27),1,0),999)</f>
        <v>1</v>
      </c>
      <c r="H27" s="24"/>
      <c r="K27" s="5">
        <v>1</v>
      </c>
      <c r="L27" s="5">
        <v>0</v>
      </c>
      <c r="M27" s="5">
        <v>2</v>
      </c>
      <c r="N27" s="5" t="s">
        <v>913</v>
      </c>
      <c r="O27" s="5" t="s">
        <v>202</v>
      </c>
      <c r="P27" s="5" t="s">
        <v>142</v>
      </c>
      <c r="Q27" s="5" t="s">
        <v>155</v>
      </c>
      <c r="S27" s="24">
        <v>5</v>
      </c>
      <c r="T27" s="24">
        <v>0</v>
      </c>
      <c r="U27" s="24">
        <v>0</v>
      </c>
      <c r="V27" s="24" t="str">
        <v>RAFAEL EVALDO SETIANTO</v>
      </c>
      <c r="W27" s="24" t="str">
        <v>535220086</v>
      </c>
      <c r="X27" s="24" t="str">
        <v>Stupen</v>
      </c>
      <c r="Y27" s="24" t="str">
        <v>Janson Hendryli, S.Kom., M.Kom.</v>
      </c>
    </row>
    <row r="28" spans="1:25" ht="43.5" customHeight="1" x14ac:dyDescent="0.2">
      <c r="A28" s="8">
        <v>5</v>
      </c>
      <c r="B28" s="8">
        <v>0</v>
      </c>
      <c r="C28" s="8">
        <v>0</v>
      </c>
      <c r="D28" s="3">
        <v>535220011</v>
      </c>
      <c r="E28" s="3" t="s">
        <v>143</v>
      </c>
      <c r="F28" t="s">
        <v>159</v>
      </c>
      <c r="G28" s="25" cm="1">
        <f t="array" ref="G28">IF(AND(A28:C28=S28:U28),IF((F28=Y28),1,0),999)</f>
        <v>1</v>
      </c>
      <c r="H28" s="24"/>
      <c r="K28" s="5">
        <v>1</v>
      </c>
      <c r="L28" s="5">
        <v>0</v>
      </c>
      <c r="M28" s="5">
        <v>2</v>
      </c>
      <c r="N28" s="5" t="s">
        <v>914</v>
      </c>
      <c r="O28" s="5" t="s">
        <v>203</v>
      </c>
      <c r="P28" s="5" t="s">
        <v>142</v>
      </c>
      <c r="Q28" s="5" t="s">
        <v>155</v>
      </c>
      <c r="S28" s="24">
        <v>5</v>
      </c>
      <c r="T28" s="24">
        <v>0</v>
      </c>
      <c r="U28" s="24">
        <v>0</v>
      </c>
      <c r="V28" s="24" t="str">
        <v>ALEK PITER WARDOYO</v>
      </c>
      <c r="W28" s="24" t="str">
        <v>535220088</v>
      </c>
      <c r="X28" s="24" t="str">
        <v>Stupen</v>
      </c>
      <c r="Y28" s="24" t="str">
        <v>Janson Hendryli, S.Kom., M.Kom.</v>
      </c>
    </row>
    <row r="29" spans="1:25" ht="33" customHeight="1" x14ac:dyDescent="0.2">
      <c r="A29" s="8">
        <v>5</v>
      </c>
      <c r="B29" s="8">
        <v>0</v>
      </c>
      <c r="C29" s="8">
        <v>0</v>
      </c>
      <c r="D29" s="4">
        <v>535220026</v>
      </c>
      <c r="E29" s="3" t="s">
        <v>143</v>
      </c>
      <c r="F29" t="s">
        <v>159</v>
      </c>
      <c r="G29" s="25" cm="1">
        <f t="array" ref="G29">IF(AND(A29:C29=S29:U29),IF((F29=Y29),1,0),999)</f>
        <v>1</v>
      </c>
      <c r="H29" s="24"/>
      <c r="K29" s="5">
        <v>1</v>
      </c>
      <c r="L29" s="5">
        <v>0</v>
      </c>
      <c r="M29" s="5">
        <v>2</v>
      </c>
      <c r="N29" s="5" t="s">
        <v>915</v>
      </c>
      <c r="O29" s="5" t="s">
        <v>204</v>
      </c>
      <c r="P29" s="5" t="s">
        <v>142</v>
      </c>
      <c r="Q29" s="5" t="s">
        <v>155</v>
      </c>
      <c r="S29" s="24">
        <v>5</v>
      </c>
      <c r="T29" s="24">
        <v>0</v>
      </c>
      <c r="U29" s="24">
        <v>0</v>
      </c>
      <c r="V29" s="24" t="str">
        <v>MARCHELINO BENEDIKTUS LEINTAN</v>
      </c>
      <c r="W29" s="24" t="str">
        <v>535220107</v>
      </c>
      <c r="X29" s="24" t="str">
        <v>Stupen</v>
      </c>
      <c r="Y29" s="24" t="str">
        <v>Janson Hendryli, S.Kom., M.Kom.</v>
      </c>
    </row>
    <row r="30" spans="1:25" ht="44.1" customHeight="1" x14ac:dyDescent="0.2">
      <c r="A30" s="8">
        <v>5</v>
      </c>
      <c r="B30" s="8">
        <v>0</v>
      </c>
      <c r="C30" s="8">
        <v>0</v>
      </c>
      <c r="D30" s="3">
        <v>535220072</v>
      </c>
      <c r="E30" s="3" t="s">
        <v>143</v>
      </c>
      <c r="F30" t="s">
        <v>159</v>
      </c>
      <c r="G30" s="25" cm="1">
        <f t="array" ref="G30">IF(AND(A30:C30=S30:U30),IF((F30=Y30),1,0),999)</f>
        <v>1</v>
      </c>
      <c r="H30" s="24"/>
      <c r="K30" s="5">
        <v>1</v>
      </c>
      <c r="L30" s="5">
        <v>0</v>
      </c>
      <c r="M30" s="5">
        <v>2</v>
      </c>
      <c r="N30" s="5" t="s">
        <v>916</v>
      </c>
      <c r="O30" s="5" t="s">
        <v>205</v>
      </c>
      <c r="P30" s="5" t="s">
        <v>142</v>
      </c>
      <c r="Q30" s="5" t="s">
        <v>155</v>
      </c>
      <c r="S30" s="24">
        <v>5</v>
      </c>
      <c r="T30" s="24">
        <v>0</v>
      </c>
      <c r="U30" s="24">
        <v>0</v>
      </c>
      <c r="V30" s="24" t="str">
        <v>RIZKY SUGIHARTO</v>
      </c>
      <c r="W30" s="24" t="str">
        <v>535220113</v>
      </c>
      <c r="X30" s="24" t="str">
        <v>Stupen</v>
      </c>
      <c r="Y30" s="24" t="str">
        <v>Janson Hendryli, S.Kom., M.Kom.</v>
      </c>
    </row>
    <row r="31" spans="1:25" ht="43.7" customHeight="1" x14ac:dyDescent="0.2">
      <c r="A31" s="8">
        <v>5</v>
      </c>
      <c r="B31" s="8">
        <v>0</v>
      </c>
      <c r="C31" s="8">
        <v>0</v>
      </c>
      <c r="D31" s="3">
        <v>535220083</v>
      </c>
      <c r="E31" s="3" t="s">
        <v>143</v>
      </c>
      <c r="F31" t="s">
        <v>159</v>
      </c>
      <c r="G31" s="25" cm="1">
        <f t="array" ref="G31">IF(AND(A31:C31=S31:U31),IF((F31=Y31),1,0),999)</f>
        <v>1</v>
      </c>
      <c r="H31" s="24"/>
      <c r="K31" s="5">
        <v>1</v>
      </c>
      <c r="L31" s="5">
        <v>0</v>
      </c>
      <c r="M31" s="5">
        <v>2</v>
      </c>
      <c r="N31" s="5" t="s">
        <v>917</v>
      </c>
      <c r="O31" s="5" t="s">
        <v>206</v>
      </c>
      <c r="P31" s="5" t="s">
        <v>142</v>
      </c>
      <c r="Q31" s="5" t="s">
        <v>155</v>
      </c>
      <c r="S31" s="24">
        <v>5</v>
      </c>
      <c r="T31" s="24">
        <v>0</v>
      </c>
      <c r="U31" s="24">
        <v>0</v>
      </c>
      <c r="V31" s="24" t="str">
        <v>RIDHWAN ARDIYANSYAH</v>
      </c>
      <c r="W31" s="24" t="str">
        <v>535220114</v>
      </c>
      <c r="X31" s="24" t="str">
        <v>Stupen</v>
      </c>
      <c r="Y31" s="24" t="str">
        <v>Janson Hendryli, S.Kom., M.Kom.</v>
      </c>
    </row>
    <row r="32" spans="1:25" ht="42.6" customHeight="1" x14ac:dyDescent="0.2">
      <c r="A32" s="8">
        <v>6</v>
      </c>
      <c r="B32" s="8">
        <v>0</v>
      </c>
      <c r="C32" s="8">
        <v>0</v>
      </c>
      <c r="D32" s="3">
        <v>535220086</v>
      </c>
      <c r="E32" s="3" t="s">
        <v>143</v>
      </c>
      <c r="F32" t="s">
        <v>159</v>
      </c>
      <c r="G32" s="25" cm="1">
        <f t="array" ref="G32">IF(AND(A32:C32=S32:U32),IF((F32=Y32),1,0),999)</f>
        <v>1</v>
      </c>
      <c r="H32" s="24"/>
      <c r="K32" s="5">
        <v>2</v>
      </c>
      <c r="L32" s="5">
        <v>0</v>
      </c>
      <c r="M32" s="5">
        <v>0</v>
      </c>
      <c r="N32" s="5" t="s">
        <v>918</v>
      </c>
      <c r="O32" s="5" t="s">
        <v>207</v>
      </c>
      <c r="P32" s="5" t="s">
        <v>142</v>
      </c>
      <c r="Q32" s="5" t="s">
        <v>153</v>
      </c>
      <c r="S32" s="24">
        <v>6</v>
      </c>
      <c r="T32" s="24">
        <v>0</v>
      </c>
      <c r="U32" s="24">
        <v>0</v>
      </c>
      <c r="V32" s="24" t="str">
        <v>JOVANKA CESSYLIA TESALONIKA MIKHA WENAS</v>
      </c>
      <c r="W32" s="24" t="str">
        <v>535220115</v>
      </c>
      <c r="X32" s="24" t="str">
        <v>Stupen</v>
      </c>
      <c r="Y32" s="24" t="str">
        <v>Janson Hendryli, S.Kom., M.Kom.</v>
      </c>
    </row>
    <row r="33" spans="1:25" ht="44.1" customHeight="1" x14ac:dyDescent="0.2">
      <c r="A33" s="8">
        <v>6</v>
      </c>
      <c r="B33" s="8">
        <v>0</v>
      </c>
      <c r="C33" s="8">
        <v>0</v>
      </c>
      <c r="D33" s="3">
        <v>535220088</v>
      </c>
      <c r="E33" s="3" t="s">
        <v>143</v>
      </c>
      <c r="F33" t="s">
        <v>159</v>
      </c>
      <c r="G33" s="25" cm="1">
        <f t="array" ref="G33">IF(AND(A33:C33=S33:U33),IF((F33=Y33),1,0),999)</f>
        <v>1</v>
      </c>
      <c r="H33" s="24"/>
      <c r="K33" s="5">
        <v>2</v>
      </c>
      <c r="L33" s="5">
        <v>0</v>
      </c>
      <c r="M33" s="5">
        <v>0</v>
      </c>
      <c r="N33" s="5" t="s">
        <v>919</v>
      </c>
      <c r="O33" s="5" t="s">
        <v>208</v>
      </c>
      <c r="P33" s="5" t="s">
        <v>142</v>
      </c>
      <c r="Q33" s="5" t="s">
        <v>153</v>
      </c>
      <c r="S33" s="24">
        <v>6</v>
      </c>
      <c r="T33" s="24">
        <v>0</v>
      </c>
      <c r="U33" s="24">
        <v>0</v>
      </c>
      <c r="V33" s="24" t="str">
        <v>LUIS FERNANDO</v>
      </c>
      <c r="W33" s="24" t="str">
        <v>535220116</v>
      </c>
      <c r="X33" s="24" t="str">
        <v>Stupen</v>
      </c>
      <c r="Y33" s="24" t="str">
        <v>Janson Hendryli, S.Kom., M.Kom.</v>
      </c>
    </row>
    <row r="34" spans="1:25" ht="36.75" customHeight="1" x14ac:dyDescent="0.2">
      <c r="A34" s="8">
        <v>6</v>
      </c>
      <c r="B34" s="8">
        <v>0</v>
      </c>
      <c r="C34" s="8">
        <v>0</v>
      </c>
      <c r="D34" s="3">
        <v>535220107</v>
      </c>
      <c r="E34" s="3" t="s">
        <v>143</v>
      </c>
      <c r="F34" t="s">
        <v>159</v>
      </c>
      <c r="G34" s="25" cm="1">
        <f t="array" ref="G34">IF(AND(A34:C34=S34:U34),IF((F34=Y34),1,0),999)</f>
        <v>1</v>
      </c>
      <c r="H34" s="24"/>
      <c r="K34" s="5">
        <v>2</v>
      </c>
      <c r="L34" s="5">
        <v>0</v>
      </c>
      <c r="M34" s="5">
        <v>0</v>
      </c>
      <c r="N34" s="5" t="s">
        <v>920</v>
      </c>
      <c r="O34" s="5" t="s">
        <v>209</v>
      </c>
      <c r="P34" s="5" t="s">
        <v>142</v>
      </c>
      <c r="Q34" s="5" t="s">
        <v>153</v>
      </c>
      <c r="S34" s="24">
        <v>6</v>
      </c>
      <c r="T34" s="24">
        <v>0</v>
      </c>
      <c r="U34" s="24">
        <v>0</v>
      </c>
      <c r="V34" s="24" t="str">
        <v xml:space="preserve">SHINZI </v>
      </c>
      <c r="W34" s="24" t="str">
        <v>535220118</v>
      </c>
      <c r="X34" s="24" t="str">
        <v>Stupen</v>
      </c>
      <c r="Y34" s="24" t="str">
        <v>Janson Hendryli, S.Kom., M.Kom.</v>
      </c>
    </row>
    <row r="35" spans="1:25" ht="44.1" customHeight="1" x14ac:dyDescent="0.2">
      <c r="A35" s="8">
        <v>6</v>
      </c>
      <c r="B35" s="8">
        <v>0</v>
      </c>
      <c r="C35" s="8">
        <v>0</v>
      </c>
      <c r="D35" s="3">
        <v>535220113</v>
      </c>
      <c r="E35" s="3" t="s">
        <v>143</v>
      </c>
      <c r="F35" t="s">
        <v>159</v>
      </c>
      <c r="G35" s="25" cm="1">
        <f t="array" ref="G35">IF(AND(A35:C35=S35:U35),IF((F35=Y35),1,0),999)</f>
        <v>1</v>
      </c>
      <c r="H35" s="24"/>
      <c r="K35" s="5">
        <v>2</v>
      </c>
      <c r="L35" s="5">
        <v>0</v>
      </c>
      <c r="M35" s="5">
        <v>0</v>
      </c>
      <c r="N35" s="5" t="s">
        <v>921</v>
      </c>
      <c r="O35" s="5" t="s">
        <v>210</v>
      </c>
      <c r="P35" s="5" t="s">
        <v>142</v>
      </c>
      <c r="Q35" s="5" t="s">
        <v>153</v>
      </c>
      <c r="S35" s="24">
        <v>6</v>
      </c>
      <c r="T35" s="24">
        <v>0</v>
      </c>
      <c r="U35" s="24">
        <v>0</v>
      </c>
      <c r="V35" s="24" t="str">
        <v>BRILIONA</v>
      </c>
      <c r="W35" s="24" t="str">
        <v>535220124</v>
      </c>
      <c r="X35" s="24" t="str">
        <v>Stupen</v>
      </c>
      <c r="Y35" s="24" t="str">
        <v>Janson Hendryli, S.Kom., M.Kom.</v>
      </c>
    </row>
    <row r="36" spans="1:25" ht="43.7" customHeight="1" x14ac:dyDescent="0.2">
      <c r="A36" s="8">
        <v>6</v>
      </c>
      <c r="B36" s="8">
        <v>0</v>
      </c>
      <c r="C36" s="8">
        <v>0</v>
      </c>
      <c r="D36" s="3">
        <v>535220114</v>
      </c>
      <c r="E36" s="3" t="s">
        <v>143</v>
      </c>
      <c r="F36" t="s">
        <v>159</v>
      </c>
      <c r="G36" s="25" cm="1">
        <f t="array" ref="G36">IF(AND(A36:C36=S36:U36),IF((F36=Y36),1,0),999)</f>
        <v>1</v>
      </c>
      <c r="H36" s="24"/>
      <c r="K36" s="5">
        <v>2</v>
      </c>
      <c r="L36" s="5">
        <v>0</v>
      </c>
      <c r="M36" s="5">
        <v>0</v>
      </c>
      <c r="N36" s="5" t="s">
        <v>922</v>
      </c>
      <c r="O36" s="5" t="s">
        <v>211</v>
      </c>
      <c r="P36" s="5" t="s">
        <v>142</v>
      </c>
      <c r="Q36" s="5" t="s">
        <v>153</v>
      </c>
      <c r="S36" s="24">
        <v>6</v>
      </c>
      <c r="T36" s="24">
        <v>0</v>
      </c>
      <c r="U36" s="24">
        <v>0</v>
      </c>
      <c r="V36" s="24" t="str">
        <v>WITRIATNA KOSAHI</v>
      </c>
      <c r="W36" s="24" t="str">
        <v>535220125</v>
      </c>
      <c r="X36" s="24" t="str">
        <v>Stupen</v>
      </c>
      <c r="Y36" s="24" t="str">
        <v>Janson Hendryli, S.Kom., M.Kom.</v>
      </c>
    </row>
    <row r="37" spans="1:25" ht="44.1" customHeight="1" x14ac:dyDescent="0.2">
      <c r="A37" s="8">
        <v>0</v>
      </c>
      <c r="B37" s="8">
        <v>1</v>
      </c>
      <c r="C37" s="8">
        <v>0</v>
      </c>
      <c r="D37" s="3">
        <v>535220062</v>
      </c>
      <c r="E37" s="3" t="s">
        <v>142</v>
      </c>
      <c r="F37" t="s">
        <v>154</v>
      </c>
      <c r="G37" s="25" cm="1">
        <f t="array" ref="G37">IF(AND(A37:C37=S37:U37),IF((F37=Y37),1,0),999)</f>
        <v>999</v>
      </c>
      <c r="H37" s="24"/>
      <c r="K37" s="5">
        <v>2</v>
      </c>
      <c r="L37" s="5">
        <v>0</v>
      </c>
      <c r="M37" s="5">
        <v>1</v>
      </c>
      <c r="N37" s="5" t="s">
        <v>923</v>
      </c>
      <c r="O37" s="5" t="s">
        <v>212</v>
      </c>
      <c r="P37" s="5" t="s">
        <v>142</v>
      </c>
      <c r="Q37" s="5" t="s">
        <v>154</v>
      </c>
      <c r="S37" s="24">
        <v>0</v>
      </c>
      <c r="T37" s="24">
        <v>0</v>
      </c>
      <c r="U37" s="24">
        <v>1</v>
      </c>
      <c r="V37" s="24" t="str">
        <v>DAVE KEANE WIJAYA</v>
      </c>
      <c r="W37" s="24" t="str">
        <v>535220022</v>
      </c>
      <c r="X37" s="24" t="str">
        <v>Magang</v>
      </c>
      <c r="Y37" s="24" t="str">
        <v>Viny Christanti Mawardi, S.Kom., M.Kom.</v>
      </c>
    </row>
    <row r="38" spans="1:25" ht="44.1" customHeight="1" x14ac:dyDescent="0.2">
      <c r="A38" s="8">
        <v>0</v>
      </c>
      <c r="B38" s="8">
        <v>1</v>
      </c>
      <c r="C38" s="8">
        <v>0</v>
      </c>
      <c r="D38" s="3">
        <v>535220063</v>
      </c>
      <c r="E38" s="3" t="s">
        <v>142</v>
      </c>
      <c r="F38" t="s">
        <v>154</v>
      </c>
      <c r="G38" s="25" cm="1">
        <f t="array" ref="G38">IF(AND(A38:C38=S38:U38),IF((F38=Y38),1,0),999)</f>
        <v>999</v>
      </c>
      <c r="H38" s="24"/>
      <c r="K38" s="5">
        <v>2</v>
      </c>
      <c r="L38" s="5">
        <v>0</v>
      </c>
      <c r="M38" s="5">
        <v>1</v>
      </c>
      <c r="N38" s="5" t="s">
        <v>924</v>
      </c>
      <c r="O38" s="5" t="s">
        <v>213</v>
      </c>
      <c r="P38" s="5" t="s">
        <v>142</v>
      </c>
      <c r="Q38" s="5" t="s">
        <v>154</v>
      </c>
      <c r="S38" s="24">
        <v>0</v>
      </c>
      <c r="T38" s="24">
        <v>0</v>
      </c>
      <c r="U38" s="24">
        <v>1</v>
      </c>
      <c r="V38" s="24" t="str">
        <v>JESSEN CHAYADI</v>
      </c>
      <c r="W38" s="24" t="str">
        <v>535220023</v>
      </c>
      <c r="X38" s="24" t="str">
        <v>Magang</v>
      </c>
      <c r="Y38" s="24" t="str">
        <v>Viny Christanti Mawardi, S.Kom., M.Kom.</v>
      </c>
    </row>
    <row r="39" spans="1:25" ht="44.1" customHeight="1" x14ac:dyDescent="0.2">
      <c r="A39" s="8">
        <v>0</v>
      </c>
      <c r="B39" s="8">
        <v>1</v>
      </c>
      <c r="C39" s="8">
        <v>0</v>
      </c>
      <c r="D39" s="3">
        <v>535220071</v>
      </c>
      <c r="E39" s="3" t="s">
        <v>142</v>
      </c>
      <c r="F39" t="s">
        <v>154</v>
      </c>
      <c r="G39" s="25" cm="1">
        <f t="array" ref="G39">IF(AND(A39:C39=S39:U39),IF((F39=Y39),1,0),999)</f>
        <v>999</v>
      </c>
      <c r="H39" s="24"/>
      <c r="K39" s="5">
        <v>2</v>
      </c>
      <c r="L39" s="5">
        <v>0</v>
      </c>
      <c r="M39" s="5">
        <v>1</v>
      </c>
      <c r="N39" s="5" t="s">
        <v>925</v>
      </c>
      <c r="O39" s="5" t="s">
        <v>214</v>
      </c>
      <c r="P39" s="5" t="s">
        <v>142</v>
      </c>
      <c r="Q39" s="5" t="s">
        <v>154</v>
      </c>
      <c r="S39" s="24">
        <v>0</v>
      </c>
      <c r="T39" s="24">
        <v>0</v>
      </c>
      <c r="U39" s="24">
        <v>1</v>
      </c>
      <c r="V39" s="24" t="str">
        <v>SHEILA TANIA</v>
      </c>
      <c r="W39" s="24" t="str">
        <v>535220028</v>
      </c>
      <c r="X39" s="24" t="str">
        <v>Magang</v>
      </c>
      <c r="Y39" s="24" t="str">
        <v>Viny Christanti Mawardi, S.Kom., M.Kom.</v>
      </c>
    </row>
    <row r="40" spans="1:25" ht="42.95" customHeight="1" x14ac:dyDescent="0.2">
      <c r="A40" s="8">
        <v>0</v>
      </c>
      <c r="B40" s="8">
        <v>1</v>
      </c>
      <c r="C40" s="8">
        <v>0</v>
      </c>
      <c r="D40" s="3">
        <v>535220123</v>
      </c>
      <c r="E40" s="3" t="s">
        <v>142</v>
      </c>
      <c r="F40" t="s">
        <v>154</v>
      </c>
      <c r="G40" s="25" cm="1">
        <f t="array" ref="G40">IF(AND(A40:C40=S40:U40),IF((F40=Y40),1,0),999)</f>
        <v>999</v>
      </c>
      <c r="H40" s="24"/>
      <c r="K40" s="5">
        <v>2</v>
      </c>
      <c r="L40" s="5">
        <v>0</v>
      </c>
      <c r="M40" s="5">
        <v>1</v>
      </c>
      <c r="N40" s="5" t="s">
        <v>926</v>
      </c>
      <c r="O40" s="5" t="s">
        <v>215</v>
      </c>
      <c r="P40" s="5" t="s">
        <v>142</v>
      </c>
      <c r="Q40" s="5" t="s">
        <v>154</v>
      </c>
      <c r="S40" s="24">
        <v>0</v>
      </c>
      <c r="T40" s="24">
        <v>0</v>
      </c>
      <c r="U40" s="24">
        <v>1</v>
      </c>
      <c r="V40" s="24" t="str">
        <v>FERDINAND</v>
      </c>
      <c r="W40" s="24" t="str">
        <v>535220031</v>
      </c>
      <c r="X40" s="24" t="str">
        <v>Magang</v>
      </c>
      <c r="Y40" s="24" t="str">
        <v>Viny Christanti Mawardi, S.Kom., M.Kom.</v>
      </c>
    </row>
    <row r="41" spans="1:25" ht="43.5" customHeight="1" x14ac:dyDescent="0.2">
      <c r="A41" s="8">
        <v>0</v>
      </c>
      <c r="B41" s="8">
        <v>1</v>
      </c>
      <c r="C41" s="8">
        <v>0</v>
      </c>
      <c r="D41" s="3">
        <v>535220126</v>
      </c>
      <c r="E41" s="3" t="s">
        <v>142</v>
      </c>
      <c r="F41" t="s">
        <v>154</v>
      </c>
      <c r="G41" s="25" cm="1">
        <f t="array" ref="G41">IF(AND(A41:C41=S41:U41),IF((F41=Y41),1,0),999)</f>
        <v>999</v>
      </c>
      <c r="H41" s="24"/>
      <c r="K41" s="5">
        <v>2</v>
      </c>
      <c r="L41" s="5">
        <v>0</v>
      </c>
      <c r="M41" s="5">
        <v>1</v>
      </c>
      <c r="N41" s="5" t="s">
        <v>927</v>
      </c>
      <c r="O41" s="5" t="s">
        <v>216</v>
      </c>
      <c r="P41" s="5" t="s">
        <v>142</v>
      </c>
      <c r="Q41" s="5" t="s">
        <v>154</v>
      </c>
      <c r="S41" s="24">
        <v>0</v>
      </c>
      <c r="T41" s="24">
        <v>0</v>
      </c>
      <c r="U41" s="24">
        <v>1</v>
      </c>
      <c r="V41" s="24" t="str">
        <v>ARI WIJAYA</v>
      </c>
      <c r="W41" s="24" t="str">
        <v>535220060</v>
      </c>
      <c r="X41" s="24" t="str">
        <v>Magang</v>
      </c>
      <c r="Y41" s="24" t="str">
        <v>Viny Christanti Mawardi, S.Kom., M.Kom.</v>
      </c>
    </row>
    <row r="42" spans="1:25" ht="42.95" customHeight="1" x14ac:dyDescent="0.2">
      <c r="A42" s="8">
        <v>1</v>
      </c>
      <c r="B42" s="8">
        <v>1</v>
      </c>
      <c r="C42" s="8">
        <v>0</v>
      </c>
      <c r="D42" s="3">
        <v>535220129</v>
      </c>
      <c r="E42" s="3" t="s">
        <v>142</v>
      </c>
      <c r="F42" t="s">
        <v>154</v>
      </c>
      <c r="G42" s="25" cm="1">
        <f t="array" ref="G42">IF(AND(A42:C42=S42:U42),IF((F42=Y42),1,0),999)</f>
        <v>999</v>
      </c>
      <c r="H42" s="24"/>
      <c r="K42" s="5">
        <v>2</v>
      </c>
      <c r="L42" s="5">
        <v>0</v>
      </c>
      <c r="M42" s="5">
        <v>2</v>
      </c>
      <c r="N42" s="5" t="s">
        <v>928</v>
      </c>
      <c r="O42" s="5" t="s">
        <v>217</v>
      </c>
      <c r="P42" s="5" t="s">
        <v>142</v>
      </c>
      <c r="Q42" s="5" t="s">
        <v>155</v>
      </c>
      <c r="S42" s="24">
        <v>1</v>
      </c>
      <c r="T42" s="24">
        <v>0</v>
      </c>
      <c r="U42" s="24">
        <v>1</v>
      </c>
      <c r="V42" s="24" t="str">
        <v>KELVYN NATHANAEL MAULANA</v>
      </c>
      <c r="W42" s="24" t="str">
        <v>535220062</v>
      </c>
      <c r="X42" s="24" t="str">
        <v>Magang</v>
      </c>
      <c r="Y42" s="24" t="str">
        <v>Viny Christanti Mawardi, S.Kom., M.Kom.</v>
      </c>
    </row>
    <row r="43" spans="1:25" ht="44.1" customHeight="1" x14ac:dyDescent="0.2">
      <c r="A43" s="8">
        <v>1</v>
      </c>
      <c r="B43" s="8">
        <v>1</v>
      </c>
      <c r="C43" s="8">
        <v>0</v>
      </c>
      <c r="D43" s="3">
        <v>535220131</v>
      </c>
      <c r="E43" s="3" t="s">
        <v>142</v>
      </c>
      <c r="F43" t="s">
        <v>154</v>
      </c>
      <c r="G43" s="25" cm="1">
        <f t="array" ref="G43">IF(AND(A43:C43=S43:U43),IF((F43=Y43),1,0),999)</f>
        <v>999</v>
      </c>
      <c r="H43" s="24"/>
      <c r="K43" s="5">
        <v>2</v>
      </c>
      <c r="L43" s="5">
        <v>0</v>
      </c>
      <c r="M43" s="5">
        <v>2</v>
      </c>
      <c r="N43" s="5" t="s">
        <v>929</v>
      </c>
      <c r="O43" s="5" t="s">
        <v>218</v>
      </c>
      <c r="P43" s="5" t="s">
        <v>142</v>
      </c>
      <c r="Q43" s="5" t="s">
        <v>155</v>
      </c>
      <c r="S43" s="24">
        <v>1</v>
      </c>
      <c r="T43" s="24">
        <v>0</v>
      </c>
      <c r="U43" s="24">
        <v>1</v>
      </c>
      <c r="V43" s="24" t="str">
        <v>KENT DYLAN SANJAYA</v>
      </c>
      <c r="W43" s="24" t="str">
        <v>535220063</v>
      </c>
      <c r="X43" s="24" t="str">
        <v>Magang</v>
      </c>
      <c r="Y43" s="24" t="str">
        <v>Viny Christanti Mawardi, S.Kom., M.Kom.</v>
      </c>
    </row>
    <row r="44" spans="1:25" ht="42.95" customHeight="1" x14ac:dyDescent="0.2">
      <c r="A44" s="8">
        <v>1</v>
      </c>
      <c r="B44" s="8">
        <v>1</v>
      </c>
      <c r="C44" s="8">
        <v>0</v>
      </c>
      <c r="D44" s="3">
        <v>535220186</v>
      </c>
      <c r="E44" s="3" t="s">
        <v>142</v>
      </c>
      <c r="F44" t="s">
        <v>154</v>
      </c>
      <c r="G44" s="25" cm="1">
        <f t="array" ref="G44">IF(AND(A44:C44=S44:U44),IF((F44=Y44),1,0),999)</f>
        <v>999</v>
      </c>
      <c r="H44" s="24"/>
      <c r="K44" s="5">
        <v>2</v>
      </c>
      <c r="L44" s="5">
        <v>0</v>
      </c>
      <c r="M44" s="5">
        <v>2</v>
      </c>
      <c r="N44" s="5" t="s">
        <v>930</v>
      </c>
      <c r="O44" s="5" t="s">
        <v>219</v>
      </c>
      <c r="P44" s="5" t="s">
        <v>142</v>
      </c>
      <c r="Q44" s="5" t="s">
        <v>155</v>
      </c>
      <c r="S44" s="24">
        <v>1</v>
      </c>
      <c r="T44" s="24">
        <v>0</v>
      </c>
      <c r="U44" s="24">
        <v>1</v>
      </c>
      <c r="V44" s="24" t="str">
        <v>RAFEL SUTRA DHARMA</v>
      </c>
      <c r="W44" s="24" t="str">
        <v>535220071</v>
      </c>
      <c r="X44" s="24" t="str">
        <v>Magang</v>
      </c>
      <c r="Y44" s="24" t="str">
        <v>Viny Christanti Mawardi, S.Kom., M.Kom.</v>
      </c>
    </row>
    <row r="45" spans="1:25" ht="44.1" customHeight="1" x14ac:dyDescent="0.2">
      <c r="A45" s="8">
        <v>1</v>
      </c>
      <c r="B45" s="8">
        <v>1</v>
      </c>
      <c r="C45" s="8">
        <v>0</v>
      </c>
      <c r="D45" s="3">
        <v>535220187</v>
      </c>
      <c r="E45" s="3" t="s">
        <v>142</v>
      </c>
      <c r="F45" t="s">
        <v>154</v>
      </c>
      <c r="G45" s="25" cm="1">
        <f t="array" ref="G45">IF(AND(A45:C45=S45:U45),IF((F45=Y45),1,0),999)</f>
        <v>999</v>
      </c>
      <c r="H45" s="24"/>
      <c r="K45" s="5">
        <v>2</v>
      </c>
      <c r="L45" s="5">
        <v>0</v>
      </c>
      <c r="M45" s="5">
        <v>2</v>
      </c>
      <c r="N45" s="5" t="s">
        <v>931</v>
      </c>
      <c r="O45" s="5" t="s">
        <v>220</v>
      </c>
      <c r="P45" s="5" t="s">
        <v>142</v>
      </c>
      <c r="Q45" s="5" t="s">
        <v>155</v>
      </c>
      <c r="S45" s="24">
        <v>1</v>
      </c>
      <c r="T45" s="24">
        <v>0</v>
      </c>
      <c r="U45" s="24">
        <v>1</v>
      </c>
      <c r="V45" s="24" t="str">
        <v>JASON SUNARYO</v>
      </c>
      <c r="W45" s="24" t="str">
        <v>535220123</v>
      </c>
      <c r="X45" s="24" t="str">
        <v>Magang</v>
      </c>
      <c r="Y45" s="24" t="str">
        <v>Viny Christanti Mawardi, S.Kom., M.Kom.</v>
      </c>
    </row>
    <row r="46" spans="1:25" ht="42.6" customHeight="1" x14ac:dyDescent="0.2">
      <c r="A46" s="8">
        <v>1</v>
      </c>
      <c r="B46" s="8">
        <v>1</v>
      </c>
      <c r="C46" s="8">
        <v>0</v>
      </c>
      <c r="D46" s="3">
        <v>535220198</v>
      </c>
      <c r="E46" s="3" t="s">
        <v>142</v>
      </c>
      <c r="F46" t="s">
        <v>154</v>
      </c>
      <c r="G46" s="25" cm="1">
        <f t="array" ref="G46">IF(AND(A46:C46=S46:U46),IF((F46=Y46),1,0),999)</f>
        <v>999</v>
      </c>
      <c r="H46" s="24"/>
      <c r="K46" s="5">
        <v>2</v>
      </c>
      <c r="L46" s="5">
        <v>0</v>
      </c>
      <c r="M46" s="5">
        <v>2</v>
      </c>
      <c r="N46" s="5" t="s">
        <v>932</v>
      </c>
      <c r="O46" s="5" t="s">
        <v>221</v>
      </c>
      <c r="P46" s="5" t="s">
        <v>142</v>
      </c>
      <c r="Q46" s="5" t="s">
        <v>155</v>
      </c>
      <c r="S46" s="24">
        <v>1</v>
      </c>
      <c r="T46" s="24">
        <v>0</v>
      </c>
      <c r="U46" s="24">
        <v>1</v>
      </c>
      <c r="V46" s="24" t="str">
        <v>JEFFRY LINGAU</v>
      </c>
      <c r="W46" s="24" t="str">
        <v>535220126</v>
      </c>
      <c r="X46" s="24" t="str">
        <v>Magang</v>
      </c>
      <c r="Y46" s="24" t="str">
        <v>Viny Christanti Mawardi, S.Kom., M.Kom.</v>
      </c>
    </row>
    <row r="47" spans="1:25" ht="42.95" customHeight="1" x14ac:dyDescent="0.2">
      <c r="A47" s="8">
        <v>2</v>
      </c>
      <c r="B47" s="8">
        <v>1</v>
      </c>
      <c r="C47" s="8">
        <v>0</v>
      </c>
      <c r="D47" s="3">
        <v>535220204</v>
      </c>
      <c r="E47" s="3" t="s">
        <v>142</v>
      </c>
      <c r="F47" t="s">
        <v>154</v>
      </c>
      <c r="G47" s="25" cm="1">
        <f t="array" ref="G47">IF(AND(A47:C47=S47:U47),IF((F47=Y47),1,0),999)</f>
        <v>999</v>
      </c>
      <c r="H47" s="24"/>
      <c r="K47" s="5">
        <v>3</v>
      </c>
      <c r="L47" s="5">
        <v>0</v>
      </c>
      <c r="M47" s="5">
        <v>0</v>
      </c>
      <c r="N47" s="5" t="s">
        <v>933</v>
      </c>
      <c r="O47" s="5" t="s">
        <v>222</v>
      </c>
      <c r="P47" s="5" t="s">
        <v>142</v>
      </c>
      <c r="Q47" s="5" t="s">
        <v>153</v>
      </c>
      <c r="S47" s="24">
        <v>2</v>
      </c>
      <c r="T47" s="24">
        <v>0</v>
      </c>
      <c r="U47" s="24">
        <v>1</v>
      </c>
      <c r="V47" s="24" t="str">
        <v>HANS SANTOSO</v>
      </c>
      <c r="W47" s="24" t="str">
        <v>535220129</v>
      </c>
      <c r="X47" s="24" t="str">
        <v>Magang</v>
      </c>
      <c r="Y47" s="24" t="str">
        <v>Viny Christanti Mawardi, S.Kom., M.Kom.</v>
      </c>
    </row>
    <row r="48" spans="1:25" ht="44.1" customHeight="1" x14ac:dyDescent="0.2">
      <c r="A48" s="8">
        <v>2</v>
      </c>
      <c r="B48" s="8">
        <v>1</v>
      </c>
      <c r="C48" s="8">
        <v>0</v>
      </c>
      <c r="D48" s="3">
        <v>535220006</v>
      </c>
      <c r="E48" s="3" t="s">
        <v>142</v>
      </c>
      <c r="F48" t="s">
        <v>156</v>
      </c>
      <c r="G48" s="25" cm="1">
        <f t="array" ref="G48">IF(AND(A48:C48=S48:U48),IF((F48=Y48),1,0),999)</f>
        <v>999</v>
      </c>
      <c r="H48" s="24"/>
      <c r="K48" s="5">
        <v>3</v>
      </c>
      <c r="L48" s="5">
        <v>0</v>
      </c>
      <c r="M48" s="5">
        <v>0</v>
      </c>
      <c r="N48" s="5" t="s">
        <v>934</v>
      </c>
      <c r="O48" s="5" t="s">
        <v>223</v>
      </c>
      <c r="P48" s="5" t="s">
        <v>142</v>
      </c>
      <c r="Q48" s="5" t="s">
        <v>156</v>
      </c>
      <c r="S48" s="24">
        <v>2</v>
      </c>
      <c r="T48" s="24">
        <v>0</v>
      </c>
      <c r="U48" s="24">
        <v>1</v>
      </c>
      <c r="V48" s="24" t="str">
        <v>SABRINA PHALOSA PHAI</v>
      </c>
      <c r="W48" s="24" t="str">
        <v>535220131</v>
      </c>
      <c r="X48" s="24" t="str">
        <v>Magang</v>
      </c>
      <c r="Y48" s="24" t="str">
        <v>Viny Christanti Mawardi, S.Kom., M.Kom.</v>
      </c>
    </row>
    <row r="49" spans="1:25" ht="33" customHeight="1" x14ac:dyDescent="0.2">
      <c r="A49" s="8">
        <v>2</v>
      </c>
      <c r="B49" s="8">
        <v>1</v>
      </c>
      <c r="C49" s="8">
        <v>0</v>
      </c>
      <c r="D49" s="4">
        <v>535220007</v>
      </c>
      <c r="E49" s="3" t="s">
        <v>142</v>
      </c>
      <c r="F49" t="s">
        <v>156</v>
      </c>
      <c r="G49" s="25" cm="1">
        <f t="array" ref="G49">IF(AND(A49:C49=S49:U49),IF((F49=Y49),1,0),999)</f>
        <v>999</v>
      </c>
      <c r="H49" s="24"/>
      <c r="K49" s="5">
        <v>3</v>
      </c>
      <c r="L49" s="5">
        <v>0</v>
      </c>
      <c r="M49" s="5">
        <v>0</v>
      </c>
      <c r="N49" s="5" t="s">
        <v>935</v>
      </c>
      <c r="O49" s="5" t="s">
        <v>224</v>
      </c>
      <c r="P49" s="5" t="s">
        <v>142</v>
      </c>
      <c r="Q49" s="5" t="s">
        <v>156</v>
      </c>
      <c r="S49" s="24">
        <v>2</v>
      </c>
      <c r="T49" s="24">
        <v>0</v>
      </c>
      <c r="U49" s="24">
        <v>1</v>
      </c>
      <c r="V49" s="24" t="str">
        <v>VALENTINO RICHARDO LIM</v>
      </c>
      <c r="W49" s="24" t="str">
        <v>535220186</v>
      </c>
      <c r="X49" s="24" t="str">
        <v>Magang</v>
      </c>
      <c r="Y49" s="24" t="str">
        <v>Viny Christanti Mawardi, S.Kom., M.Kom.</v>
      </c>
    </row>
    <row r="50" spans="1:25" ht="44.1" customHeight="1" x14ac:dyDescent="0.2">
      <c r="A50" s="8">
        <v>2</v>
      </c>
      <c r="B50" s="8">
        <v>1</v>
      </c>
      <c r="C50" s="8">
        <v>0</v>
      </c>
      <c r="D50" s="3">
        <v>535220012</v>
      </c>
      <c r="E50" s="3" t="s">
        <v>142</v>
      </c>
      <c r="F50" t="s">
        <v>156</v>
      </c>
      <c r="G50" s="25" cm="1">
        <f t="array" ref="G50">IF(AND(A50:C50=S50:U50),IF((F50=Y50),1,0),999)</f>
        <v>999</v>
      </c>
      <c r="H50" s="24"/>
      <c r="K50" s="5">
        <v>3</v>
      </c>
      <c r="L50" s="5">
        <v>0</v>
      </c>
      <c r="M50" s="5">
        <v>0</v>
      </c>
      <c r="N50" s="5" t="s">
        <v>936</v>
      </c>
      <c r="O50" s="5" t="s">
        <v>225</v>
      </c>
      <c r="P50" s="5" t="s">
        <v>142</v>
      </c>
      <c r="Q50" s="5" t="s">
        <v>156</v>
      </c>
      <c r="S50" s="24">
        <v>2</v>
      </c>
      <c r="T50" s="24">
        <v>0</v>
      </c>
      <c r="U50" s="24">
        <v>1</v>
      </c>
      <c r="V50" s="24" t="str">
        <v>JESSICA HO</v>
      </c>
      <c r="W50" s="24" t="str">
        <v>535220187</v>
      </c>
      <c r="X50" s="24" t="str">
        <v>Magang</v>
      </c>
      <c r="Y50" s="24" t="str">
        <v>Viny Christanti Mawardi, S.Kom., M.Kom.</v>
      </c>
    </row>
    <row r="51" spans="1:25" ht="43.5" customHeight="1" x14ac:dyDescent="0.2">
      <c r="A51" s="8">
        <v>2</v>
      </c>
      <c r="B51" s="8">
        <v>1</v>
      </c>
      <c r="C51" s="8">
        <v>0</v>
      </c>
      <c r="D51" s="3">
        <v>535220055</v>
      </c>
      <c r="E51" s="3" t="s">
        <v>142</v>
      </c>
      <c r="F51" t="s">
        <v>156</v>
      </c>
      <c r="G51" s="25" cm="1">
        <f t="array" ref="G51">IF(AND(A51:C51=S51:U51),IF((F51=Y51),1,0),999)</f>
        <v>999</v>
      </c>
      <c r="H51" s="24"/>
      <c r="K51" s="5">
        <v>3</v>
      </c>
      <c r="L51" s="5">
        <v>0</v>
      </c>
      <c r="M51" s="5">
        <v>0</v>
      </c>
      <c r="N51" s="5" t="s">
        <v>937</v>
      </c>
      <c r="O51" s="5" t="s">
        <v>226</v>
      </c>
      <c r="P51" s="5" t="s">
        <v>142</v>
      </c>
      <c r="Q51" s="5" t="s">
        <v>156</v>
      </c>
      <c r="S51" s="24">
        <v>2</v>
      </c>
      <c r="T51" s="24">
        <v>0</v>
      </c>
      <c r="U51" s="24">
        <v>1</v>
      </c>
      <c r="V51" s="24" t="str">
        <v>MARVIN GULTOM</v>
      </c>
      <c r="W51" s="24" t="str">
        <v>535220198</v>
      </c>
      <c r="X51" s="24" t="str">
        <v>Magang</v>
      </c>
      <c r="Y51" s="24" t="str">
        <v>Viny Christanti Mawardi, S.Kom., M.Kom.</v>
      </c>
    </row>
    <row r="52" spans="1:25" ht="42.95" customHeight="1" x14ac:dyDescent="0.2">
      <c r="A52" s="8">
        <v>3</v>
      </c>
      <c r="B52" s="8">
        <v>1</v>
      </c>
      <c r="C52" s="8">
        <v>0</v>
      </c>
      <c r="D52" s="3">
        <v>535220065</v>
      </c>
      <c r="E52" s="3" t="s">
        <v>142</v>
      </c>
      <c r="F52" t="s">
        <v>167</v>
      </c>
      <c r="G52" s="25" cm="1">
        <f t="array" ref="G52">IF(AND(A52:C52=S52:U52),IF((F52=Y52),1,0),999)</f>
        <v>999</v>
      </c>
      <c r="H52" s="24"/>
      <c r="K52" s="5">
        <v>3</v>
      </c>
      <c r="L52" s="5">
        <v>0</v>
      </c>
      <c r="M52" s="5">
        <v>1</v>
      </c>
      <c r="N52" s="5" t="s">
        <v>938</v>
      </c>
      <c r="O52" s="5" t="s">
        <v>227</v>
      </c>
      <c r="P52" s="5" t="s">
        <v>142</v>
      </c>
      <c r="Q52" s="5" t="s">
        <v>154</v>
      </c>
      <c r="S52" s="24">
        <v>3</v>
      </c>
      <c r="T52" s="24">
        <v>0</v>
      </c>
      <c r="U52" s="24">
        <v>1</v>
      </c>
      <c r="V52" s="24" t="str">
        <v xml:space="preserve">SHANNON ANDREA </v>
      </c>
      <c r="W52" s="24" t="str">
        <v>535220204</v>
      </c>
      <c r="X52" s="24" t="str">
        <v>Magang</v>
      </c>
      <c r="Y52" s="24" t="str">
        <v>Viny Christanti Mawardi, S.Kom., M.Kom.</v>
      </c>
    </row>
    <row r="53" spans="1:25" ht="44.1" customHeight="1" x14ac:dyDescent="0.2">
      <c r="A53" s="8">
        <v>3</v>
      </c>
      <c r="B53" s="8">
        <v>1</v>
      </c>
      <c r="C53" s="8">
        <v>0</v>
      </c>
      <c r="D53" s="3">
        <v>535220066</v>
      </c>
      <c r="E53" s="3" t="s">
        <v>142</v>
      </c>
      <c r="F53" t="s">
        <v>167</v>
      </c>
      <c r="G53" s="25" cm="1">
        <f t="array" ref="G53">IF(AND(A53:C53=S53:U53),IF((F53=Y53),1,0),999)</f>
        <v>999</v>
      </c>
      <c r="H53" s="24"/>
      <c r="K53" s="5">
        <v>3</v>
      </c>
      <c r="L53" s="5">
        <v>0</v>
      </c>
      <c r="M53" s="5">
        <v>1</v>
      </c>
      <c r="N53" s="5" t="s">
        <v>939</v>
      </c>
      <c r="O53" s="5" t="s">
        <v>228</v>
      </c>
      <c r="P53" s="5" t="s">
        <v>143</v>
      </c>
      <c r="Q53" s="5" t="s">
        <v>154</v>
      </c>
      <c r="S53" s="24">
        <v>3</v>
      </c>
      <c r="T53" s="24">
        <v>0</v>
      </c>
      <c r="U53" s="24">
        <v>1</v>
      </c>
      <c r="V53" s="24" t="str">
        <v>VALENTINO MICHAEL</v>
      </c>
      <c r="W53" s="24" t="str">
        <v>535200033</v>
      </c>
      <c r="X53" s="24" t="str">
        <v>Stupen</v>
      </c>
      <c r="Y53" s="24" t="str">
        <v>Viny Christanti Mawardi, S.Kom., M.Kom.</v>
      </c>
    </row>
    <row r="54" spans="1:25" ht="42.95" customHeight="1" x14ac:dyDescent="0.2">
      <c r="A54" s="8">
        <v>3</v>
      </c>
      <c r="B54" s="8">
        <v>1</v>
      </c>
      <c r="C54" s="8">
        <v>0</v>
      </c>
      <c r="D54" s="3">
        <v>535220067</v>
      </c>
      <c r="E54" s="3" t="s">
        <v>142</v>
      </c>
      <c r="F54" t="s">
        <v>167</v>
      </c>
      <c r="G54" s="25" cm="1">
        <f t="array" ref="G54">IF(AND(A54:C54=S54:U54),IF((F54=Y54),1,0),999)</f>
        <v>999</v>
      </c>
      <c r="H54" s="24"/>
      <c r="K54" s="5">
        <v>3</v>
      </c>
      <c r="L54" s="5">
        <v>0</v>
      </c>
      <c r="M54" s="5">
        <v>1</v>
      </c>
      <c r="N54" s="5" t="s">
        <v>940</v>
      </c>
      <c r="O54" s="5" t="s">
        <v>229</v>
      </c>
      <c r="P54" s="5" t="s">
        <v>142</v>
      </c>
      <c r="Q54" s="5" t="s">
        <v>155</v>
      </c>
      <c r="S54" s="24">
        <v>3</v>
      </c>
      <c r="T54" s="24">
        <v>0</v>
      </c>
      <c r="U54" s="24">
        <v>1</v>
      </c>
      <c r="V54" s="24" t="str">
        <v>HANA FATHIYAH SALSABILA</v>
      </c>
      <c r="W54" s="24" t="str">
        <v>825220165</v>
      </c>
      <c r="X54" s="24" t="str">
        <v>Magang</v>
      </c>
      <c r="Y54" s="24" t="str">
        <v>Dr. Wasino, S.Kom., M.Kom.</v>
      </c>
    </row>
    <row r="55" spans="1:25" ht="44.1" customHeight="1" x14ac:dyDescent="0.2">
      <c r="A55" s="8">
        <v>3</v>
      </c>
      <c r="B55" s="8">
        <v>1</v>
      </c>
      <c r="C55" s="8">
        <v>0</v>
      </c>
      <c r="D55" s="3">
        <v>535220134</v>
      </c>
      <c r="E55" s="3" t="s">
        <v>142</v>
      </c>
      <c r="F55" t="s">
        <v>167</v>
      </c>
      <c r="G55" s="25" cm="1">
        <f t="array" ref="G55">IF(AND(A55:C55=S55:U55),IF((F55=Y55),1,0),999)</f>
        <v>999</v>
      </c>
      <c r="H55" s="24"/>
      <c r="K55" s="5">
        <v>3</v>
      </c>
      <c r="L55" s="5">
        <v>0</v>
      </c>
      <c r="M55" s="5">
        <v>1</v>
      </c>
      <c r="N55" s="5" t="s">
        <v>941</v>
      </c>
      <c r="O55" s="5" t="s">
        <v>230</v>
      </c>
      <c r="P55" s="5" t="s">
        <v>142</v>
      </c>
      <c r="Q55" s="5" t="s">
        <v>157</v>
      </c>
      <c r="S55" s="24">
        <v>3</v>
      </c>
      <c r="T55" s="24">
        <v>0</v>
      </c>
      <c r="U55" s="24">
        <v>1</v>
      </c>
      <c r="V55" s="24" t="str">
        <v>JAFIER ANDREAS</v>
      </c>
      <c r="W55" s="24" t="str">
        <v>535220013</v>
      </c>
      <c r="X55" s="24" t="str">
        <v>Magang</v>
      </c>
      <c r="Y55" s="24" t="str">
        <v>Dra. Chairisni Lubis, M.Kom.</v>
      </c>
    </row>
    <row r="56" spans="1:25" ht="42.6" customHeight="1" x14ac:dyDescent="0.2">
      <c r="A56" s="8">
        <v>3</v>
      </c>
      <c r="B56" s="8">
        <v>1</v>
      </c>
      <c r="C56" s="8">
        <v>0</v>
      </c>
      <c r="D56" s="3">
        <v>535220135</v>
      </c>
      <c r="E56" s="3" t="s">
        <v>142</v>
      </c>
      <c r="F56" t="s">
        <v>167</v>
      </c>
      <c r="G56" s="25" cm="1">
        <f t="array" ref="G56">IF(AND(A56:C56=S56:U56),IF((F56=Y56),1,0),999)</f>
        <v>999</v>
      </c>
      <c r="H56" s="24"/>
      <c r="K56" s="5">
        <v>3</v>
      </c>
      <c r="L56" s="5">
        <v>0</v>
      </c>
      <c r="M56" s="5">
        <v>1</v>
      </c>
      <c r="N56" s="5" t="s">
        <v>942</v>
      </c>
      <c r="O56" s="5" t="s">
        <v>231</v>
      </c>
      <c r="P56" s="5" t="s">
        <v>142</v>
      </c>
      <c r="Q56" s="5" t="s">
        <v>157</v>
      </c>
      <c r="S56" s="24">
        <v>3</v>
      </c>
      <c r="T56" s="24">
        <v>0</v>
      </c>
      <c r="U56" s="24">
        <v>1</v>
      </c>
      <c r="V56" s="24" t="str">
        <v>RUBEN SETIAJI</v>
      </c>
      <c r="W56" s="24" t="str">
        <v>535220033</v>
      </c>
      <c r="X56" s="24" t="str">
        <v>Magang</v>
      </c>
      <c r="Y56" s="24" t="str">
        <v>Dra. Chairisni Lubis, M.Kom.</v>
      </c>
    </row>
    <row r="57" spans="1:25" ht="44.1" customHeight="1" x14ac:dyDescent="0.2">
      <c r="A57" s="8">
        <v>4</v>
      </c>
      <c r="B57" s="8">
        <v>1</v>
      </c>
      <c r="C57" s="8">
        <v>0</v>
      </c>
      <c r="D57" s="3">
        <v>535220115</v>
      </c>
      <c r="E57" s="3" t="s">
        <v>143</v>
      </c>
      <c r="F57" t="s">
        <v>159</v>
      </c>
      <c r="G57" s="25" cm="1">
        <f t="array" ref="G57">IF(AND(A57:C57=S57:U57),IF((F57=Y57),1,0),999)</f>
        <v>999</v>
      </c>
      <c r="H57" s="24"/>
      <c r="K57" s="5">
        <v>3</v>
      </c>
      <c r="L57" s="5">
        <v>0</v>
      </c>
      <c r="M57" s="5">
        <v>2</v>
      </c>
      <c r="N57" s="5" t="s">
        <v>943</v>
      </c>
      <c r="O57" s="5" t="s">
        <v>232</v>
      </c>
      <c r="P57" s="5" t="s">
        <v>142</v>
      </c>
      <c r="Q57" s="5" t="s">
        <v>158</v>
      </c>
      <c r="S57" s="24">
        <v>4</v>
      </c>
      <c r="T57" s="24">
        <v>0</v>
      </c>
      <c r="U57" s="24">
        <v>1</v>
      </c>
      <c r="V57" s="24" t="str">
        <v>WINNI SETIAWATI</v>
      </c>
      <c r="W57" s="24" t="str">
        <v>825220002</v>
      </c>
      <c r="X57" s="24" t="str">
        <v>Magang</v>
      </c>
      <c r="Y57" s="24" t="str">
        <v>Ir. Jap Tji Beng, MMSI, M.Psi., Ph.D., PE, M.ASCE</v>
      </c>
    </row>
    <row r="58" spans="1:25" ht="44.1" customHeight="1" x14ac:dyDescent="0.2">
      <c r="A58" s="8">
        <v>4</v>
      </c>
      <c r="B58" s="8">
        <v>1</v>
      </c>
      <c r="C58" s="8">
        <v>0</v>
      </c>
      <c r="D58" s="3">
        <v>535220116</v>
      </c>
      <c r="E58" s="3" t="s">
        <v>143</v>
      </c>
      <c r="F58" t="s">
        <v>159</v>
      </c>
      <c r="G58" s="25" cm="1">
        <f t="array" ref="G58">IF(AND(A58:C58=S58:U58),IF((F58=Y58),1,0),999)</f>
        <v>999</v>
      </c>
      <c r="H58" s="24"/>
      <c r="K58" s="5">
        <v>3</v>
      </c>
      <c r="L58" s="5">
        <v>0</v>
      </c>
      <c r="M58" s="5">
        <v>2</v>
      </c>
      <c r="N58" s="5" t="s">
        <v>944</v>
      </c>
      <c r="O58" s="5" t="s">
        <v>233</v>
      </c>
      <c r="P58" s="5" t="s">
        <v>142</v>
      </c>
      <c r="Q58" s="5" t="s">
        <v>158</v>
      </c>
      <c r="S58" s="24">
        <v>4</v>
      </c>
      <c r="T58" s="24">
        <v>0</v>
      </c>
      <c r="U58" s="24">
        <v>1</v>
      </c>
      <c r="V58" s="24" t="str">
        <v>FEDRIK PANGESTU</v>
      </c>
      <c r="W58" s="24" t="str">
        <v>825220009</v>
      </c>
      <c r="X58" s="24" t="str">
        <v>Magang</v>
      </c>
      <c r="Y58" s="24" t="str">
        <v>Ir. Jap Tji Beng, MMSI, M.Psi., Ph.D., PE, M.ASCE</v>
      </c>
    </row>
    <row r="59" spans="1:25" ht="42.95" customHeight="1" x14ac:dyDescent="0.2">
      <c r="A59" s="8">
        <v>4</v>
      </c>
      <c r="B59" s="8">
        <v>1</v>
      </c>
      <c r="C59" s="8">
        <v>0</v>
      </c>
      <c r="D59" s="3">
        <v>535220118</v>
      </c>
      <c r="E59" s="3" t="s">
        <v>143</v>
      </c>
      <c r="F59" t="s">
        <v>159</v>
      </c>
      <c r="G59" s="25" cm="1">
        <f t="array" ref="G59">IF(AND(A59:C59=S59:U59),IF((F59=Y59),1,0),999)</f>
        <v>999</v>
      </c>
      <c r="H59" s="24"/>
      <c r="K59" s="5">
        <v>3</v>
      </c>
      <c r="L59" s="5">
        <v>0</v>
      </c>
      <c r="M59" s="5">
        <v>2</v>
      </c>
      <c r="N59" s="5" t="s">
        <v>945</v>
      </c>
      <c r="O59" s="5" t="s">
        <v>234</v>
      </c>
      <c r="P59" s="5" t="s">
        <v>142</v>
      </c>
      <c r="Q59" s="5" t="s">
        <v>158</v>
      </c>
      <c r="S59" s="24">
        <v>4</v>
      </c>
      <c r="T59" s="24">
        <v>0</v>
      </c>
      <c r="U59" s="24">
        <v>1</v>
      </c>
      <c r="V59" s="24" t="str">
        <v>RACHELLE MARVELLA NARTO ATMODJO</v>
      </c>
      <c r="W59" s="24" t="str">
        <v>825220024</v>
      </c>
      <c r="X59" s="24" t="str">
        <v>Magang</v>
      </c>
      <c r="Y59" s="24" t="str">
        <v>Ir. Jap Tji Beng, MMSI, M.Psi., Ph.D., PE, M.ASCE</v>
      </c>
    </row>
    <row r="60" spans="1:25" ht="42.75" customHeight="1" x14ac:dyDescent="0.2">
      <c r="A60" s="8">
        <v>4</v>
      </c>
      <c r="B60" s="8">
        <v>1</v>
      </c>
      <c r="C60" s="8">
        <v>0</v>
      </c>
      <c r="D60" s="11">
        <v>535220124</v>
      </c>
      <c r="E60" s="3" t="s">
        <v>143</v>
      </c>
      <c r="F60" t="s">
        <v>159</v>
      </c>
      <c r="G60" s="25" cm="1">
        <f t="array" ref="G60">IF(AND(A60:C60=S60:U60),IF((F60=Y60),1,0),999)</f>
        <v>999</v>
      </c>
      <c r="H60" s="24"/>
      <c r="K60" s="5">
        <v>3</v>
      </c>
      <c r="L60" s="5">
        <v>0</v>
      </c>
      <c r="M60" s="5">
        <v>2</v>
      </c>
      <c r="N60" s="5" t="s">
        <v>946</v>
      </c>
      <c r="O60" s="5" t="s">
        <v>235</v>
      </c>
      <c r="P60" s="5" t="s">
        <v>142</v>
      </c>
      <c r="Q60" s="5" t="s">
        <v>158</v>
      </c>
      <c r="S60" s="24">
        <v>4</v>
      </c>
      <c r="T60" s="24">
        <v>0</v>
      </c>
      <c r="U60" s="24">
        <v>1</v>
      </c>
      <c r="V60" s="24" t="str">
        <v>JENNIFER</v>
      </c>
      <c r="W60" s="24" t="str">
        <v>825220040</v>
      </c>
      <c r="X60" s="24" t="str">
        <v>Magang</v>
      </c>
      <c r="Y60" s="24" t="str">
        <v>Ir. Jap Tji Beng, MMSI, M.Psi., Ph.D., PE, M.ASCE</v>
      </c>
    </row>
    <row r="61" spans="1:25" ht="43.5" customHeight="1" x14ac:dyDescent="0.2">
      <c r="A61" s="8">
        <v>4</v>
      </c>
      <c r="B61" s="8">
        <v>1</v>
      </c>
      <c r="C61" s="8">
        <v>0</v>
      </c>
      <c r="D61" s="3">
        <v>535220125</v>
      </c>
      <c r="E61" s="3" t="s">
        <v>143</v>
      </c>
      <c r="F61" t="s">
        <v>159</v>
      </c>
      <c r="G61" s="25" cm="1">
        <f t="array" ref="G61">IF(AND(A61:C61=S61:U61),IF((F61=Y61),1,0),999)</f>
        <v>999</v>
      </c>
      <c r="H61" s="24"/>
      <c r="K61" s="5">
        <v>3</v>
      </c>
      <c r="L61" s="5">
        <v>0</v>
      </c>
      <c r="M61" s="5">
        <v>2</v>
      </c>
      <c r="N61" s="5" t="s">
        <v>947</v>
      </c>
      <c r="O61" s="5" t="s">
        <v>236</v>
      </c>
      <c r="P61" s="5" t="s">
        <v>142</v>
      </c>
      <c r="Q61" s="5" t="s">
        <v>158</v>
      </c>
      <c r="S61" s="24">
        <v>4</v>
      </c>
      <c r="T61" s="24">
        <v>0</v>
      </c>
      <c r="U61" s="24">
        <v>1</v>
      </c>
      <c r="V61" s="24" t="str">
        <v>JOSELIN SANDRA WIJAYA</v>
      </c>
      <c r="W61" s="24" t="str">
        <v>825220045</v>
      </c>
      <c r="X61" s="24" t="str">
        <v>Magang</v>
      </c>
      <c r="Y61" s="24" t="str">
        <v>Ir. Jap Tji Beng, MMSI, M.Psi., Ph.D., PE, M.ASCE</v>
      </c>
    </row>
    <row r="62" spans="1:25" ht="42.95" customHeight="1" x14ac:dyDescent="0.2">
      <c r="A62" s="8">
        <v>5</v>
      </c>
      <c r="B62" s="8">
        <v>1</v>
      </c>
      <c r="C62" s="8">
        <v>0</v>
      </c>
      <c r="D62" s="3">
        <v>535220244</v>
      </c>
      <c r="E62" s="3" t="s">
        <v>143</v>
      </c>
      <c r="F62" t="s">
        <v>159</v>
      </c>
      <c r="G62" s="25" cm="1">
        <f t="array" ref="G62">IF(AND(A62:C62=S62:U62),IF((F62=Y62),1,0),999)</f>
        <v>999</v>
      </c>
      <c r="H62" s="24"/>
      <c r="K62" s="5">
        <v>4</v>
      </c>
      <c r="L62" s="5">
        <v>0</v>
      </c>
      <c r="M62" s="5">
        <v>0</v>
      </c>
      <c r="N62" s="5" t="s">
        <v>948</v>
      </c>
      <c r="O62" s="5" t="s">
        <v>237</v>
      </c>
      <c r="P62" s="5" t="s">
        <v>143</v>
      </c>
      <c r="Q62" s="5" t="s">
        <v>159</v>
      </c>
      <c r="S62" s="24">
        <v>5</v>
      </c>
      <c r="T62" s="24">
        <v>0</v>
      </c>
      <c r="U62" s="24">
        <v>1</v>
      </c>
      <c r="V62" s="24" t="str">
        <v>CLAUDYA CHRISTINE</v>
      </c>
      <c r="W62" s="24" t="str">
        <v>825220049</v>
      </c>
      <c r="X62" s="24" t="str">
        <v>Magang</v>
      </c>
      <c r="Y62" s="24" t="str">
        <v>Ir. Jap Tji Beng, MMSI, M.Psi., Ph.D., PE, M.ASCE</v>
      </c>
    </row>
    <row r="63" spans="1:25" ht="44.1" customHeight="1" x14ac:dyDescent="0.2">
      <c r="A63" s="8">
        <v>5</v>
      </c>
      <c r="B63" s="8">
        <v>1</v>
      </c>
      <c r="C63" s="8">
        <v>0</v>
      </c>
      <c r="D63" s="3">
        <v>535220267</v>
      </c>
      <c r="E63" s="3" t="s">
        <v>143</v>
      </c>
      <c r="F63" t="s">
        <v>159</v>
      </c>
      <c r="G63" s="25" cm="1">
        <f t="array" ref="G63">IF(AND(A63:C63=S63:U63),IF((F63=Y63),1,0),999)</f>
        <v>999</v>
      </c>
      <c r="H63" s="24"/>
      <c r="K63" s="5">
        <v>4</v>
      </c>
      <c r="L63" s="5">
        <v>0</v>
      </c>
      <c r="M63" s="5">
        <v>0</v>
      </c>
      <c r="N63" s="5" t="s">
        <v>949</v>
      </c>
      <c r="O63" s="5" t="s">
        <v>238</v>
      </c>
      <c r="P63" s="5" t="s">
        <v>143</v>
      </c>
      <c r="Q63" s="5" t="s">
        <v>159</v>
      </c>
      <c r="S63" s="24">
        <v>5</v>
      </c>
      <c r="T63" s="24">
        <v>0</v>
      </c>
      <c r="U63" s="24">
        <v>1</v>
      </c>
      <c r="V63" s="24" t="str">
        <v>LAUREN KEZIA VANESSA</v>
      </c>
      <c r="W63" s="24" t="str">
        <v>825220055</v>
      </c>
      <c r="X63" s="24" t="str">
        <v>Magang</v>
      </c>
      <c r="Y63" s="24" t="str">
        <v>Ir. Jap Tji Beng, MMSI, M.Psi., Ph.D., PE, M.ASCE</v>
      </c>
    </row>
    <row r="64" spans="1:25" ht="42.95" customHeight="1" x14ac:dyDescent="0.2">
      <c r="A64" s="8">
        <v>5</v>
      </c>
      <c r="B64" s="8">
        <v>1</v>
      </c>
      <c r="C64" s="8">
        <v>0</v>
      </c>
      <c r="D64" s="3">
        <v>825220145</v>
      </c>
      <c r="E64" s="3" t="s">
        <v>143</v>
      </c>
      <c r="F64" t="s">
        <v>161</v>
      </c>
      <c r="G64" s="25" cm="1">
        <f t="array" ref="G64">IF(AND(A64:C64=S64:U64),IF((F64=Y64),1,0),999)</f>
        <v>999</v>
      </c>
      <c r="H64" s="24"/>
      <c r="K64" s="5">
        <v>4</v>
      </c>
      <c r="L64" s="5">
        <v>0</v>
      </c>
      <c r="M64" s="5">
        <v>0</v>
      </c>
      <c r="N64" s="5" t="s">
        <v>950</v>
      </c>
      <c r="O64" s="5" t="s">
        <v>239</v>
      </c>
      <c r="P64" s="5" t="s">
        <v>143</v>
      </c>
      <c r="Q64" s="5" t="s">
        <v>159</v>
      </c>
      <c r="S64" s="24">
        <v>5</v>
      </c>
      <c r="T64" s="24">
        <v>0</v>
      </c>
      <c r="U64" s="24">
        <v>1</v>
      </c>
      <c r="V64" s="24" t="str">
        <v>MELINDA GLORIA</v>
      </c>
      <c r="W64" s="24" t="str">
        <v>825220089</v>
      </c>
      <c r="X64" s="24" t="str">
        <v>Magang</v>
      </c>
      <c r="Y64" s="24" t="str">
        <v>Ir. Jap Tji Beng, MMSI, M.Psi., Ph.D., PE, M.ASCE</v>
      </c>
    </row>
    <row r="65" spans="1:25" ht="44.1" customHeight="1" x14ac:dyDescent="0.2">
      <c r="A65" s="8">
        <v>5</v>
      </c>
      <c r="B65" s="8">
        <v>1</v>
      </c>
      <c r="C65" s="8">
        <v>0</v>
      </c>
      <c r="D65" s="3">
        <v>825220148</v>
      </c>
      <c r="E65" s="3" t="s">
        <v>143</v>
      </c>
      <c r="F65" t="s">
        <v>161</v>
      </c>
      <c r="G65" s="25" cm="1">
        <f t="array" ref="G65">IF(AND(A65:C65=S65:U65),IF((F65=Y65),1,0),999)</f>
        <v>999</v>
      </c>
      <c r="H65" s="24"/>
      <c r="K65" s="5">
        <v>4</v>
      </c>
      <c r="L65" s="5">
        <v>0</v>
      </c>
      <c r="M65" s="5">
        <v>0</v>
      </c>
      <c r="N65" s="5" t="s">
        <v>951</v>
      </c>
      <c r="O65" s="5" t="s">
        <v>240</v>
      </c>
      <c r="P65" s="5" t="s">
        <v>143</v>
      </c>
      <c r="Q65" s="5" t="s">
        <v>159</v>
      </c>
      <c r="S65" s="24">
        <v>5</v>
      </c>
      <c r="T65" s="24">
        <v>0</v>
      </c>
      <c r="U65" s="24">
        <v>1</v>
      </c>
      <c r="V65" s="24" t="str">
        <v>DHIRA FRANCESCO</v>
      </c>
      <c r="W65" s="24" t="str">
        <v>825220132</v>
      </c>
      <c r="X65" s="24" t="str">
        <v>Magang</v>
      </c>
      <c r="Y65" s="24" t="str">
        <v>Ir. Jap Tji Beng, MMSI, M.Psi., Ph.D., PE, M.ASCE</v>
      </c>
    </row>
    <row r="66" spans="1:25" ht="42.6" customHeight="1" x14ac:dyDescent="0.2">
      <c r="A66" s="8">
        <v>5</v>
      </c>
      <c r="B66" s="8">
        <v>1</v>
      </c>
      <c r="C66" s="8">
        <v>0</v>
      </c>
      <c r="D66" s="3">
        <v>825220150</v>
      </c>
      <c r="E66" s="3" t="s">
        <v>143</v>
      </c>
      <c r="F66" t="s">
        <v>161</v>
      </c>
      <c r="G66" s="25" cm="1">
        <f t="array" ref="G66">IF(AND(A66:C66=S66:U66),IF((F66=Y66),1,0),999)</f>
        <v>999</v>
      </c>
      <c r="H66" s="24"/>
      <c r="K66" s="5">
        <v>4</v>
      </c>
      <c r="L66" s="5">
        <v>0</v>
      </c>
      <c r="M66" s="5">
        <v>0</v>
      </c>
      <c r="N66" s="5" t="s">
        <v>952</v>
      </c>
      <c r="O66" s="5" t="s">
        <v>241</v>
      </c>
      <c r="P66" s="5" t="s">
        <v>143</v>
      </c>
      <c r="Q66" s="5" t="s">
        <v>159</v>
      </c>
      <c r="S66" s="24">
        <v>5</v>
      </c>
      <c r="T66" s="24">
        <v>0</v>
      </c>
      <c r="U66" s="24">
        <v>1</v>
      </c>
      <c r="V66" s="24" t="str">
        <v>SULTAN SAID ABDUL RAHIM</v>
      </c>
      <c r="W66" s="24" t="str">
        <v>825220151</v>
      </c>
      <c r="X66" s="24" t="str">
        <v>Magang</v>
      </c>
      <c r="Y66" s="24" t="str">
        <v>Ir. Jap Tji Beng, MMSI, M.Psi., Ph.D., PE, M.ASCE</v>
      </c>
    </row>
    <row r="67" spans="1:25" ht="44.1" customHeight="1" x14ac:dyDescent="0.2">
      <c r="A67" s="8">
        <v>6</v>
      </c>
      <c r="B67" s="8">
        <v>1</v>
      </c>
      <c r="C67" s="8">
        <v>0</v>
      </c>
      <c r="D67" s="3">
        <v>825220181</v>
      </c>
      <c r="E67" s="3" t="s">
        <v>143</v>
      </c>
      <c r="F67" t="s">
        <v>161</v>
      </c>
      <c r="G67" s="25" cm="1">
        <f t="array" ref="G67">IF(AND(A67:C67=S67:U67),IF((F67=Y67),1,0),999)</f>
        <v>999</v>
      </c>
      <c r="H67" s="24"/>
      <c r="K67" s="5">
        <v>4</v>
      </c>
      <c r="L67" s="5">
        <v>0</v>
      </c>
      <c r="M67" s="5">
        <v>1</v>
      </c>
      <c r="N67" s="5" t="s">
        <v>953</v>
      </c>
      <c r="O67" s="5" t="s">
        <v>242</v>
      </c>
      <c r="P67" s="5" t="s">
        <v>142</v>
      </c>
      <c r="Q67" s="5" t="s">
        <v>160</v>
      </c>
      <c r="S67" s="24">
        <v>6</v>
      </c>
      <c r="T67" s="24">
        <v>0</v>
      </c>
      <c r="U67" s="24">
        <v>1</v>
      </c>
      <c r="V67" s="24" t="str">
        <v>GLADYS ANAWAI OHYVER</v>
      </c>
      <c r="W67" s="24" t="str">
        <v>825220154</v>
      </c>
      <c r="X67" s="24" t="str">
        <v>Magang</v>
      </c>
      <c r="Y67" s="24" t="str">
        <v>Ir. Jap Tji Beng, MMSI, M.Psi., Ph.D., PE, M.ASCE</v>
      </c>
    </row>
    <row r="68" spans="1:25" ht="44.1" customHeight="1" x14ac:dyDescent="0.2">
      <c r="A68" s="8">
        <v>6</v>
      </c>
      <c r="B68" s="8">
        <v>1</v>
      </c>
      <c r="C68" s="8">
        <v>0</v>
      </c>
      <c r="D68" s="3">
        <v>825239201</v>
      </c>
      <c r="E68" s="3" t="s">
        <v>143</v>
      </c>
      <c r="F68" t="s">
        <v>161</v>
      </c>
      <c r="G68" s="25" cm="1">
        <f t="array" ref="G68">IF(AND(A68:C68=S68:U68),IF((F68=Y68),1,0),999)</f>
        <v>999</v>
      </c>
      <c r="H68" s="24"/>
      <c r="K68" s="5">
        <v>4</v>
      </c>
      <c r="L68" s="5">
        <v>0</v>
      </c>
      <c r="M68" s="5">
        <v>1</v>
      </c>
      <c r="N68" s="5" t="s">
        <v>954</v>
      </c>
      <c r="O68" s="5" t="s">
        <v>243</v>
      </c>
      <c r="P68" s="5" t="s">
        <v>142</v>
      </c>
      <c r="Q68" s="5" t="s">
        <v>160</v>
      </c>
      <c r="S68" s="24">
        <v>6</v>
      </c>
      <c r="T68" s="24">
        <v>0</v>
      </c>
      <c r="U68" s="24">
        <v>1</v>
      </c>
      <c r="V68" s="24" t="str">
        <v xml:space="preserve">KHALLIFAH MUBARAK ARMANDO </v>
      </c>
      <c r="W68" s="24" t="str">
        <v>825220006</v>
      </c>
      <c r="X68" s="24" t="str">
        <v>Stupen</v>
      </c>
      <c r="Y68" s="24" t="str">
        <v>Ir. Jap Tji Beng, MMSI, M.Psi., Ph.D., PE, M.ASCE</v>
      </c>
    </row>
    <row r="69" spans="1:25" ht="42.95" customHeight="1" x14ac:dyDescent="0.2">
      <c r="A69" s="8">
        <v>6</v>
      </c>
      <c r="B69" s="8">
        <v>1</v>
      </c>
      <c r="C69" s="8">
        <v>0</v>
      </c>
      <c r="D69" s="3">
        <v>535220037</v>
      </c>
      <c r="E69" s="3" t="s">
        <v>142</v>
      </c>
      <c r="F69" t="s">
        <v>167</v>
      </c>
      <c r="G69" s="25" cm="1">
        <f t="array" ref="G69">IF(AND(A69:C69=S69:U69),IF((F69=Y69),1,0),999)</f>
        <v>999</v>
      </c>
      <c r="H69" s="24"/>
      <c r="K69" s="5">
        <v>4</v>
      </c>
      <c r="L69" s="5">
        <v>0</v>
      </c>
      <c r="M69" s="5">
        <v>1</v>
      </c>
      <c r="N69" s="5" t="s">
        <v>955</v>
      </c>
      <c r="O69" s="5" t="s">
        <v>244</v>
      </c>
      <c r="P69" s="5" t="s">
        <v>142</v>
      </c>
      <c r="Q69" s="5" t="s">
        <v>160</v>
      </c>
      <c r="S69" s="24">
        <v>6</v>
      </c>
      <c r="T69" s="24">
        <v>0</v>
      </c>
      <c r="U69" s="24">
        <v>1</v>
      </c>
      <c r="V69" s="24" t="str">
        <v>ESTERIA TIFFANY ERFROVINA TAMBUNAN</v>
      </c>
      <c r="W69" s="24" t="str">
        <v>825220011</v>
      </c>
      <c r="X69" s="24" t="str">
        <v>Stupen</v>
      </c>
      <c r="Y69" s="24" t="str">
        <v>Ir. Jap Tji Beng, MMSI, M.Psi., Ph.D., PE, M.ASCE</v>
      </c>
    </row>
    <row r="70" spans="1:25" ht="43.7" customHeight="1" x14ac:dyDescent="0.2">
      <c r="A70" s="8">
        <v>6</v>
      </c>
      <c r="B70" s="8">
        <v>1</v>
      </c>
      <c r="C70" s="8">
        <v>0</v>
      </c>
      <c r="D70" s="3">
        <v>535220040</v>
      </c>
      <c r="E70" s="3" t="s">
        <v>142</v>
      </c>
      <c r="F70" t="s">
        <v>167</v>
      </c>
      <c r="G70" s="25" cm="1">
        <f t="array" ref="G70">IF(AND(A70:C70=S70:U70),IF((F70=Y70),1,0),999)</f>
        <v>999</v>
      </c>
      <c r="H70" s="24"/>
      <c r="K70" s="5">
        <v>4</v>
      </c>
      <c r="L70" s="5">
        <v>0</v>
      </c>
      <c r="M70" s="5">
        <v>1</v>
      </c>
      <c r="N70" s="5" t="s">
        <v>956</v>
      </c>
      <c r="O70" s="5" t="s">
        <v>245</v>
      </c>
      <c r="P70" s="5" t="s">
        <v>142</v>
      </c>
      <c r="Q70" s="5" t="s">
        <v>160</v>
      </c>
      <c r="S70" s="24">
        <v>6</v>
      </c>
      <c r="T70" s="24">
        <v>0</v>
      </c>
      <c r="U70" s="24">
        <v>1</v>
      </c>
      <c r="V70" s="24" t="str">
        <v>FASIA META SEFIRA</v>
      </c>
      <c r="W70" s="24" t="str">
        <v>825220162</v>
      </c>
      <c r="X70" s="24" t="str">
        <v>Penelitian</v>
      </c>
      <c r="Y70" s="24" t="str">
        <v>Ir. Jap Tji Beng, MMSI, M.Psi., Ph.D., PE, M.ASCE</v>
      </c>
    </row>
    <row r="71" spans="1:25" ht="43.7" customHeight="1" x14ac:dyDescent="0.2">
      <c r="A71" s="8">
        <v>6</v>
      </c>
      <c r="B71" s="8">
        <v>1</v>
      </c>
      <c r="C71" s="8">
        <v>0</v>
      </c>
      <c r="D71" s="3">
        <v>535220064</v>
      </c>
      <c r="E71" s="3" t="s">
        <v>142</v>
      </c>
      <c r="F71" t="s">
        <v>167</v>
      </c>
      <c r="G71" s="25" cm="1">
        <f t="array" ref="G71">IF(AND(A71:C71=S71:U71),IF((F71=Y71),1,0),999)</f>
        <v>999</v>
      </c>
      <c r="H71" s="24"/>
      <c r="K71" s="5">
        <v>4</v>
      </c>
      <c r="L71" s="5">
        <v>0</v>
      </c>
      <c r="M71" s="5">
        <v>1</v>
      </c>
      <c r="N71" s="5" t="s">
        <v>957</v>
      </c>
      <c r="O71" s="5" t="s">
        <v>246</v>
      </c>
      <c r="P71" s="5" t="s">
        <v>142</v>
      </c>
      <c r="Q71" s="5" t="s">
        <v>160</v>
      </c>
      <c r="S71" s="24">
        <v>6</v>
      </c>
      <c r="T71" s="24">
        <v>0</v>
      </c>
      <c r="U71" s="24">
        <v>1</v>
      </c>
      <c r="V71" s="24" t="str">
        <v>TIARA ZAHRO</v>
      </c>
      <c r="W71" s="24" t="str">
        <v>825220183</v>
      </c>
      <c r="X71" s="24" t="str">
        <v>Penelitian</v>
      </c>
      <c r="Y71" s="24" t="str">
        <v>Ir. Jap Tji Beng, MMSI, M.Psi., Ph.D., PE, M.ASCE</v>
      </c>
    </row>
    <row r="72" spans="1:25" ht="42.95" customHeight="1" x14ac:dyDescent="0.2">
      <c r="A72" s="8">
        <v>0</v>
      </c>
      <c r="B72" s="8">
        <v>1</v>
      </c>
      <c r="C72" s="8">
        <v>1</v>
      </c>
      <c r="D72" s="3">
        <v>535220096</v>
      </c>
      <c r="E72" s="3" t="s">
        <v>142</v>
      </c>
      <c r="F72" t="s">
        <v>168</v>
      </c>
      <c r="G72" s="25" cm="1">
        <f t="array" ref="G72">IF(AND(A72:C72=S72:U72),IF((F72=Y72),1,0),999)</f>
        <v>999</v>
      </c>
      <c r="H72" s="24"/>
      <c r="K72" s="5">
        <v>4</v>
      </c>
      <c r="L72" s="5">
        <v>0</v>
      </c>
      <c r="M72" s="5">
        <v>2</v>
      </c>
      <c r="N72" s="5" t="s">
        <v>958</v>
      </c>
      <c r="O72" s="5" t="s">
        <v>247</v>
      </c>
      <c r="P72" s="5" t="s">
        <v>142</v>
      </c>
      <c r="Q72" s="5" t="s">
        <v>161</v>
      </c>
      <c r="S72" s="24">
        <v>0</v>
      </c>
      <c r="T72" s="24">
        <v>0</v>
      </c>
      <c r="U72" s="24">
        <v>2</v>
      </c>
      <c r="V72" s="24" t="str">
        <v>ARYO PRAYOGI</v>
      </c>
      <c r="W72" s="24" t="str">
        <v>825220012</v>
      </c>
      <c r="X72" s="24" t="str">
        <v>Magang</v>
      </c>
      <c r="Y72" s="24" t="str">
        <v>Dr. Wasino, S.Kom., M.Kom.</v>
      </c>
    </row>
    <row r="73" spans="1:25" ht="44.1" customHeight="1" x14ac:dyDescent="0.2">
      <c r="A73" s="8">
        <v>0</v>
      </c>
      <c r="B73" s="8">
        <v>1</v>
      </c>
      <c r="C73" s="8">
        <v>1</v>
      </c>
      <c r="D73" s="3">
        <v>535220101</v>
      </c>
      <c r="E73" s="3" t="s">
        <v>142</v>
      </c>
      <c r="F73" t="s">
        <v>168</v>
      </c>
      <c r="G73" s="25" cm="1">
        <f t="array" ref="G73">IF(AND(A73:C73=S73:U73),IF((F73=Y73),1,0),999)</f>
        <v>999</v>
      </c>
      <c r="H73" s="24"/>
      <c r="K73" s="5">
        <v>4</v>
      </c>
      <c r="L73" s="5">
        <v>0</v>
      </c>
      <c r="M73" s="5">
        <v>2</v>
      </c>
      <c r="N73" s="5" t="s">
        <v>959</v>
      </c>
      <c r="O73" s="5" t="s">
        <v>248</v>
      </c>
      <c r="P73" s="5" t="s">
        <v>142</v>
      </c>
      <c r="Q73" s="5" t="s">
        <v>161</v>
      </c>
      <c r="S73" s="24">
        <v>0</v>
      </c>
      <c r="T73" s="24">
        <v>0</v>
      </c>
      <c r="U73" s="24">
        <v>2</v>
      </c>
      <c r="V73" s="24" t="str">
        <v>VINCEN LEONARDY</v>
      </c>
      <c r="W73" s="24" t="str">
        <v>825220016</v>
      </c>
      <c r="X73" s="24" t="str">
        <v>Magang</v>
      </c>
      <c r="Y73" s="24" t="str">
        <v>Dr. Wasino, S.Kom., M.Kom.</v>
      </c>
    </row>
    <row r="74" spans="1:25" ht="42.95" customHeight="1" x14ac:dyDescent="0.2">
      <c r="A74" s="8">
        <v>0</v>
      </c>
      <c r="B74" s="8">
        <v>1</v>
      </c>
      <c r="C74" s="8">
        <v>1</v>
      </c>
      <c r="D74" s="3">
        <v>535220103</v>
      </c>
      <c r="E74" s="3" t="s">
        <v>142</v>
      </c>
      <c r="F74" t="s">
        <v>168</v>
      </c>
      <c r="G74" s="25" cm="1">
        <f t="array" ref="G74">IF(AND(A74:C74=S74:U74),IF((F74=Y74),1,0),999)</f>
        <v>999</v>
      </c>
      <c r="H74" s="24"/>
      <c r="K74" s="5">
        <v>4</v>
      </c>
      <c r="L74" s="5">
        <v>0</v>
      </c>
      <c r="M74" s="5">
        <v>2</v>
      </c>
      <c r="N74" s="5" t="s">
        <v>960</v>
      </c>
      <c r="O74" s="5" t="s">
        <v>249</v>
      </c>
      <c r="P74" s="5" t="s">
        <v>142</v>
      </c>
      <c r="Q74" s="5" t="s">
        <v>161</v>
      </c>
      <c r="S74" s="24">
        <v>0</v>
      </c>
      <c r="T74" s="24">
        <v>0</v>
      </c>
      <c r="U74" s="24">
        <v>2</v>
      </c>
      <c r="V74" s="24" t="str">
        <v>PHILLIP MARCHEGIANY</v>
      </c>
      <c r="W74" s="24" t="str">
        <v>825220020</v>
      </c>
      <c r="X74" s="24" t="str">
        <v>Magang</v>
      </c>
      <c r="Y74" s="24" t="str">
        <v>Dr. Wasino, S.Kom., M.Kom.</v>
      </c>
    </row>
    <row r="75" spans="1:25" ht="44.1" customHeight="1" x14ac:dyDescent="0.2">
      <c r="A75" s="8">
        <v>0</v>
      </c>
      <c r="B75" s="8">
        <v>1</v>
      </c>
      <c r="C75" s="8">
        <v>1</v>
      </c>
      <c r="D75" s="3">
        <v>535220082</v>
      </c>
      <c r="E75" s="3" t="s">
        <v>142</v>
      </c>
      <c r="F75" t="s">
        <v>164</v>
      </c>
      <c r="G75" s="25" cm="1">
        <f t="array" ref="G75">IF(AND(A75:C75=S75:U75),IF((F75=Y75),1,0),999)</f>
        <v>999</v>
      </c>
      <c r="H75" s="24"/>
      <c r="K75" s="5">
        <v>4</v>
      </c>
      <c r="L75" s="5">
        <v>0</v>
      </c>
      <c r="M75" s="5">
        <v>2</v>
      </c>
      <c r="N75" s="5" t="s">
        <v>961</v>
      </c>
      <c r="O75" s="5" t="s">
        <v>250</v>
      </c>
      <c r="P75" s="5" t="s">
        <v>142</v>
      </c>
      <c r="Q75" s="5" t="s">
        <v>161</v>
      </c>
      <c r="S75" s="24">
        <v>0</v>
      </c>
      <c r="T75" s="24">
        <v>0</v>
      </c>
      <c r="U75" s="24">
        <v>2</v>
      </c>
      <c r="V75" s="24" t="str">
        <v>NICOLAS</v>
      </c>
      <c r="W75" s="24" t="str">
        <v>825220023</v>
      </c>
      <c r="X75" s="24" t="str">
        <v>Magang</v>
      </c>
      <c r="Y75" s="24" t="str">
        <v>Dr. Wasino, S.Kom., M.Kom.</v>
      </c>
    </row>
    <row r="76" spans="1:25" ht="43.7" customHeight="1" x14ac:dyDescent="0.2">
      <c r="A76" s="8">
        <v>0</v>
      </c>
      <c r="B76" s="8">
        <v>1</v>
      </c>
      <c r="C76" s="8">
        <v>1</v>
      </c>
      <c r="D76" s="3">
        <v>535220133</v>
      </c>
      <c r="E76" s="3" t="s">
        <v>142</v>
      </c>
      <c r="F76" t="s">
        <v>164</v>
      </c>
      <c r="G76" s="25" cm="1">
        <f t="array" ref="G76">IF(AND(A76:C76=S76:U76),IF((F76=Y76),1,0),999)</f>
        <v>999</v>
      </c>
      <c r="H76" s="24"/>
      <c r="K76" s="5">
        <v>4</v>
      </c>
      <c r="L76" s="5">
        <v>0</v>
      </c>
      <c r="M76" s="5">
        <v>2</v>
      </c>
      <c r="N76" s="5" t="s">
        <v>962</v>
      </c>
      <c r="O76" s="5" t="s">
        <v>251</v>
      </c>
      <c r="P76" s="5" t="s">
        <v>142</v>
      </c>
      <c r="Q76" s="5" t="s">
        <v>161</v>
      </c>
      <c r="S76" s="24">
        <v>0</v>
      </c>
      <c r="T76" s="24">
        <v>0</v>
      </c>
      <c r="U76" s="24">
        <v>2</v>
      </c>
      <c r="V76" s="24" t="str">
        <v>RAFAEL CHRISTOPER SUHANDI</v>
      </c>
      <c r="W76" s="24" t="str">
        <v>825220028</v>
      </c>
      <c r="X76" s="24" t="str">
        <v>Magang</v>
      </c>
      <c r="Y76" s="24" t="str">
        <v>Dr. Wasino, S.Kom., M.Kom.</v>
      </c>
    </row>
    <row r="77" spans="1:25" ht="43.5" customHeight="1" x14ac:dyDescent="0.2">
      <c r="A77" s="8">
        <v>1</v>
      </c>
      <c r="B77" s="8">
        <v>1</v>
      </c>
      <c r="C77" s="8">
        <v>1</v>
      </c>
      <c r="D77" s="3">
        <v>535220149</v>
      </c>
      <c r="E77" s="3" t="s">
        <v>142</v>
      </c>
      <c r="F77" t="s">
        <v>164</v>
      </c>
      <c r="G77" s="25" cm="1">
        <f t="array" ref="G77">IF(AND(A77:C77=S77:U77),IF((F77=Y77),1,0),999)</f>
        <v>999</v>
      </c>
      <c r="H77" s="24"/>
      <c r="K77" s="5">
        <v>5</v>
      </c>
      <c r="L77" s="5">
        <v>0</v>
      </c>
      <c r="M77" s="5">
        <v>0</v>
      </c>
      <c r="N77" s="5" t="s">
        <v>963</v>
      </c>
      <c r="O77" s="5" t="s">
        <v>252</v>
      </c>
      <c r="P77" s="5" t="s">
        <v>143</v>
      </c>
      <c r="Q77" s="5" t="s">
        <v>159</v>
      </c>
      <c r="S77" s="24">
        <v>1</v>
      </c>
      <c r="T77" s="24">
        <v>0</v>
      </c>
      <c r="U77" s="24">
        <v>2</v>
      </c>
      <c r="V77" s="24" t="str">
        <v xml:space="preserve">MARCELL BUDIMAN </v>
      </c>
      <c r="W77" s="24" t="str">
        <v>825220041</v>
      </c>
      <c r="X77" s="24" t="str">
        <v>Magang</v>
      </c>
      <c r="Y77" s="24" t="str">
        <v>Dr. Wasino, S.Kom., M.Kom.</v>
      </c>
    </row>
    <row r="78" spans="1:25" ht="42.95" customHeight="1" x14ac:dyDescent="0.2">
      <c r="A78" s="8">
        <v>1</v>
      </c>
      <c r="B78" s="8">
        <v>1</v>
      </c>
      <c r="C78" s="8">
        <v>1</v>
      </c>
      <c r="D78" s="3">
        <v>535220058</v>
      </c>
      <c r="E78" s="3" t="s">
        <v>142</v>
      </c>
      <c r="F78" t="s">
        <v>169</v>
      </c>
      <c r="G78" s="25" cm="1">
        <f t="array" ref="G78">IF(AND(A78:C78=S78:U78),IF((F78=Y78),1,0),999)</f>
        <v>999</v>
      </c>
      <c r="H78" s="24"/>
      <c r="K78" s="5">
        <v>5</v>
      </c>
      <c r="L78" s="5">
        <v>0</v>
      </c>
      <c r="M78" s="5">
        <v>0</v>
      </c>
      <c r="N78" s="5" t="s">
        <v>964</v>
      </c>
      <c r="O78" s="5" t="s">
        <v>253</v>
      </c>
      <c r="P78" s="5" t="s">
        <v>143</v>
      </c>
      <c r="Q78" s="5" t="s">
        <v>159</v>
      </c>
      <c r="S78" s="24">
        <v>1</v>
      </c>
      <c r="T78" s="24">
        <v>0</v>
      </c>
      <c r="U78" s="24">
        <v>2</v>
      </c>
      <c r="V78" s="24" t="str">
        <v>GUSTIAN ROSADI</v>
      </c>
      <c r="W78" s="24" t="str">
        <v>825220065</v>
      </c>
      <c r="X78" s="24" t="str">
        <v>Magang</v>
      </c>
      <c r="Y78" s="24" t="str">
        <v>Dr. Wasino, S.Kom., M.Kom.</v>
      </c>
    </row>
    <row r="79" spans="1:25" ht="44.1" customHeight="1" x14ac:dyDescent="0.2">
      <c r="A79" s="8">
        <v>1</v>
      </c>
      <c r="B79" s="8">
        <v>1</v>
      </c>
      <c r="C79" s="8">
        <v>1</v>
      </c>
      <c r="D79" s="3">
        <v>535220059</v>
      </c>
      <c r="E79" s="3" t="s">
        <v>142</v>
      </c>
      <c r="F79" t="s">
        <v>169</v>
      </c>
      <c r="G79" s="25" cm="1">
        <f t="array" ref="G79">IF(AND(A79:C79=S79:U79),IF((F79=Y79),1,0),999)</f>
        <v>999</v>
      </c>
      <c r="H79" s="24"/>
      <c r="K79" s="5">
        <v>5</v>
      </c>
      <c r="L79" s="5">
        <v>0</v>
      </c>
      <c r="M79" s="5">
        <v>0</v>
      </c>
      <c r="N79" s="5" t="s">
        <v>965</v>
      </c>
      <c r="O79" s="5" t="s">
        <v>254</v>
      </c>
      <c r="P79" s="5" t="s">
        <v>143</v>
      </c>
      <c r="Q79" s="5" t="s">
        <v>159</v>
      </c>
      <c r="S79" s="24">
        <v>1</v>
      </c>
      <c r="T79" s="24">
        <v>0</v>
      </c>
      <c r="U79" s="24">
        <v>2</v>
      </c>
      <c r="V79" s="24" t="str">
        <v>VEREN THIOVANDA</v>
      </c>
      <c r="W79" s="24" t="str">
        <v>825220067</v>
      </c>
      <c r="X79" s="24" t="str">
        <v>Magang</v>
      </c>
      <c r="Y79" s="24" t="str">
        <v>Dr. Wasino, S.Kom., M.Kom.</v>
      </c>
    </row>
    <row r="80" spans="1:25" ht="33.75" customHeight="1" x14ac:dyDescent="0.2">
      <c r="A80" s="8">
        <v>1</v>
      </c>
      <c r="B80" s="8">
        <v>1</v>
      </c>
      <c r="C80" s="8">
        <v>1</v>
      </c>
      <c r="D80" s="4">
        <v>535220069</v>
      </c>
      <c r="E80" s="3" t="s">
        <v>142</v>
      </c>
      <c r="F80" t="s">
        <v>169</v>
      </c>
      <c r="G80" s="25" cm="1">
        <f t="array" ref="G80">IF(AND(A80:C80=S80:U80),IF((F80=Y80),1,0),999)</f>
        <v>999</v>
      </c>
      <c r="H80" s="24"/>
      <c r="K80" s="5">
        <v>5</v>
      </c>
      <c r="L80" s="5">
        <v>0</v>
      </c>
      <c r="M80" s="5">
        <v>0</v>
      </c>
      <c r="N80" s="5" t="s">
        <v>966</v>
      </c>
      <c r="O80" s="5" t="s">
        <v>255</v>
      </c>
      <c r="P80" s="5" t="s">
        <v>143</v>
      </c>
      <c r="Q80" s="5" t="s">
        <v>159</v>
      </c>
      <c r="S80" s="24">
        <v>1</v>
      </c>
      <c r="T80" s="24">
        <v>0</v>
      </c>
      <c r="U80" s="24">
        <v>2</v>
      </c>
      <c r="V80" s="24" t="str">
        <v>VALENTINO</v>
      </c>
      <c r="W80" s="24" t="str">
        <v>825220083</v>
      </c>
      <c r="X80" s="24" t="str">
        <v>Magang</v>
      </c>
      <c r="Y80" s="24" t="str">
        <v>Dr. Wasino, S.Kom., M.Kom.</v>
      </c>
    </row>
    <row r="81" spans="1:25" ht="43.5" customHeight="1" x14ac:dyDescent="0.2">
      <c r="A81" s="8">
        <v>1</v>
      </c>
      <c r="B81" s="8">
        <v>1</v>
      </c>
      <c r="C81" s="8">
        <v>1</v>
      </c>
      <c r="D81" s="3">
        <v>535220110</v>
      </c>
      <c r="E81" s="3" t="s">
        <v>142</v>
      </c>
      <c r="F81" t="s">
        <v>169</v>
      </c>
      <c r="G81" s="25" cm="1">
        <f t="array" ref="G81">IF(AND(A81:C81=S81:U81),IF((F81=Y81),1,0),999)</f>
        <v>999</v>
      </c>
      <c r="H81" s="24"/>
      <c r="K81" s="5">
        <v>5</v>
      </c>
      <c r="L81" s="5">
        <v>0</v>
      </c>
      <c r="M81" s="5">
        <v>0</v>
      </c>
      <c r="N81" s="5" t="s">
        <v>967</v>
      </c>
      <c r="O81" s="5" t="s">
        <v>256</v>
      </c>
      <c r="P81" s="5" t="s">
        <v>143</v>
      </c>
      <c r="Q81" s="5" t="s">
        <v>159</v>
      </c>
      <c r="S81" s="24">
        <v>1</v>
      </c>
      <c r="T81" s="24">
        <v>0</v>
      </c>
      <c r="U81" s="24">
        <v>2</v>
      </c>
      <c r="V81" s="24" t="str">
        <v>VALENCIA</v>
      </c>
      <c r="W81" s="24" t="str">
        <v>825220108</v>
      </c>
      <c r="X81" s="24" t="str">
        <v>Magang</v>
      </c>
      <c r="Y81" s="24" t="str">
        <v>Dr. Wasino, S.Kom., M.Kom.</v>
      </c>
    </row>
    <row r="82" spans="1:25" ht="42.95" customHeight="1" x14ac:dyDescent="0.2">
      <c r="A82" s="8">
        <v>2</v>
      </c>
      <c r="B82" s="8">
        <v>1</v>
      </c>
      <c r="C82" s="8">
        <v>1</v>
      </c>
      <c r="D82" s="3">
        <v>535220117</v>
      </c>
      <c r="E82" s="3" t="s">
        <v>142</v>
      </c>
      <c r="F82" t="s">
        <v>169</v>
      </c>
      <c r="G82" s="25" cm="1">
        <f t="array" ref="G82">IF(AND(A82:C82=S82:U82),IF((F82=Y82),1,0),999)</f>
        <v>999</v>
      </c>
      <c r="H82" s="24"/>
      <c r="K82" s="5">
        <v>5</v>
      </c>
      <c r="L82" s="5">
        <v>0</v>
      </c>
      <c r="M82" s="5">
        <v>1</v>
      </c>
      <c r="N82" s="5" t="s">
        <v>968</v>
      </c>
      <c r="O82" s="5" t="s">
        <v>257</v>
      </c>
      <c r="P82" s="5" t="s">
        <v>142</v>
      </c>
      <c r="Q82" s="5" t="s">
        <v>160</v>
      </c>
      <c r="S82" s="24">
        <v>2</v>
      </c>
      <c r="T82" s="24">
        <v>0</v>
      </c>
      <c r="U82" s="24">
        <v>2</v>
      </c>
      <c r="V82" s="24" t="str">
        <v>GRACE TRIFOSA SAGALA</v>
      </c>
      <c r="W82" s="24" t="str">
        <v>825220125</v>
      </c>
      <c r="X82" s="24" t="str">
        <v>Magang</v>
      </c>
      <c r="Y82" s="24" t="str">
        <v>Dr. Wasino, S.Kom., M.Kom.</v>
      </c>
    </row>
    <row r="83" spans="1:25" ht="44.1" customHeight="1" x14ac:dyDescent="0.2">
      <c r="A83" s="8">
        <v>2</v>
      </c>
      <c r="B83" s="8">
        <v>1</v>
      </c>
      <c r="C83" s="8">
        <v>1</v>
      </c>
      <c r="D83" s="3">
        <v>535220177</v>
      </c>
      <c r="E83" s="3" t="s">
        <v>142</v>
      </c>
      <c r="F83" t="s">
        <v>169</v>
      </c>
      <c r="G83" s="25" cm="1">
        <f t="array" ref="G83">IF(AND(A83:C83=S83:U83),IF((F83=Y83),1,0),999)</f>
        <v>999</v>
      </c>
      <c r="H83" s="24"/>
      <c r="K83" s="5">
        <v>5</v>
      </c>
      <c r="L83" s="5">
        <v>0</v>
      </c>
      <c r="M83" s="5">
        <v>1</v>
      </c>
      <c r="N83" s="5" t="s">
        <v>969</v>
      </c>
      <c r="O83" s="5" t="s">
        <v>258</v>
      </c>
      <c r="P83" s="5" t="s">
        <v>142</v>
      </c>
      <c r="Q83" s="5" t="s">
        <v>160</v>
      </c>
      <c r="S83" s="24">
        <v>2</v>
      </c>
      <c r="T83" s="24">
        <v>0</v>
      </c>
      <c r="U83" s="24">
        <v>2</v>
      </c>
      <c r="V83" s="24" t="str">
        <v>PUTRI DEWI ZABITA</v>
      </c>
      <c r="W83" s="24" t="str">
        <v>825220135</v>
      </c>
      <c r="X83" s="24" t="str">
        <v>Magang</v>
      </c>
      <c r="Y83" s="24" t="str">
        <v>Dr. Wasino, S.Kom., M.Kom.</v>
      </c>
    </row>
    <row r="84" spans="1:25" ht="42.95" customHeight="1" x14ac:dyDescent="0.2">
      <c r="A84" s="8">
        <v>2</v>
      </c>
      <c r="B84" s="8">
        <v>1</v>
      </c>
      <c r="C84" s="8">
        <v>1</v>
      </c>
      <c r="D84" s="3">
        <v>535220180</v>
      </c>
      <c r="E84" s="3" t="s">
        <v>142</v>
      </c>
      <c r="F84" t="s">
        <v>169</v>
      </c>
      <c r="G84" s="25" cm="1">
        <f t="array" ref="G84">IF(AND(A84:C84=S84:U84),IF((F84=Y84),1,0),999)</f>
        <v>999</v>
      </c>
      <c r="H84" s="24"/>
      <c r="K84" s="5">
        <v>5</v>
      </c>
      <c r="L84" s="5">
        <v>0</v>
      </c>
      <c r="M84" s="5">
        <v>1</v>
      </c>
      <c r="N84" s="5" t="s">
        <v>970</v>
      </c>
      <c r="O84" s="5" t="s">
        <v>259</v>
      </c>
      <c r="P84" s="5" t="s">
        <v>142</v>
      </c>
      <c r="Q84" s="5" t="s">
        <v>160</v>
      </c>
      <c r="S84" s="24">
        <v>2</v>
      </c>
      <c r="T84" s="24">
        <v>0</v>
      </c>
      <c r="U84" s="24">
        <v>2</v>
      </c>
      <c r="V84" s="24" t="str">
        <v>ANDREAN PUTRA OSMAN</v>
      </c>
      <c r="W84" s="24" t="str">
        <v>825220136</v>
      </c>
      <c r="X84" s="24" t="str">
        <v>Magang</v>
      </c>
      <c r="Y84" s="24" t="str">
        <v>Dr. Wasino, S.Kom., M.Kom.</v>
      </c>
    </row>
    <row r="85" spans="1:25" ht="44.1" customHeight="1" x14ac:dyDescent="0.2">
      <c r="A85" s="8">
        <v>2</v>
      </c>
      <c r="B85" s="8">
        <v>1</v>
      </c>
      <c r="C85" s="8">
        <v>1</v>
      </c>
      <c r="D85" s="3">
        <v>535220181</v>
      </c>
      <c r="E85" s="3" t="s">
        <v>142</v>
      </c>
      <c r="F85" t="s">
        <v>169</v>
      </c>
      <c r="G85" s="25" cm="1">
        <f t="array" ref="G85">IF(AND(A85:C85=S85:U85),IF((F85=Y85),1,0),999)</f>
        <v>999</v>
      </c>
      <c r="H85" s="24"/>
      <c r="K85" s="5">
        <v>5</v>
      </c>
      <c r="L85" s="5">
        <v>0</v>
      </c>
      <c r="M85" s="5">
        <v>1</v>
      </c>
      <c r="N85" s="5" t="s">
        <v>971</v>
      </c>
      <c r="O85" s="5" t="s">
        <v>260</v>
      </c>
      <c r="P85" s="5" t="s">
        <v>142</v>
      </c>
      <c r="Q85" s="5" t="s">
        <v>160</v>
      </c>
      <c r="S85" s="24">
        <v>2</v>
      </c>
      <c r="T85" s="24">
        <v>0</v>
      </c>
      <c r="U85" s="24">
        <v>2</v>
      </c>
      <c r="V85" s="24" t="str">
        <v>BINTANG NOVIANSYAH SYAMSU</v>
      </c>
      <c r="W85" s="24" t="str">
        <v>825220138</v>
      </c>
      <c r="X85" s="24" t="str">
        <v>Magang</v>
      </c>
      <c r="Y85" s="24" t="str">
        <v>Dr. Wasino, S.Kom., M.Kom.</v>
      </c>
    </row>
    <row r="86" spans="1:25" ht="42.6" customHeight="1" x14ac:dyDescent="0.2">
      <c r="A86" s="8">
        <v>2</v>
      </c>
      <c r="B86" s="8">
        <v>1</v>
      </c>
      <c r="C86" s="8">
        <v>1</v>
      </c>
      <c r="D86" s="3">
        <v>535220263</v>
      </c>
      <c r="E86" s="3" t="s">
        <v>142</v>
      </c>
      <c r="F86" t="s">
        <v>169</v>
      </c>
      <c r="G86" s="25" cm="1">
        <f t="array" ref="G86">IF(AND(A86:C86=S86:U86),IF((F86=Y86),1,0),999)</f>
        <v>999</v>
      </c>
      <c r="H86" s="24"/>
      <c r="K86" s="5">
        <v>5</v>
      </c>
      <c r="L86" s="5">
        <v>0</v>
      </c>
      <c r="M86" s="5">
        <v>1</v>
      </c>
      <c r="N86" s="5" t="s">
        <v>972</v>
      </c>
      <c r="O86" s="5" t="s">
        <v>261</v>
      </c>
      <c r="P86" s="5" t="s">
        <v>142</v>
      </c>
      <c r="Q86" s="5" t="s">
        <v>160</v>
      </c>
      <c r="S86" s="24">
        <v>2</v>
      </c>
      <c r="T86" s="24">
        <v>0</v>
      </c>
      <c r="U86" s="24">
        <v>2</v>
      </c>
      <c r="V86" s="24" t="str">
        <v>THIRZA JUAN HALIM</v>
      </c>
      <c r="W86" s="24" t="str">
        <v>825220139</v>
      </c>
      <c r="X86" s="24" t="str">
        <v>Magang</v>
      </c>
      <c r="Y86" s="24" t="str">
        <v>Dr. Wasino, S.Kom., M.Kom.</v>
      </c>
    </row>
    <row r="87" spans="1:25" ht="44.1" customHeight="1" x14ac:dyDescent="0.2">
      <c r="A87" s="8">
        <v>3</v>
      </c>
      <c r="B87" s="8">
        <v>1</v>
      </c>
      <c r="C87" s="8">
        <v>1</v>
      </c>
      <c r="D87" s="3">
        <v>535220093</v>
      </c>
      <c r="E87" s="3" t="s">
        <v>142</v>
      </c>
      <c r="F87" t="s">
        <v>157</v>
      </c>
      <c r="G87" s="25" cm="1">
        <f t="array" ref="G87">IF(AND(A87:C87=S87:U87),IF((F87=Y87),1,0),999)</f>
        <v>999</v>
      </c>
      <c r="H87" s="24"/>
      <c r="K87" s="5">
        <v>5</v>
      </c>
      <c r="L87" s="5">
        <v>0</v>
      </c>
      <c r="M87" s="5">
        <v>2</v>
      </c>
      <c r="N87" s="5" t="s">
        <v>973</v>
      </c>
      <c r="O87" s="5" t="s">
        <v>262</v>
      </c>
      <c r="P87" s="5" t="s">
        <v>142</v>
      </c>
      <c r="Q87" s="5" t="s">
        <v>161</v>
      </c>
      <c r="S87" s="24">
        <v>3</v>
      </c>
      <c r="T87" s="24">
        <v>0</v>
      </c>
      <c r="U87" s="24">
        <v>2</v>
      </c>
      <c r="V87" s="24" t="str">
        <v>JASON SUTANTO</v>
      </c>
      <c r="W87" s="24" t="str">
        <v>535220052</v>
      </c>
      <c r="X87" s="24" t="str">
        <v>Magang</v>
      </c>
      <c r="Y87" s="24" t="str">
        <v>Herman Tusiadi, S.Kom., MM</v>
      </c>
    </row>
    <row r="88" spans="1:25" ht="44.1" customHeight="1" x14ac:dyDescent="0.2">
      <c r="A88" s="8">
        <v>3</v>
      </c>
      <c r="B88" s="8">
        <v>1</v>
      </c>
      <c r="C88" s="8">
        <v>1</v>
      </c>
      <c r="D88" s="3">
        <v>535220095</v>
      </c>
      <c r="E88" s="3" t="s">
        <v>142</v>
      </c>
      <c r="F88" t="s">
        <v>157</v>
      </c>
      <c r="G88" s="25" cm="1">
        <f t="array" ref="G88">IF(AND(A88:C88=S88:U88),IF((F88=Y88),1,0),999)</f>
        <v>999</v>
      </c>
      <c r="H88" s="24"/>
      <c r="K88" s="5">
        <v>5</v>
      </c>
      <c r="L88" s="5">
        <v>0</v>
      </c>
      <c r="M88" s="5">
        <v>2</v>
      </c>
      <c r="N88" s="5" t="s">
        <v>974</v>
      </c>
      <c r="O88" s="5" t="s">
        <v>263</v>
      </c>
      <c r="P88" s="5" t="s">
        <v>142</v>
      </c>
      <c r="Q88" s="5" t="s">
        <v>161</v>
      </c>
      <c r="S88" s="24">
        <v>3</v>
      </c>
      <c r="T88" s="24">
        <v>0</v>
      </c>
      <c r="U88" s="24">
        <v>2</v>
      </c>
      <c r="V88" s="24" t="str">
        <v>GREGORIO MELVIN KARNIKOV</v>
      </c>
      <c r="W88" s="24" t="str">
        <v>535220085</v>
      </c>
      <c r="X88" s="24" t="str">
        <v>Magang</v>
      </c>
      <c r="Y88" s="24" t="str">
        <v>Herman Tusiadi, S.Kom., MM</v>
      </c>
    </row>
    <row r="89" spans="1:25" ht="42.95" customHeight="1" x14ac:dyDescent="0.2">
      <c r="A89" s="8">
        <v>3</v>
      </c>
      <c r="B89" s="8">
        <v>1</v>
      </c>
      <c r="C89" s="8">
        <v>1</v>
      </c>
      <c r="D89" s="3">
        <v>535220112</v>
      </c>
      <c r="E89" s="3" t="s">
        <v>142</v>
      </c>
      <c r="F89" t="s">
        <v>157</v>
      </c>
      <c r="G89" s="25" cm="1">
        <f t="array" ref="G89">IF(AND(A89:C89=S89:U89),IF((F89=Y89),1,0),999)</f>
        <v>999</v>
      </c>
      <c r="H89" s="24"/>
      <c r="K89" s="5">
        <v>5</v>
      </c>
      <c r="L89" s="5">
        <v>0</v>
      </c>
      <c r="M89" s="5">
        <v>2</v>
      </c>
      <c r="N89" s="5" t="s">
        <v>975</v>
      </c>
      <c r="O89" s="5" t="s">
        <v>264</v>
      </c>
      <c r="P89" s="5" t="s">
        <v>142</v>
      </c>
      <c r="Q89" s="5" t="s">
        <v>161</v>
      </c>
      <c r="S89" s="24">
        <v>3</v>
      </c>
      <c r="T89" s="24">
        <v>0</v>
      </c>
      <c r="U89" s="24">
        <v>2</v>
      </c>
      <c r="V89" s="24" t="str">
        <v>FIGO VINCENZO</v>
      </c>
      <c r="W89" s="24" t="str">
        <v>535220087</v>
      </c>
      <c r="X89" s="24" t="str">
        <v>Magang</v>
      </c>
      <c r="Y89" s="24" t="str">
        <v>Herman Tusiadi, S.Kom., MM</v>
      </c>
    </row>
    <row r="90" spans="1:25" ht="43.7" customHeight="1" x14ac:dyDescent="0.2">
      <c r="A90" s="8">
        <v>3</v>
      </c>
      <c r="B90" s="8">
        <v>1</v>
      </c>
      <c r="C90" s="8">
        <v>1</v>
      </c>
      <c r="D90" s="3">
        <v>535220207</v>
      </c>
      <c r="E90" s="3" t="s">
        <v>142</v>
      </c>
      <c r="F90" t="s">
        <v>157</v>
      </c>
      <c r="G90" s="25" cm="1">
        <f t="array" ref="G90">IF(AND(A90:C90=S90:U90),IF((F90=Y90),1,0),999)</f>
        <v>999</v>
      </c>
      <c r="H90" s="24"/>
      <c r="K90" s="5">
        <v>5</v>
      </c>
      <c r="L90" s="5">
        <v>0</v>
      </c>
      <c r="M90" s="5">
        <v>2</v>
      </c>
      <c r="N90" s="5" t="s">
        <v>976</v>
      </c>
      <c r="O90" s="5" t="s">
        <v>265</v>
      </c>
      <c r="P90" s="5" t="s">
        <v>142</v>
      </c>
      <c r="Q90" s="5" t="s">
        <v>161</v>
      </c>
      <c r="S90" s="24">
        <v>3</v>
      </c>
      <c r="T90" s="24">
        <v>0</v>
      </c>
      <c r="U90" s="24">
        <v>2</v>
      </c>
      <c r="V90" s="24" t="str">
        <v>DEVANSKA UZIELTAMA MARDANUS</v>
      </c>
      <c r="W90" s="24" t="str">
        <v>535220089</v>
      </c>
      <c r="X90" s="24" t="str">
        <v>Magang</v>
      </c>
      <c r="Y90" s="24" t="str">
        <v>Herman Tusiadi, S.Kom., MM</v>
      </c>
    </row>
    <row r="91" spans="1:25" ht="43.7" customHeight="1" x14ac:dyDescent="0.2">
      <c r="A91" s="8">
        <v>3</v>
      </c>
      <c r="B91" s="8">
        <v>1</v>
      </c>
      <c r="C91" s="8">
        <v>1</v>
      </c>
      <c r="D91" s="3">
        <v>535220245</v>
      </c>
      <c r="E91" s="3" t="s">
        <v>142</v>
      </c>
      <c r="F91" t="s">
        <v>157</v>
      </c>
      <c r="G91" s="25" cm="1">
        <f t="array" ref="G91">IF(AND(A91:C91=S91:U91),IF((F91=Y91),1,0),999)</f>
        <v>999</v>
      </c>
      <c r="H91" s="24"/>
      <c r="K91" s="5">
        <v>5</v>
      </c>
      <c r="L91" s="5">
        <v>0</v>
      </c>
      <c r="M91" s="5">
        <v>2</v>
      </c>
      <c r="N91" s="5" t="s">
        <v>977</v>
      </c>
      <c r="O91" s="5" t="s">
        <v>266</v>
      </c>
      <c r="P91" s="5" t="s">
        <v>142</v>
      </c>
      <c r="Q91" s="5" t="s">
        <v>161</v>
      </c>
      <c r="S91" s="24">
        <v>3</v>
      </c>
      <c r="T91" s="24">
        <v>0</v>
      </c>
      <c r="U91" s="24">
        <v>2</v>
      </c>
      <c r="V91" s="24" t="str">
        <v>STEVEN</v>
      </c>
      <c r="W91" s="24" t="str">
        <v>535220091</v>
      </c>
      <c r="X91" s="24" t="str">
        <v>Magang</v>
      </c>
      <c r="Y91" s="24" t="str">
        <v>Herman Tusiadi, S.Kom., MM</v>
      </c>
    </row>
    <row r="92" spans="1:25" ht="42.95" customHeight="1" x14ac:dyDescent="0.2">
      <c r="A92" s="8">
        <v>4</v>
      </c>
      <c r="B92" s="8">
        <v>1</v>
      </c>
      <c r="C92" s="8">
        <v>1</v>
      </c>
      <c r="D92" s="3">
        <v>535200033</v>
      </c>
      <c r="E92" s="3" t="s">
        <v>143</v>
      </c>
      <c r="F92" t="s">
        <v>154</v>
      </c>
      <c r="G92" s="25" cm="1">
        <f t="array" ref="G92">IF(AND(A92:C92=S92:U92),IF((F92=Y92),1,0),999)</f>
        <v>999</v>
      </c>
      <c r="H92" s="24"/>
      <c r="K92" s="5">
        <v>6</v>
      </c>
      <c r="L92" s="5">
        <v>0</v>
      </c>
      <c r="M92" s="5">
        <v>0</v>
      </c>
      <c r="N92" s="5" t="s">
        <v>978</v>
      </c>
      <c r="O92" s="5" t="s">
        <v>267</v>
      </c>
      <c r="P92" s="5" t="s">
        <v>143</v>
      </c>
      <c r="Q92" s="5" t="s">
        <v>159</v>
      </c>
      <c r="S92" s="24">
        <v>4</v>
      </c>
      <c r="T92" s="24">
        <v>0</v>
      </c>
      <c r="U92" s="24">
        <v>2</v>
      </c>
      <c r="V92" s="24" t="str">
        <v>MARCO HADISURYA</v>
      </c>
      <c r="W92" s="24" t="str">
        <v>825220003</v>
      </c>
      <c r="X92" s="24" t="str">
        <v>Magang</v>
      </c>
      <c r="Y92" s="24" t="str">
        <v>Tri Sutrisno, S.Si., M.Sc.</v>
      </c>
    </row>
    <row r="93" spans="1:25" ht="44.1" customHeight="1" x14ac:dyDescent="0.2">
      <c r="A93" s="8">
        <v>4</v>
      </c>
      <c r="B93" s="8">
        <v>1</v>
      </c>
      <c r="C93" s="8">
        <v>1</v>
      </c>
      <c r="D93" s="3">
        <v>825220006</v>
      </c>
      <c r="E93" s="3" t="s">
        <v>143</v>
      </c>
      <c r="F93" t="s">
        <v>160</v>
      </c>
      <c r="G93" s="25" cm="1">
        <f t="array" ref="G93">IF(AND(A93:C93=S93:U93),IF((F93=Y93),1,0),999)</f>
        <v>999</v>
      </c>
      <c r="H93" s="24"/>
      <c r="K93" s="5">
        <v>6</v>
      </c>
      <c r="L93" s="5">
        <v>0</v>
      </c>
      <c r="M93" s="5">
        <v>0</v>
      </c>
      <c r="N93" s="5" t="s">
        <v>979</v>
      </c>
      <c r="O93" s="5" t="s">
        <v>268</v>
      </c>
      <c r="P93" s="5" t="s">
        <v>143</v>
      </c>
      <c r="Q93" s="5" t="s">
        <v>159</v>
      </c>
      <c r="S93" s="24">
        <v>4</v>
      </c>
      <c r="T93" s="24">
        <v>0</v>
      </c>
      <c r="U93" s="24">
        <v>2</v>
      </c>
      <c r="V93" s="24" t="str">
        <v>MILLY MILLAGROS</v>
      </c>
      <c r="W93" s="24" t="str">
        <v>825220014</v>
      </c>
      <c r="X93" s="24" t="str">
        <v>Magang</v>
      </c>
      <c r="Y93" s="24" t="str">
        <v>Tri Sutrisno, S.Si., M.Sc.</v>
      </c>
    </row>
    <row r="94" spans="1:25" ht="42.95" customHeight="1" x14ac:dyDescent="0.2">
      <c r="A94" s="8">
        <v>4</v>
      </c>
      <c r="B94" s="8">
        <v>1</v>
      </c>
      <c r="C94" s="8">
        <v>1</v>
      </c>
      <c r="D94" s="3">
        <v>825220011</v>
      </c>
      <c r="E94" s="3" t="s">
        <v>143</v>
      </c>
      <c r="F94" t="s">
        <v>160</v>
      </c>
      <c r="G94" s="25" cm="1">
        <f t="array" ref="G94">IF(AND(A94:C94=S94:U94),IF((F94=Y94),1,0),999)</f>
        <v>999</v>
      </c>
      <c r="H94" s="24"/>
      <c r="K94" s="5">
        <v>6</v>
      </c>
      <c r="L94" s="5">
        <v>0</v>
      </c>
      <c r="M94" s="5">
        <v>0</v>
      </c>
      <c r="N94" s="5" t="s">
        <v>980</v>
      </c>
      <c r="O94" s="5" t="s">
        <v>269</v>
      </c>
      <c r="P94" s="5" t="s">
        <v>143</v>
      </c>
      <c r="Q94" s="5" t="s">
        <v>159</v>
      </c>
      <c r="S94" s="24">
        <v>4</v>
      </c>
      <c r="T94" s="24">
        <v>0</v>
      </c>
      <c r="U94" s="24">
        <v>2</v>
      </c>
      <c r="V94" s="24" t="str">
        <v>CINDY ANGELLINE</v>
      </c>
      <c r="W94" s="24" t="str">
        <v>825220019</v>
      </c>
      <c r="X94" s="24" t="str">
        <v>Magang</v>
      </c>
      <c r="Y94" s="24" t="str">
        <v>Tri Sutrisno, S.Si., M.Sc.</v>
      </c>
    </row>
    <row r="95" spans="1:25" ht="44.1" customHeight="1" x14ac:dyDescent="0.2">
      <c r="A95" s="8">
        <v>4</v>
      </c>
      <c r="B95" s="8">
        <v>1</v>
      </c>
      <c r="C95" s="8">
        <v>1</v>
      </c>
      <c r="D95" s="3">
        <v>825220002</v>
      </c>
      <c r="E95" s="3" t="s">
        <v>142</v>
      </c>
      <c r="F95" t="s">
        <v>160</v>
      </c>
      <c r="G95" s="25" cm="1">
        <f t="array" ref="G95">IF(AND(A95:C95=S95:U95),IF((F95=Y95),1,0),999)</f>
        <v>999</v>
      </c>
      <c r="H95" s="24"/>
      <c r="K95" s="5">
        <v>6</v>
      </c>
      <c r="L95" s="5">
        <v>0</v>
      </c>
      <c r="M95" s="5">
        <v>0</v>
      </c>
      <c r="N95" s="5" t="s">
        <v>981</v>
      </c>
      <c r="O95" s="5" t="s">
        <v>270</v>
      </c>
      <c r="P95" s="5" t="s">
        <v>143</v>
      </c>
      <c r="Q95" s="5" t="s">
        <v>159</v>
      </c>
      <c r="S95" s="24">
        <v>4</v>
      </c>
      <c r="T95" s="24">
        <v>0</v>
      </c>
      <c r="U95" s="24">
        <v>2</v>
      </c>
      <c r="V95" s="24" t="str">
        <v>MICHAEL</v>
      </c>
      <c r="W95" s="24" t="str">
        <v>825220036</v>
      </c>
      <c r="X95" s="24" t="str">
        <v>Magang</v>
      </c>
      <c r="Y95" s="24" t="str">
        <v>Tri Sutrisno, S.Si., M.Sc.</v>
      </c>
    </row>
    <row r="96" spans="1:25" ht="43.7" customHeight="1" x14ac:dyDescent="0.2">
      <c r="A96" s="8">
        <v>4</v>
      </c>
      <c r="B96" s="8">
        <v>1</v>
      </c>
      <c r="C96" s="8">
        <v>1</v>
      </c>
      <c r="D96" s="3">
        <v>825220009</v>
      </c>
      <c r="E96" s="3" t="s">
        <v>142</v>
      </c>
      <c r="F96" t="s">
        <v>160</v>
      </c>
      <c r="G96" s="25" cm="1">
        <f t="array" ref="G96">IF(AND(A96:C96=S96:U96),IF((F96=Y96),1,0),999)</f>
        <v>999</v>
      </c>
      <c r="H96" s="24"/>
      <c r="K96" s="5">
        <v>6</v>
      </c>
      <c r="L96" s="5">
        <v>0</v>
      </c>
      <c r="M96" s="5">
        <v>0</v>
      </c>
      <c r="N96" s="5" t="s">
        <v>982</v>
      </c>
      <c r="O96" s="5" t="s">
        <v>271</v>
      </c>
      <c r="P96" s="5" t="s">
        <v>143</v>
      </c>
      <c r="Q96" s="5" t="s">
        <v>159</v>
      </c>
      <c r="S96" s="24">
        <v>4</v>
      </c>
      <c r="T96" s="24">
        <v>0</v>
      </c>
      <c r="U96" s="24">
        <v>2</v>
      </c>
      <c r="V96" s="24" t="str">
        <v>JOSHUA MARVIN</v>
      </c>
      <c r="W96" s="24" t="str">
        <v>825220062</v>
      </c>
      <c r="X96" s="24" t="str">
        <v>Magang</v>
      </c>
      <c r="Y96" s="24" t="str">
        <v>Tri Sutrisno, S.Si., M.Sc.</v>
      </c>
    </row>
    <row r="97" spans="1:25" ht="43.5" customHeight="1" x14ac:dyDescent="0.2">
      <c r="A97" s="8">
        <v>5</v>
      </c>
      <c r="B97" s="8">
        <v>1</v>
      </c>
      <c r="C97" s="8">
        <v>1</v>
      </c>
      <c r="D97" s="3">
        <v>535220022</v>
      </c>
      <c r="E97" s="3" t="s">
        <v>142</v>
      </c>
      <c r="F97" t="s">
        <v>154</v>
      </c>
      <c r="G97" s="25" cm="1">
        <f t="array" ref="G97">IF(AND(A97:C97=S97:U97),IF((F97=Y97),1,0),999)</f>
        <v>999</v>
      </c>
      <c r="H97" s="24"/>
      <c r="K97" s="5">
        <v>6</v>
      </c>
      <c r="L97" s="5">
        <v>0</v>
      </c>
      <c r="M97" s="5">
        <v>1</v>
      </c>
      <c r="N97" s="5" t="s">
        <v>983</v>
      </c>
      <c r="O97" s="5" t="s">
        <v>272</v>
      </c>
      <c r="P97" s="5" t="s">
        <v>142</v>
      </c>
      <c r="Q97" s="5" t="s">
        <v>160</v>
      </c>
      <c r="S97" s="24">
        <v>5</v>
      </c>
      <c r="T97" s="24">
        <v>0</v>
      </c>
      <c r="U97" s="24">
        <v>2</v>
      </c>
      <c r="V97" s="24" t="str">
        <v>AURELIA PANGESTU</v>
      </c>
      <c r="W97" s="24" t="str">
        <v>825220120</v>
      </c>
      <c r="X97" s="24" t="str">
        <v>Magang</v>
      </c>
      <c r="Y97" s="24" t="str">
        <v>Tri Sutrisno, S.Si., M.Sc.</v>
      </c>
    </row>
    <row r="98" spans="1:25" ht="44.1" customHeight="1" x14ac:dyDescent="0.2">
      <c r="A98" s="8">
        <v>5</v>
      </c>
      <c r="B98" s="8">
        <v>1</v>
      </c>
      <c r="C98" s="8">
        <v>1</v>
      </c>
      <c r="D98" s="3">
        <v>535220023</v>
      </c>
      <c r="E98" s="3" t="s">
        <v>142</v>
      </c>
      <c r="F98" t="s">
        <v>154</v>
      </c>
      <c r="G98" s="25" cm="1">
        <f t="array" ref="G98">IF(AND(A98:C98=S98:U98),IF((F98=Y98),1,0),999)</f>
        <v>999</v>
      </c>
      <c r="H98" s="24"/>
      <c r="K98" s="5">
        <v>6</v>
      </c>
      <c r="L98" s="5">
        <v>0</v>
      </c>
      <c r="M98" s="5">
        <v>1</v>
      </c>
      <c r="N98" s="5" t="s">
        <v>984</v>
      </c>
      <c r="O98" s="5" t="s">
        <v>273</v>
      </c>
      <c r="P98" s="5" t="s">
        <v>143</v>
      </c>
      <c r="Q98" s="5" t="s">
        <v>160</v>
      </c>
      <c r="S98" s="24">
        <v>5</v>
      </c>
      <c r="T98" s="24">
        <v>0</v>
      </c>
      <c r="U98" s="24">
        <v>2</v>
      </c>
      <c r="V98" s="24" t="str">
        <v>SAOLOAN NATAN YOEL SILALAHI</v>
      </c>
      <c r="W98" s="24" t="str">
        <v>825220134</v>
      </c>
      <c r="X98" s="24" t="str">
        <v>Magang</v>
      </c>
      <c r="Y98" s="24" t="str">
        <v>Tri Sutrisno, S.Si., M.Sc.</v>
      </c>
    </row>
    <row r="99" spans="1:25" ht="42.95" customHeight="1" x14ac:dyDescent="0.2">
      <c r="A99" s="8">
        <v>5</v>
      </c>
      <c r="B99" s="8">
        <v>1</v>
      </c>
      <c r="C99" s="8">
        <v>1</v>
      </c>
      <c r="D99" s="3">
        <v>535220028</v>
      </c>
      <c r="E99" s="3" t="s">
        <v>142</v>
      </c>
      <c r="F99" t="s">
        <v>154</v>
      </c>
      <c r="G99" s="25" cm="1">
        <f t="array" ref="G99">IF(AND(A99:C99=S99:U99),IF((F99=Y99),1,0),999)</f>
        <v>999</v>
      </c>
      <c r="H99" s="24"/>
      <c r="K99" s="5">
        <v>6</v>
      </c>
      <c r="L99" s="5">
        <v>0</v>
      </c>
      <c r="M99" s="5">
        <v>1</v>
      </c>
      <c r="N99" s="5" t="s">
        <v>985</v>
      </c>
      <c r="O99" s="5" t="s">
        <v>274</v>
      </c>
      <c r="P99" s="5" t="s">
        <v>143</v>
      </c>
      <c r="Q99" s="5" t="s">
        <v>160</v>
      </c>
      <c r="S99" s="24">
        <v>5</v>
      </c>
      <c r="T99" s="24">
        <v>0</v>
      </c>
      <c r="U99" s="24">
        <v>2</v>
      </c>
      <c r="V99" s="24" t="str">
        <v>DIMAS PRATAMA MARCEL</v>
      </c>
      <c r="W99" s="24" t="str">
        <v>825220155</v>
      </c>
      <c r="X99" s="24" t="str">
        <v>Magang</v>
      </c>
      <c r="Y99" s="24" t="str">
        <v>Tri Sutrisno, S.Si., M.Sc.</v>
      </c>
    </row>
    <row r="100" spans="1:25" ht="44.1" customHeight="1" x14ac:dyDescent="0.2">
      <c r="A100" s="8">
        <v>5</v>
      </c>
      <c r="B100" s="8">
        <v>1</v>
      </c>
      <c r="C100" s="8">
        <v>1</v>
      </c>
      <c r="D100" s="3">
        <v>535220031</v>
      </c>
      <c r="E100" s="3" t="s">
        <v>142</v>
      </c>
      <c r="F100" t="s">
        <v>154</v>
      </c>
      <c r="G100" s="25" cm="1">
        <f t="array" ref="G100">IF(AND(A100:C100=S100:U100),IF((F100=Y100),1,0),999)</f>
        <v>999</v>
      </c>
      <c r="H100" s="24"/>
      <c r="K100" s="5">
        <v>6</v>
      </c>
      <c r="L100" s="5">
        <v>0</v>
      </c>
      <c r="M100" s="5">
        <v>1</v>
      </c>
      <c r="N100" s="5" t="s">
        <v>986</v>
      </c>
      <c r="O100" s="5" t="s">
        <v>275</v>
      </c>
      <c r="P100" s="5" t="s">
        <v>144</v>
      </c>
      <c r="Q100" s="5" t="s">
        <v>160</v>
      </c>
      <c r="S100" s="24">
        <v>5</v>
      </c>
      <c r="T100" s="24">
        <v>0</v>
      </c>
      <c r="U100" s="24">
        <v>2</v>
      </c>
      <c r="V100" s="24" t="str">
        <v>MIGUEL FLORENSIUS SUSANTO</v>
      </c>
      <c r="W100" s="24" t="str">
        <v>825220182</v>
      </c>
      <c r="X100" s="24" t="str">
        <v>Magang</v>
      </c>
      <c r="Y100" s="24" t="str">
        <v>Tri Sutrisno, S.Si., M.Sc.</v>
      </c>
    </row>
    <row r="101" spans="1:25" ht="33" customHeight="1" x14ac:dyDescent="0.2">
      <c r="A101" s="8">
        <v>5</v>
      </c>
      <c r="B101" s="8">
        <v>1</v>
      </c>
      <c r="C101" s="8">
        <v>1</v>
      </c>
      <c r="D101" s="4">
        <v>535220060</v>
      </c>
      <c r="E101" s="3" t="s">
        <v>142</v>
      </c>
      <c r="F101" t="s">
        <v>154</v>
      </c>
      <c r="G101" s="25" cm="1">
        <f t="array" ref="G101">IF(AND(A101:C101=S101:U101),IF((F101=Y101),1,0),999)</f>
        <v>999</v>
      </c>
      <c r="H101" s="24"/>
      <c r="K101" s="5">
        <v>6</v>
      </c>
      <c r="L101" s="5">
        <v>0</v>
      </c>
      <c r="M101" s="5">
        <v>1</v>
      </c>
      <c r="N101" s="5" t="s">
        <v>987</v>
      </c>
      <c r="O101" s="5" t="s">
        <v>276</v>
      </c>
      <c r="P101" s="5" t="s">
        <v>144</v>
      </c>
      <c r="Q101" s="5" t="s">
        <v>160</v>
      </c>
      <c r="S101" s="24">
        <v>5</v>
      </c>
      <c r="T101" s="24">
        <v>0</v>
      </c>
      <c r="U101" s="24">
        <v>2</v>
      </c>
      <c r="V101" s="24" t="str">
        <v xml:space="preserve">RADEN RORY SOLOMON REKSOHADINOTO </v>
      </c>
      <c r="W101" s="24" t="str">
        <v>825249102</v>
      </c>
      <c r="X101" s="24" t="str">
        <v>Magang</v>
      </c>
      <c r="Y101" s="24" t="str">
        <v>Tri Sutrisno, S.Si., M.Sc.</v>
      </c>
    </row>
    <row r="102" spans="1:25" ht="44.1" customHeight="1" x14ac:dyDescent="0.2">
      <c r="A102" s="8">
        <v>0</v>
      </c>
      <c r="B102" s="8">
        <v>2</v>
      </c>
      <c r="C102" s="8">
        <v>0</v>
      </c>
      <c r="D102" s="3">
        <v>825220162</v>
      </c>
      <c r="E102" s="3" t="s">
        <v>144</v>
      </c>
      <c r="F102" t="s">
        <v>160</v>
      </c>
      <c r="G102" s="25" cm="1">
        <f t="array" ref="G102">IF(AND(A102:C102=S102:U102),IF((F102=Y102),1,0),999)</f>
        <v>999</v>
      </c>
      <c r="H102" s="24"/>
      <c r="K102" s="5">
        <v>6</v>
      </c>
      <c r="L102" s="5">
        <v>0</v>
      </c>
      <c r="M102" s="5">
        <v>2</v>
      </c>
      <c r="N102" s="5" t="s">
        <v>988</v>
      </c>
      <c r="O102" s="5" t="s">
        <v>277</v>
      </c>
      <c r="P102" s="5" t="s">
        <v>143</v>
      </c>
      <c r="Q102" s="5" t="s">
        <v>161</v>
      </c>
      <c r="S102" s="24">
        <v>6</v>
      </c>
      <c r="T102" s="24">
        <v>0</v>
      </c>
      <c r="U102" s="24">
        <v>2</v>
      </c>
      <c r="V102" s="24" t="str">
        <v>VIONA</v>
      </c>
      <c r="W102" s="24" t="str">
        <v>825220145</v>
      </c>
      <c r="X102" s="24" t="str">
        <v>Stupen</v>
      </c>
      <c r="Y102" s="24" t="str">
        <v>Tri Sutrisno, S.Si., M.Sc.</v>
      </c>
    </row>
    <row r="103" spans="1:25" ht="42.95" customHeight="1" x14ac:dyDescent="0.2">
      <c r="A103" s="8">
        <v>0</v>
      </c>
      <c r="B103" s="8">
        <v>2</v>
      </c>
      <c r="C103" s="8">
        <v>0</v>
      </c>
      <c r="D103" s="3">
        <v>825220183</v>
      </c>
      <c r="E103" s="3" t="s">
        <v>144</v>
      </c>
      <c r="F103" t="s">
        <v>160</v>
      </c>
      <c r="G103" s="25" cm="1">
        <f t="array" ref="G103">IF(AND(A103:C103=S103:U103),IF((F103=Y103),1,0),999)</f>
        <v>999</v>
      </c>
      <c r="H103" s="24"/>
      <c r="K103" s="5">
        <v>6</v>
      </c>
      <c r="L103" s="5">
        <v>0</v>
      </c>
      <c r="M103" s="5">
        <v>2</v>
      </c>
      <c r="N103" s="5" t="s">
        <v>989</v>
      </c>
      <c r="O103" s="5" t="s">
        <v>278</v>
      </c>
      <c r="P103" s="5" t="s">
        <v>143</v>
      </c>
      <c r="Q103" s="5" t="s">
        <v>161</v>
      </c>
      <c r="S103" s="24">
        <v>6</v>
      </c>
      <c r="T103" s="24">
        <v>0</v>
      </c>
      <c r="U103" s="24">
        <v>2</v>
      </c>
      <c r="V103" s="24" t="str">
        <v>CARLSON JINGGA</v>
      </c>
      <c r="W103" s="24" t="str">
        <v>825220148</v>
      </c>
      <c r="X103" s="24" t="str">
        <v>Stupen</v>
      </c>
      <c r="Y103" s="24" t="str">
        <v>Tri Sutrisno, S.Si., M.Sc.</v>
      </c>
    </row>
    <row r="104" spans="1:25" ht="44.1" customHeight="1" x14ac:dyDescent="0.2">
      <c r="A104" s="8">
        <v>0</v>
      </c>
      <c r="B104" s="8">
        <v>2</v>
      </c>
      <c r="C104" s="8">
        <v>0</v>
      </c>
      <c r="D104" s="3">
        <v>535220079</v>
      </c>
      <c r="E104" s="3" t="s">
        <v>144</v>
      </c>
      <c r="F104" t="s">
        <v>168</v>
      </c>
      <c r="G104" s="25" cm="1">
        <f t="array" ref="G104">IF(AND(A104:C104=S104:U104),IF((F104=Y104),1,0),999)</f>
        <v>999</v>
      </c>
      <c r="H104" s="24"/>
      <c r="K104" s="5">
        <v>6</v>
      </c>
      <c r="L104" s="5">
        <v>0</v>
      </c>
      <c r="M104" s="5">
        <v>2</v>
      </c>
      <c r="N104" s="5" t="s">
        <v>990</v>
      </c>
      <c r="O104" s="5" t="s">
        <v>279</v>
      </c>
      <c r="P104" s="5" t="s">
        <v>143</v>
      </c>
      <c r="Q104" s="5" t="s">
        <v>161</v>
      </c>
      <c r="S104" s="24">
        <v>6</v>
      </c>
      <c r="T104" s="24">
        <v>0</v>
      </c>
      <c r="U104" s="24">
        <v>2</v>
      </c>
      <c r="V104" s="24" t="str">
        <v>ARIEFAH NANDA EKA PUTRIANTI</v>
      </c>
      <c r="W104" s="24" t="str">
        <v>825220150</v>
      </c>
      <c r="X104" s="24" t="str">
        <v>Stupen</v>
      </c>
      <c r="Y104" s="24" t="str">
        <v>Tri Sutrisno, S.Si., M.Sc.</v>
      </c>
    </row>
    <row r="105" spans="1:25" ht="44.1" customHeight="1" x14ac:dyDescent="0.2">
      <c r="A105" s="8">
        <v>0</v>
      </c>
      <c r="B105" s="8">
        <v>2</v>
      </c>
      <c r="C105" s="8">
        <v>0</v>
      </c>
      <c r="D105" s="3">
        <v>535220016</v>
      </c>
      <c r="E105" s="3" t="s">
        <v>142</v>
      </c>
      <c r="F105" t="s">
        <v>169</v>
      </c>
      <c r="G105" s="25" cm="1">
        <f t="array" ref="G105">IF(AND(A105:C105=S105:U105),IF((F105=Y105),1,0),999)</f>
        <v>999</v>
      </c>
      <c r="H105" s="24"/>
      <c r="K105" s="5">
        <v>6</v>
      </c>
      <c r="L105" s="5">
        <v>0</v>
      </c>
      <c r="M105" s="5">
        <v>2</v>
      </c>
      <c r="N105" s="5" t="s">
        <v>991</v>
      </c>
      <c r="O105" s="5" t="s">
        <v>280</v>
      </c>
      <c r="P105" s="5" t="s">
        <v>143</v>
      </c>
      <c r="Q105" s="5" t="s">
        <v>161</v>
      </c>
      <c r="S105" s="24">
        <v>6</v>
      </c>
      <c r="T105" s="24">
        <v>0</v>
      </c>
      <c r="U105" s="24">
        <v>2</v>
      </c>
      <c r="V105" s="24" t="str">
        <v>SUDHIVADDHANA GOEN</v>
      </c>
      <c r="W105" s="24" t="str">
        <v>825220181</v>
      </c>
      <c r="X105" s="24" t="str">
        <v>Stupen</v>
      </c>
      <c r="Y105" s="24" t="str">
        <v>Tri Sutrisno, S.Si., M.Sc.</v>
      </c>
    </row>
    <row r="106" spans="1:25" ht="43.5" customHeight="1" x14ac:dyDescent="0.2">
      <c r="A106" s="8">
        <v>0</v>
      </c>
      <c r="B106" s="8">
        <v>2</v>
      </c>
      <c r="C106" s="8">
        <v>0</v>
      </c>
      <c r="D106" s="3">
        <v>535220018</v>
      </c>
      <c r="E106" s="3" t="s">
        <v>142</v>
      </c>
      <c r="F106" t="s">
        <v>169</v>
      </c>
      <c r="G106" s="25" cm="1">
        <f t="array" ref="G106">IF(AND(A106:C106=S106:U106),IF((F106=Y106),1,0),999)</f>
        <v>999</v>
      </c>
      <c r="H106" s="24"/>
      <c r="K106" s="5">
        <v>6</v>
      </c>
      <c r="L106" s="5">
        <v>0</v>
      </c>
      <c r="M106" s="5">
        <v>2</v>
      </c>
      <c r="N106" s="5" t="s">
        <v>992</v>
      </c>
      <c r="O106" s="5" t="s">
        <v>281</v>
      </c>
      <c r="P106" s="5" t="s">
        <v>143</v>
      </c>
      <c r="Q106" s="5" t="s">
        <v>161</v>
      </c>
      <c r="S106" s="24">
        <v>6</v>
      </c>
      <c r="T106" s="24">
        <v>0</v>
      </c>
      <c r="U106" s="24">
        <v>2</v>
      </c>
      <c r="V106" s="24" t="str">
        <v>JASSEN SANDRIO</v>
      </c>
      <c r="W106" s="24" t="str">
        <v>825239201</v>
      </c>
      <c r="X106" s="24" t="str">
        <v>Stupen</v>
      </c>
      <c r="Y106" s="24" t="str">
        <v>Tri Sutrisno, S.Si., M.Sc.</v>
      </c>
    </row>
    <row r="107" spans="1:25" ht="42.95" customHeight="1" x14ac:dyDescent="0.2">
      <c r="A107" s="8">
        <v>4</v>
      </c>
      <c r="B107" s="8">
        <v>2</v>
      </c>
      <c r="C107" s="8">
        <v>0</v>
      </c>
      <c r="D107" s="3">
        <v>535220001</v>
      </c>
      <c r="E107" s="3" t="s">
        <v>142</v>
      </c>
      <c r="F107" t="s">
        <v>166</v>
      </c>
      <c r="G107" s="25" cm="1">
        <f t="array" ref="G107">IF(AND(A107:C107=S107:U107),IF((F107=Y107),1,0),999)</f>
        <v>999</v>
      </c>
      <c r="H107" s="24"/>
      <c r="K107" s="5">
        <v>0</v>
      </c>
      <c r="L107" s="5">
        <v>1</v>
      </c>
      <c r="M107" s="5">
        <v>0</v>
      </c>
      <c r="N107" s="5" t="s">
        <v>993</v>
      </c>
      <c r="O107" s="5" t="s">
        <v>282</v>
      </c>
      <c r="P107" s="5" t="s">
        <v>142</v>
      </c>
      <c r="Q107" s="5" t="s">
        <v>162</v>
      </c>
      <c r="S107" s="24">
        <v>0</v>
      </c>
      <c r="T107" s="24">
        <v>1</v>
      </c>
      <c r="U107" s="24">
        <v>0</v>
      </c>
      <c r="V107" s="24" t="str">
        <v>NICOLAS PHI</v>
      </c>
      <c r="W107" s="24" t="str">
        <v>825220075</v>
      </c>
      <c r="X107" s="24" t="str">
        <v>Magang</v>
      </c>
      <c r="Y107" s="24" t="str">
        <v>Desi Arisandi, S.Kom., MTI</v>
      </c>
    </row>
    <row r="108" spans="1:25" ht="44.1" customHeight="1" x14ac:dyDescent="0.2">
      <c r="A108" s="8">
        <v>4</v>
      </c>
      <c r="B108" s="8">
        <v>2</v>
      </c>
      <c r="C108" s="8">
        <v>0</v>
      </c>
      <c r="D108" s="3">
        <v>535220010</v>
      </c>
      <c r="E108" s="3" t="s">
        <v>142</v>
      </c>
      <c r="F108" t="s">
        <v>166</v>
      </c>
      <c r="G108" s="25" cm="1">
        <f t="array" ref="G108">IF(AND(A108:C108=S108:U108),IF((F108=Y108),1,0),999)</f>
        <v>999</v>
      </c>
      <c r="H108" s="24"/>
      <c r="K108" s="5">
        <v>0</v>
      </c>
      <c r="L108" s="5">
        <v>1</v>
      </c>
      <c r="M108" s="5">
        <v>0</v>
      </c>
      <c r="N108" s="5" t="s">
        <v>994</v>
      </c>
      <c r="O108" s="5" t="s">
        <v>283</v>
      </c>
      <c r="P108" s="5" t="s">
        <v>142</v>
      </c>
      <c r="Q108" s="5" t="s">
        <v>162</v>
      </c>
      <c r="S108" s="24">
        <v>0</v>
      </c>
      <c r="T108" s="24">
        <v>1</v>
      </c>
      <c r="U108" s="24">
        <v>0</v>
      </c>
      <c r="V108" s="24" t="str">
        <v>WILLIAM</v>
      </c>
      <c r="W108" s="24" t="str">
        <v>825220084</v>
      </c>
      <c r="X108" s="24" t="str">
        <v>Magang</v>
      </c>
      <c r="Y108" s="24" t="str">
        <v>Desi Arisandi, S.Kom., MTI</v>
      </c>
    </row>
    <row r="109" spans="1:25" ht="42.95" customHeight="1" x14ac:dyDescent="0.2">
      <c r="A109" s="8">
        <v>4</v>
      </c>
      <c r="B109" s="8">
        <v>2</v>
      </c>
      <c r="C109" s="8">
        <v>0</v>
      </c>
      <c r="D109" s="3">
        <v>535220017</v>
      </c>
      <c r="E109" s="3" t="s">
        <v>142</v>
      </c>
      <c r="F109" t="s">
        <v>166</v>
      </c>
      <c r="G109" s="25" cm="1">
        <f t="array" ref="G109">IF(AND(A109:C109=S109:U109),IF((F109=Y109),1,0),999)</f>
        <v>999</v>
      </c>
      <c r="H109" s="24"/>
      <c r="K109" s="5">
        <v>0</v>
      </c>
      <c r="L109" s="5">
        <v>1</v>
      </c>
      <c r="M109" s="5">
        <v>0</v>
      </c>
      <c r="N109" s="5" t="s">
        <v>995</v>
      </c>
      <c r="O109" s="5" t="s">
        <v>284</v>
      </c>
      <c r="P109" s="5" t="s">
        <v>143</v>
      </c>
      <c r="Q109" s="5" t="s">
        <v>162</v>
      </c>
      <c r="S109" s="24">
        <v>0</v>
      </c>
      <c r="T109" s="24">
        <v>1</v>
      </c>
      <c r="U109" s="24">
        <v>0</v>
      </c>
      <c r="V109" s="24" t="str">
        <v>EDWARD HARLLEYANDY CUANGARTA</v>
      </c>
      <c r="W109" s="24" t="str">
        <v>825220087</v>
      </c>
      <c r="X109" s="24" t="str">
        <v>Stupen</v>
      </c>
      <c r="Y109" s="24" t="str">
        <v>Desi Arisandi, S.Kom., MTI</v>
      </c>
    </row>
    <row r="110" spans="1:25" ht="44.1" customHeight="1" x14ac:dyDescent="0.2">
      <c r="A110" s="8">
        <v>4</v>
      </c>
      <c r="B110" s="8">
        <v>2</v>
      </c>
      <c r="C110" s="8">
        <v>0</v>
      </c>
      <c r="D110" s="3">
        <v>535220019</v>
      </c>
      <c r="E110" s="3" t="s">
        <v>142</v>
      </c>
      <c r="F110" t="s">
        <v>166</v>
      </c>
      <c r="G110" s="25" cm="1">
        <f t="array" ref="G110">IF(AND(A110:C110=S110:U110),IF((F110=Y110),1,0),999)</f>
        <v>999</v>
      </c>
      <c r="H110" s="24"/>
      <c r="K110" s="5">
        <v>0</v>
      </c>
      <c r="L110" s="5">
        <v>1</v>
      </c>
      <c r="M110" s="5">
        <v>0</v>
      </c>
      <c r="N110" s="5" t="s">
        <v>996</v>
      </c>
      <c r="O110" s="5" t="s">
        <v>285</v>
      </c>
      <c r="P110" s="5" t="s">
        <v>143</v>
      </c>
      <c r="Q110" s="5" t="s">
        <v>162</v>
      </c>
      <c r="S110" s="24">
        <v>0</v>
      </c>
      <c r="T110" s="24">
        <v>1</v>
      </c>
      <c r="U110" s="24">
        <v>0</v>
      </c>
      <c r="V110" s="24" t="str">
        <v>LUIS FEBRY</v>
      </c>
      <c r="W110" s="24" t="str">
        <v>825220088</v>
      </c>
      <c r="X110" s="24" t="str">
        <v>Stupen</v>
      </c>
      <c r="Y110" s="24" t="str">
        <v>Desi Arisandi, S.Kom., MTI</v>
      </c>
    </row>
    <row r="111" spans="1:25" ht="42.6" customHeight="1" x14ac:dyDescent="0.2">
      <c r="A111" s="8">
        <v>4</v>
      </c>
      <c r="B111" s="8">
        <v>2</v>
      </c>
      <c r="C111" s="8">
        <v>0</v>
      </c>
      <c r="D111" s="3">
        <v>535220262</v>
      </c>
      <c r="E111" s="3" t="s">
        <v>142</v>
      </c>
      <c r="F111" t="s">
        <v>166</v>
      </c>
      <c r="G111" s="25" cm="1">
        <f t="array" ref="G111">IF(AND(A111:C111=S111:U111),IF((F111=Y111),1,0),999)</f>
        <v>999</v>
      </c>
      <c r="H111" s="24"/>
      <c r="K111" s="5">
        <v>0</v>
      </c>
      <c r="L111" s="5">
        <v>1</v>
      </c>
      <c r="M111" s="5">
        <v>0</v>
      </c>
      <c r="N111" s="5" t="s">
        <v>997</v>
      </c>
      <c r="O111" s="5" t="s">
        <v>286</v>
      </c>
      <c r="P111" s="5" t="s">
        <v>143</v>
      </c>
      <c r="Q111" s="5" t="s">
        <v>162</v>
      </c>
      <c r="S111" s="24">
        <v>0</v>
      </c>
      <c r="T111" s="24">
        <v>1</v>
      </c>
      <c r="U111" s="24">
        <v>0</v>
      </c>
      <c r="V111" s="24" t="str">
        <v>ALLEGRA FLAVIA FELITA</v>
      </c>
      <c r="W111" s="24" t="str">
        <v>825220093</v>
      </c>
      <c r="X111" s="24" t="str">
        <v>Stupen</v>
      </c>
      <c r="Y111" s="24" t="str">
        <v>Desi Arisandi, S.Kom., MTI</v>
      </c>
    </row>
    <row r="112" spans="1:25" ht="44.1" customHeight="1" x14ac:dyDescent="0.2">
      <c r="A112" s="8">
        <v>5</v>
      </c>
      <c r="B112" s="8">
        <v>2</v>
      </c>
      <c r="C112" s="8">
        <v>0</v>
      </c>
      <c r="D112" s="3">
        <v>825220138</v>
      </c>
      <c r="E112" s="3" t="s">
        <v>142</v>
      </c>
      <c r="F112" t="s">
        <v>155</v>
      </c>
      <c r="G112" s="25" cm="1">
        <f t="array" ref="G112">IF(AND(A112:C112=S112:U112),IF((F112=Y112),1,0),999)</f>
        <v>999</v>
      </c>
      <c r="H112" s="24"/>
      <c r="K112" s="5">
        <v>0</v>
      </c>
      <c r="L112" s="5">
        <v>1</v>
      </c>
      <c r="M112" s="5">
        <v>1</v>
      </c>
      <c r="N112" s="5" t="s">
        <v>998</v>
      </c>
      <c r="O112" s="5" t="s">
        <v>287</v>
      </c>
      <c r="P112" s="5" t="s">
        <v>142</v>
      </c>
      <c r="Q112" s="5" t="s">
        <v>163</v>
      </c>
      <c r="S112" s="24">
        <v>1</v>
      </c>
      <c r="T112" s="24">
        <v>1</v>
      </c>
      <c r="U112" s="24">
        <v>0</v>
      </c>
      <c r="V112" s="24" t="str">
        <v>GARY ANDERSON THENG</v>
      </c>
      <c r="W112" s="24" t="str">
        <v>825220094</v>
      </c>
      <c r="X112" s="24" t="str">
        <v>Stupen</v>
      </c>
      <c r="Y112" s="24" t="str">
        <v>Desi Arisandi, S.Kom., MTI</v>
      </c>
    </row>
    <row r="113" spans="1:25" ht="44.1" customHeight="1" x14ac:dyDescent="0.2">
      <c r="A113" s="8">
        <v>5</v>
      </c>
      <c r="B113" s="8">
        <v>2</v>
      </c>
      <c r="C113" s="8">
        <v>0</v>
      </c>
      <c r="D113" s="3">
        <v>825220139</v>
      </c>
      <c r="E113" s="3" t="s">
        <v>142</v>
      </c>
      <c r="F113" t="s">
        <v>155</v>
      </c>
      <c r="G113" s="25" cm="1">
        <f t="array" ref="G113">IF(AND(A113:C113=S113:U113),IF((F113=Y113),1,0),999)</f>
        <v>999</v>
      </c>
      <c r="H113" s="24"/>
      <c r="K113" s="5">
        <v>0</v>
      </c>
      <c r="L113" s="5">
        <v>1</v>
      </c>
      <c r="M113" s="5">
        <v>1</v>
      </c>
      <c r="N113" s="5" t="s">
        <v>999</v>
      </c>
      <c r="O113" s="5" t="s">
        <v>288</v>
      </c>
      <c r="P113" s="5" t="s">
        <v>142</v>
      </c>
      <c r="Q113" s="5" t="s">
        <v>163</v>
      </c>
      <c r="S113" s="24">
        <v>1</v>
      </c>
      <c r="T113" s="24">
        <v>1</v>
      </c>
      <c r="U113" s="24">
        <v>0</v>
      </c>
      <c r="V113" s="24" t="str">
        <v>JOURDAN TANARDI</v>
      </c>
      <c r="W113" s="24" t="str">
        <v>825220095</v>
      </c>
      <c r="X113" s="24" t="str">
        <v>Stupen</v>
      </c>
      <c r="Y113" s="24" t="str">
        <v>Desi Arisandi, S.Kom., MTI</v>
      </c>
    </row>
    <row r="114" spans="1:25" ht="42.95" customHeight="1" x14ac:dyDescent="0.2">
      <c r="A114" s="8">
        <v>5</v>
      </c>
      <c r="B114" s="8">
        <v>2</v>
      </c>
      <c r="C114" s="8">
        <v>0</v>
      </c>
      <c r="D114" s="3">
        <v>825220165</v>
      </c>
      <c r="E114" s="3" t="s">
        <v>142</v>
      </c>
      <c r="F114" t="s">
        <v>155</v>
      </c>
      <c r="G114" s="25" cm="1">
        <f t="array" ref="G114">IF(AND(A114:C114=S114:U114),IF((F114=Y114),1,0),999)</f>
        <v>999</v>
      </c>
      <c r="H114" s="24"/>
      <c r="K114" s="5">
        <v>0</v>
      </c>
      <c r="L114" s="5">
        <v>1</v>
      </c>
      <c r="M114" s="5">
        <v>1</v>
      </c>
      <c r="N114" s="5" t="s">
        <v>1000</v>
      </c>
      <c r="O114" s="5" t="s">
        <v>289</v>
      </c>
      <c r="P114" s="5" t="s">
        <v>142</v>
      </c>
      <c r="Q114" s="5" t="s">
        <v>163</v>
      </c>
      <c r="S114" s="24">
        <v>1</v>
      </c>
      <c r="T114" s="24">
        <v>1</v>
      </c>
      <c r="U114" s="24">
        <v>0</v>
      </c>
      <c r="V114" s="24" t="str">
        <v>JUSTIN AARON HO</v>
      </c>
      <c r="W114" s="24" t="str">
        <v>825220105</v>
      </c>
      <c r="X114" s="24" t="str">
        <v>Stupen</v>
      </c>
      <c r="Y114" s="24" t="str">
        <v>Desi Arisandi, S.Kom., MTI</v>
      </c>
    </row>
    <row r="115" spans="1:25" ht="44.1" customHeight="1" x14ac:dyDescent="0.2">
      <c r="A115" s="8">
        <v>5</v>
      </c>
      <c r="B115" s="8">
        <v>2</v>
      </c>
      <c r="C115" s="8">
        <v>0</v>
      </c>
      <c r="D115" s="3">
        <v>535220140</v>
      </c>
      <c r="E115" s="3" t="s">
        <v>142</v>
      </c>
      <c r="F115" t="s">
        <v>167</v>
      </c>
      <c r="G115" s="25" cm="1">
        <f t="array" ref="G115">IF(AND(A115:C115=S115:U115),IF((F115=Y115),1,0),999)</f>
        <v>999</v>
      </c>
      <c r="H115" s="24"/>
      <c r="K115" s="5">
        <v>0</v>
      </c>
      <c r="L115" s="5">
        <v>1</v>
      </c>
      <c r="M115" s="5">
        <v>1</v>
      </c>
      <c r="N115" s="5" t="s">
        <v>1001</v>
      </c>
      <c r="O115" s="5" t="s">
        <v>290</v>
      </c>
      <c r="P115" s="5" t="s">
        <v>142</v>
      </c>
      <c r="Q115" s="5" t="s">
        <v>163</v>
      </c>
      <c r="S115" s="24">
        <v>1</v>
      </c>
      <c r="T115" s="24">
        <v>1</v>
      </c>
      <c r="U115" s="24">
        <v>0</v>
      </c>
      <c r="V115" s="24" t="str">
        <v>FERNANDO EDISON</v>
      </c>
      <c r="W115" s="24" t="str">
        <v>825220113</v>
      </c>
      <c r="X115" s="24" t="str">
        <v>Stupen</v>
      </c>
      <c r="Y115" s="24" t="str">
        <v>Desi Arisandi, S.Kom., MTI</v>
      </c>
    </row>
    <row r="116" spans="1:25" ht="33" customHeight="1" x14ac:dyDescent="0.2">
      <c r="A116" s="8">
        <v>5</v>
      </c>
      <c r="B116" s="8">
        <v>2</v>
      </c>
      <c r="C116" s="8">
        <v>0</v>
      </c>
      <c r="D116" s="4">
        <v>535220148</v>
      </c>
      <c r="E116" s="3" t="s">
        <v>142</v>
      </c>
      <c r="F116" t="s">
        <v>167</v>
      </c>
      <c r="G116" s="25" cm="1">
        <f t="array" ref="G116">IF(AND(A116:C116=S116:U116),IF((F116=Y116),1,0),999)</f>
        <v>999</v>
      </c>
      <c r="H116" s="24"/>
      <c r="K116" s="5">
        <v>0</v>
      </c>
      <c r="L116" s="5">
        <v>1</v>
      </c>
      <c r="M116" s="5">
        <v>1</v>
      </c>
      <c r="N116" s="5" t="s">
        <v>1002</v>
      </c>
      <c r="O116" s="5" t="s">
        <v>291</v>
      </c>
      <c r="P116" s="5" t="s">
        <v>142</v>
      </c>
      <c r="Q116" s="5" t="s">
        <v>163</v>
      </c>
      <c r="S116" s="24">
        <v>1</v>
      </c>
      <c r="T116" s="24">
        <v>1</v>
      </c>
      <c r="U116" s="24">
        <v>0</v>
      </c>
      <c r="V116" s="24" t="str">
        <v>DAFFA IMANI SAPUTRA</v>
      </c>
      <c r="W116" s="24" t="str">
        <v>825220114</v>
      </c>
      <c r="X116" s="24" t="str">
        <v>Stupen</v>
      </c>
      <c r="Y116" s="24" t="str">
        <v>Desi Arisandi, S.Kom., MTI</v>
      </c>
    </row>
    <row r="117" spans="1:25" ht="42.6" customHeight="1" x14ac:dyDescent="0.2">
      <c r="A117" s="8">
        <v>6</v>
      </c>
      <c r="B117" s="8">
        <v>2</v>
      </c>
      <c r="C117" s="8">
        <v>0</v>
      </c>
      <c r="D117" s="3">
        <v>535220176</v>
      </c>
      <c r="E117" s="3" t="s">
        <v>142</v>
      </c>
      <c r="F117" t="s">
        <v>167</v>
      </c>
      <c r="G117" s="25" cm="1">
        <f t="array" ref="G117">IF(AND(A117:C117=S117:U117),IF((F117=Y117),1,0),999)</f>
        <v>999</v>
      </c>
      <c r="H117" s="24"/>
      <c r="K117" s="5">
        <v>0</v>
      </c>
      <c r="L117" s="5">
        <v>1</v>
      </c>
      <c r="M117" s="5">
        <v>2</v>
      </c>
      <c r="N117" s="5" t="s">
        <v>1003</v>
      </c>
      <c r="O117" s="5" t="s">
        <v>292</v>
      </c>
      <c r="P117" s="5" t="s">
        <v>142</v>
      </c>
      <c r="Q117" s="5" t="s">
        <v>156</v>
      </c>
      <c r="S117" s="24">
        <v>2</v>
      </c>
      <c r="T117" s="24">
        <v>1</v>
      </c>
      <c r="U117" s="24">
        <v>0</v>
      </c>
      <c r="V117" s="24" t="str">
        <v>SAYYIDINAA ALI</v>
      </c>
      <c r="W117" s="24" t="str">
        <v>825220115</v>
      </c>
      <c r="X117" s="24" t="str">
        <v>Stupen</v>
      </c>
      <c r="Y117" s="24" t="str">
        <v>Desi Arisandi, S.Kom., MTI</v>
      </c>
    </row>
    <row r="118" spans="1:25" ht="44.1" customHeight="1" x14ac:dyDescent="0.2">
      <c r="A118" s="8">
        <v>6</v>
      </c>
      <c r="B118" s="8">
        <v>2</v>
      </c>
      <c r="C118" s="8">
        <v>0</v>
      </c>
      <c r="D118" s="3">
        <v>535220182</v>
      </c>
      <c r="E118" s="3" t="s">
        <v>142</v>
      </c>
      <c r="F118" t="s">
        <v>167</v>
      </c>
      <c r="G118" s="25" cm="1">
        <f t="array" ref="G118">IF(AND(A118:C118=S118:U118),IF((F118=Y118),1,0),999)</f>
        <v>999</v>
      </c>
      <c r="H118" s="24"/>
      <c r="K118" s="5">
        <v>0</v>
      </c>
      <c r="L118" s="5">
        <v>1</v>
      </c>
      <c r="M118" s="5">
        <v>2</v>
      </c>
      <c r="N118" s="5" t="s">
        <v>1004</v>
      </c>
      <c r="O118" s="5" t="s">
        <v>293</v>
      </c>
      <c r="P118" s="5" t="s">
        <v>142</v>
      </c>
      <c r="Q118" s="5" t="s">
        <v>156</v>
      </c>
      <c r="S118" s="24">
        <v>2</v>
      </c>
      <c r="T118" s="24">
        <v>1</v>
      </c>
      <c r="U118" s="24">
        <v>0</v>
      </c>
      <c r="V118" s="24" t="str">
        <v>ROBERT</v>
      </c>
      <c r="W118" s="24" t="str">
        <v>825220121</v>
      </c>
      <c r="X118" s="24" t="str">
        <v>Stupen</v>
      </c>
      <c r="Y118" s="24" t="str">
        <v>Desi Arisandi, S.Kom., MTI</v>
      </c>
    </row>
    <row r="119" spans="1:25" ht="42.95" customHeight="1" x14ac:dyDescent="0.2">
      <c r="A119" s="8">
        <v>6</v>
      </c>
      <c r="B119" s="8">
        <v>2</v>
      </c>
      <c r="C119" s="8">
        <v>0</v>
      </c>
      <c r="D119" s="3">
        <v>535220183</v>
      </c>
      <c r="E119" s="3" t="s">
        <v>142</v>
      </c>
      <c r="F119" t="s">
        <v>167</v>
      </c>
      <c r="G119" s="25" cm="1">
        <f t="array" ref="G119">IF(AND(A119:C119=S119:U119),IF((F119=Y119),1,0),999)</f>
        <v>999</v>
      </c>
      <c r="H119" s="24"/>
      <c r="K119" s="5">
        <v>0</v>
      </c>
      <c r="L119" s="5">
        <v>1</v>
      </c>
      <c r="M119" s="5">
        <v>2</v>
      </c>
      <c r="N119" s="5" t="s">
        <v>1005</v>
      </c>
      <c r="O119" s="5" t="s">
        <v>294</v>
      </c>
      <c r="P119" s="5" t="s">
        <v>142</v>
      </c>
      <c r="Q119" s="5" t="s">
        <v>156</v>
      </c>
      <c r="S119" s="24">
        <v>2</v>
      </c>
      <c r="T119" s="24">
        <v>1</v>
      </c>
      <c r="U119" s="24">
        <v>0</v>
      </c>
      <c r="V119" s="24" t="str">
        <v>DENNIS MATTHEW</v>
      </c>
      <c r="W119" s="24" t="str">
        <v>825220124</v>
      </c>
      <c r="X119" s="24" t="str">
        <v>Stupen</v>
      </c>
      <c r="Y119" s="24" t="str">
        <v>Desi Arisandi, S.Kom., MTI</v>
      </c>
    </row>
    <row r="120" spans="1:25" ht="44.1" customHeight="1" x14ac:dyDescent="0.2">
      <c r="A120" s="8">
        <v>6</v>
      </c>
      <c r="B120" s="8">
        <v>2</v>
      </c>
      <c r="C120" s="8">
        <v>0</v>
      </c>
      <c r="D120" s="3">
        <v>535220189</v>
      </c>
      <c r="E120" s="3" t="s">
        <v>142</v>
      </c>
      <c r="F120" t="s">
        <v>167</v>
      </c>
      <c r="G120" s="25" cm="1">
        <f t="array" ref="G120">IF(AND(A120:C120=S120:U120),IF((F120=Y120),1,0),999)</f>
        <v>999</v>
      </c>
      <c r="H120" s="24"/>
      <c r="K120" s="5">
        <v>0</v>
      </c>
      <c r="L120" s="5">
        <v>1</v>
      </c>
      <c r="M120" s="5">
        <v>2</v>
      </c>
      <c r="N120" s="5" t="s">
        <v>1006</v>
      </c>
      <c r="O120" s="5" t="s">
        <v>295</v>
      </c>
      <c r="P120" s="5" t="s">
        <v>142</v>
      </c>
      <c r="Q120" s="5" t="s">
        <v>156</v>
      </c>
      <c r="S120" s="24">
        <v>2</v>
      </c>
      <c r="T120" s="24">
        <v>1</v>
      </c>
      <c r="U120" s="24">
        <v>0</v>
      </c>
      <c r="V120" s="24" t="str">
        <v xml:space="preserve">JAVIER ELIAN PUTRA KARJADI </v>
      </c>
      <c r="W120" s="24" t="str">
        <v>825220131</v>
      </c>
      <c r="X120" s="24" t="str">
        <v>Stupen</v>
      </c>
      <c r="Y120" s="24" t="str">
        <v>Desi Arisandi, S.Kom., MTI</v>
      </c>
    </row>
    <row r="121" spans="1:25" ht="43.7" customHeight="1" x14ac:dyDescent="0.2">
      <c r="A121" s="8">
        <v>6</v>
      </c>
      <c r="B121" s="8">
        <v>2</v>
      </c>
      <c r="C121" s="8">
        <v>0</v>
      </c>
      <c r="D121" s="3">
        <v>535220259</v>
      </c>
      <c r="E121" s="3" t="s">
        <v>142</v>
      </c>
      <c r="F121" t="s">
        <v>167</v>
      </c>
      <c r="G121" s="25" cm="1">
        <f t="array" ref="G121">IF(AND(A121:C121=S121:U121),IF((F121=Y121),1,0),999)</f>
        <v>999</v>
      </c>
      <c r="H121" s="24"/>
      <c r="K121" s="5">
        <v>0</v>
      </c>
      <c r="L121" s="5">
        <v>1</v>
      </c>
      <c r="M121" s="5">
        <v>2</v>
      </c>
      <c r="N121" s="5" t="s">
        <v>1007</v>
      </c>
      <c r="O121" s="5" t="s">
        <v>296</v>
      </c>
      <c r="P121" s="5" t="s">
        <v>142</v>
      </c>
      <c r="Q121" s="5" t="s">
        <v>156</v>
      </c>
      <c r="S121" s="24">
        <v>2</v>
      </c>
      <c r="T121" s="24">
        <v>1</v>
      </c>
      <c r="U121" s="24">
        <v>0</v>
      </c>
      <c r="V121" s="24" t="str">
        <v>NATHANAEL DENNIS GUNAWAN</v>
      </c>
      <c r="W121" s="24" t="str">
        <v>825220133</v>
      </c>
      <c r="X121" s="24" t="str">
        <v>Stupen</v>
      </c>
      <c r="Y121" s="24" t="str">
        <v>Desi Arisandi, S.Kom., MTI</v>
      </c>
    </row>
    <row r="122" spans="1:25" ht="44.1" customHeight="1" x14ac:dyDescent="0.2">
      <c r="A122" s="8">
        <v>0</v>
      </c>
      <c r="B122" s="8">
        <v>2</v>
      </c>
      <c r="C122" s="8">
        <v>1</v>
      </c>
      <c r="D122" s="3">
        <v>535220152</v>
      </c>
      <c r="E122" s="3" t="s">
        <v>142</v>
      </c>
      <c r="F122" t="s">
        <v>164</v>
      </c>
      <c r="G122" s="25" cm="1">
        <f t="array" ref="G122">IF(AND(A122:C122=S122:U122),IF((F122=Y122),1,0),999)</f>
        <v>999</v>
      </c>
      <c r="H122" s="24"/>
      <c r="K122" s="5">
        <v>1</v>
      </c>
      <c r="L122" s="5">
        <v>1</v>
      </c>
      <c r="M122" s="5">
        <v>0</v>
      </c>
      <c r="N122" s="5" t="s">
        <v>1008</v>
      </c>
      <c r="O122" s="5" t="s">
        <v>297</v>
      </c>
      <c r="P122" s="5" t="s">
        <v>143</v>
      </c>
      <c r="Q122" s="5" t="s">
        <v>162</v>
      </c>
      <c r="S122" s="24">
        <v>3</v>
      </c>
      <c r="T122" s="24">
        <v>1</v>
      </c>
      <c r="U122" s="24">
        <v>0</v>
      </c>
      <c r="V122" s="24" t="str">
        <v>ZAKI RAMDANI</v>
      </c>
      <c r="W122" s="24" t="str">
        <v>825220137</v>
      </c>
      <c r="X122" s="24" t="str">
        <v>Stupen</v>
      </c>
      <c r="Y122" s="24" t="str">
        <v>Desi Arisandi, S.Kom., MTI</v>
      </c>
    </row>
    <row r="123" spans="1:25" ht="42.95" customHeight="1" x14ac:dyDescent="0.2">
      <c r="A123" s="8">
        <v>0</v>
      </c>
      <c r="B123" s="8">
        <v>2</v>
      </c>
      <c r="C123" s="8">
        <v>1</v>
      </c>
      <c r="D123" s="3">
        <v>535220154</v>
      </c>
      <c r="E123" s="3" t="s">
        <v>142</v>
      </c>
      <c r="F123" t="s">
        <v>164</v>
      </c>
      <c r="G123" s="25" cm="1">
        <f t="array" ref="G123">IF(AND(A123:C123=S123:U123),IF((F123=Y123),1,0),999)</f>
        <v>999</v>
      </c>
      <c r="H123" s="24"/>
      <c r="K123" s="5">
        <v>1</v>
      </c>
      <c r="L123" s="5">
        <v>1</v>
      </c>
      <c r="M123" s="5">
        <v>0</v>
      </c>
      <c r="N123" s="5" t="s">
        <v>1009</v>
      </c>
      <c r="O123" s="5" t="s">
        <v>298</v>
      </c>
      <c r="P123" s="5" t="s">
        <v>143</v>
      </c>
      <c r="Q123" s="5" t="s">
        <v>162</v>
      </c>
      <c r="S123" s="24">
        <v>3</v>
      </c>
      <c r="T123" s="24">
        <v>1</v>
      </c>
      <c r="U123" s="24">
        <v>0</v>
      </c>
      <c r="V123" s="24" t="str">
        <v>GAVRIEL JOSEPH LIM</v>
      </c>
      <c r="W123" s="24" t="str">
        <v>535220049</v>
      </c>
      <c r="X123" s="24" t="str">
        <v>Magang</v>
      </c>
      <c r="Y123" s="24" t="str">
        <v>Irvan Lewenusa, S.Kom., M.Kom.</v>
      </c>
    </row>
    <row r="124" spans="1:25" ht="44.1" customHeight="1" x14ac:dyDescent="0.2">
      <c r="A124" s="8">
        <v>0</v>
      </c>
      <c r="B124" s="8">
        <v>2</v>
      </c>
      <c r="C124" s="8">
        <v>1</v>
      </c>
      <c r="D124" s="3">
        <v>535220191</v>
      </c>
      <c r="E124" s="3" t="s">
        <v>142</v>
      </c>
      <c r="F124" t="s">
        <v>164</v>
      </c>
      <c r="G124" s="25" cm="1">
        <f t="array" ref="G124">IF(AND(A124:C124=S124:U124),IF((F124=Y124),1,0),999)</f>
        <v>999</v>
      </c>
      <c r="H124" s="24"/>
      <c r="K124" s="5">
        <v>1</v>
      </c>
      <c r="L124" s="5">
        <v>1</v>
      </c>
      <c r="M124" s="5">
        <v>0</v>
      </c>
      <c r="N124" s="5" t="s">
        <v>1010</v>
      </c>
      <c r="O124" s="5" t="s">
        <v>299</v>
      </c>
      <c r="P124" s="5" t="s">
        <v>143</v>
      </c>
      <c r="Q124" s="5" t="s">
        <v>162</v>
      </c>
      <c r="S124" s="24">
        <v>3</v>
      </c>
      <c r="T124" s="24">
        <v>1</v>
      </c>
      <c r="U124" s="24">
        <v>0</v>
      </c>
      <c r="V124" s="24" t="str">
        <v>MICHAEL PANGIHUTAN PARDOMUAN MANALU</v>
      </c>
      <c r="W124" s="24" t="str">
        <v>535220073</v>
      </c>
      <c r="X124" s="24" t="str">
        <v>Magang</v>
      </c>
      <c r="Y124" s="24" t="str">
        <v>Irvan Lewenusa, S.Kom., M.Kom.</v>
      </c>
    </row>
    <row r="125" spans="1:25" ht="44.1" customHeight="1" x14ac:dyDescent="0.2">
      <c r="A125" s="8">
        <v>0</v>
      </c>
      <c r="B125" s="8">
        <v>2</v>
      </c>
      <c r="C125" s="8">
        <v>1</v>
      </c>
      <c r="D125" s="3">
        <v>535220206</v>
      </c>
      <c r="E125" s="3" t="s">
        <v>142</v>
      </c>
      <c r="F125" t="s">
        <v>164</v>
      </c>
      <c r="G125" s="25" cm="1">
        <f t="array" ref="G125">IF(AND(A125:C125=S125:U125),IF((F125=Y125),1,0),999)</f>
        <v>999</v>
      </c>
      <c r="H125" s="24"/>
      <c r="K125" s="5">
        <v>1</v>
      </c>
      <c r="L125" s="5">
        <v>1</v>
      </c>
      <c r="M125" s="5">
        <v>0</v>
      </c>
      <c r="N125" s="5" t="s">
        <v>1011</v>
      </c>
      <c r="O125" s="5" t="s">
        <v>300</v>
      </c>
      <c r="P125" s="5" t="s">
        <v>143</v>
      </c>
      <c r="Q125" s="5" t="s">
        <v>162</v>
      </c>
      <c r="S125" s="24">
        <v>3</v>
      </c>
      <c r="T125" s="24">
        <v>1</v>
      </c>
      <c r="U125" s="24">
        <v>0</v>
      </c>
      <c r="V125" s="24" t="str">
        <v>RYAN ANTHONY</v>
      </c>
      <c r="W125" s="24" t="str">
        <v>535220074</v>
      </c>
      <c r="X125" s="24" t="str">
        <v>Magang</v>
      </c>
      <c r="Y125" s="24" t="str">
        <v>Irvan Lewenusa, S.Kom., M.Kom.</v>
      </c>
    </row>
    <row r="126" spans="1:25" ht="43.5" customHeight="1" x14ac:dyDescent="0.2">
      <c r="A126" s="8">
        <v>0</v>
      </c>
      <c r="B126" s="8">
        <v>2</v>
      </c>
      <c r="C126" s="8">
        <v>1</v>
      </c>
      <c r="D126" s="3">
        <v>535220210</v>
      </c>
      <c r="E126" s="3" t="s">
        <v>142</v>
      </c>
      <c r="F126" t="s">
        <v>164</v>
      </c>
      <c r="G126" s="25" cm="1">
        <f t="array" ref="G126">IF(AND(A126:C126=S126:U126),IF((F126=Y126),1,0),999)</f>
        <v>999</v>
      </c>
      <c r="H126" s="24"/>
      <c r="K126" s="5">
        <v>1</v>
      </c>
      <c r="L126" s="5">
        <v>1</v>
      </c>
      <c r="M126" s="5">
        <v>0</v>
      </c>
      <c r="N126" s="5" t="s">
        <v>1012</v>
      </c>
      <c r="O126" s="5" t="s">
        <v>301</v>
      </c>
      <c r="P126" s="5" t="s">
        <v>143</v>
      </c>
      <c r="Q126" s="5" t="s">
        <v>162</v>
      </c>
      <c r="S126" s="24">
        <v>3</v>
      </c>
      <c r="T126" s="24">
        <v>1</v>
      </c>
      <c r="U126" s="24">
        <v>0</v>
      </c>
      <c r="V126" s="24" t="str">
        <v>JECHENTHIA MARIA TASO</v>
      </c>
      <c r="W126" s="24" t="str">
        <v>535220081</v>
      </c>
      <c r="X126" s="24" t="str">
        <v>Magang</v>
      </c>
      <c r="Y126" s="24" t="str">
        <v>Irvan Lewenusa, S.Kom., M.Kom.</v>
      </c>
    </row>
    <row r="127" spans="1:25" ht="42.95" customHeight="1" x14ac:dyDescent="0.2">
      <c r="A127" s="8">
        <v>1</v>
      </c>
      <c r="B127" s="8">
        <v>2</v>
      </c>
      <c r="C127" s="8">
        <v>1</v>
      </c>
      <c r="D127" s="3">
        <v>535220213</v>
      </c>
      <c r="E127" s="3" t="s">
        <v>142</v>
      </c>
      <c r="F127" t="s">
        <v>164</v>
      </c>
      <c r="G127" s="25" cm="1">
        <f t="array" ref="G127">IF(AND(A127:C127=S127:U127),IF((F127=Y127),1,0),999)</f>
        <v>999</v>
      </c>
      <c r="H127" s="24"/>
      <c r="K127" s="5">
        <v>1</v>
      </c>
      <c r="L127" s="5">
        <v>1</v>
      </c>
      <c r="M127" s="5">
        <v>1</v>
      </c>
      <c r="N127" s="5" t="s">
        <v>1013</v>
      </c>
      <c r="O127" s="5" t="s">
        <v>302</v>
      </c>
      <c r="P127" s="5" t="s">
        <v>142</v>
      </c>
      <c r="Q127" s="5" t="s">
        <v>163</v>
      </c>
      <c r="S127" s="24">
        <v>4</v>
      </c>
      <c r="T127" s="24">
        <v>1</v>
      </c>
      <c r="U127" s="24">
        <v>0</v>
      </c>
      <c r="V127" s="24" t="str">
        <v>GREGORIUS SATRIONAN PAMUNGKAS</v>
      </c>
      <c r="W127" s="24" t="str">
        <v>535220244</v>
      </c>
      <c r="X127" s="24" t="str">
        <v>Stupen</v>
      </c>
      <c r="Y127" s="24" t="str">
        <v>Janson Hendryli, S.Kom., M.Kom.</v>
      </c>
    </row>
    <row r="128" spans="1:25" ht="44.1" customHeight="1" x14ac:dyDescent="0.2">
      <c r="A128" s="8">
        <v>1</v>
      </c>
      <c r="B128" s="8">
        <v>2</v>
      </c>
      <c r="C128" s="8">
        <v>1</v>
      </c>
      <c r="D128" s="3">
        <v>535220247</v>
      </c>
      <c r="E128" s="3" t="s">
        <v>142</v>
      </c>
      <c r="F128" t="s">
        <v>164</v>
      </c>
      <c r="G128" s="25" cm="1">
        <f t="array" ref="G128">IF(AND(A128:C128=S128:U128),IF((F128=Y128),1,0),999)</f>
        <v>999</v>
      </c>
      <c r="H128" s="24"/>
      <c r="K128" s="5">
        <v>1</v>
      </c>
      <c r="L128" s="5">
        <v>1</v>
      </c>
      <c r="M128" s="5">
        <v>1</v>
      </c>
      <c r="N128" s="5" t="s">
        <v>1014</v>
      </c>
      <c r="O128" s="5" t="s">
        <v>303</v>
      </c>
      <c r="P128" s="5" t="s">
        <v>142</v>
      </c>
      <c r="Q128" s="5" t="s">
        <v>163</v>
      </c>
      <c r="S128" s="24">
        <v>4</v>
      </c>
      <c r="T128" s="24">
        <v>1</v>
      </c>
      <c r="U128" s="24">
        <v>0</v>
      </c>
      <c r="V128" s="24" t="str">
        <v>RIDHWAN KAUTSAR DWI JULIANTO</v>
      </c>
      <c r="W128" s="24" t="str">
        <v>535220267</v>
      </c>
      <c r="X128" s="24" t="str">
        <v>Stupen</v>
      </c>
      <c r="Y128" s="24" t="str">
        <v>Janson Hendryli, S.Kom., M.Kom.</v>
      </c>
    </row>
    <row r="129" spans="1:25" ht="42.95" customHeight="1" x14ac:dyDescent="0.2">
      <c r="A129" s="8">
        <v>1</v>
      </c>
      <c r="B129" s="8">
        <v>2</v>
      </c>
      <c r="C129" s="8">
        <v>1</v>
      </c>
      <c r="D129" s="3">
        <v>535220014</v>
      </c>
      <c r="E129" s="3" t="s">
        <v>142</v>
      </c>
      <c r="F129" t="s">
        <v>165</v>
      </c>
      <c r="G129" s="25" cm="1">
        <f t="array" ref="G129">IF(AND(A129:C129=S129:U129),IF((F129=Y129),1,0),999)</f>
        <v>999</v>
      </c>
      <c r="H129" s="24"/>
      <c r="K129" s="5">
        <v>1</v>
      </c>
      <c r="L129" s="5">
        <v>1</v>
      </c>
      <c r="M129" s="5">
        <v>1</v>
      </c>
      <c r="N129" s="5" t="s">
        <v>1015</v>
      </c>
      <c r="O129" s="5" t="s">
        <v>304</v>
      </c>
      <c r="P129" s="5" t="s">
        <v>142</v>
      </c>
      <c r="Q129" s="5" t="s">
        <v>163</v>
      </c>
      <c r="S129" s="24">
        <v>4</v>
      </c>
      <c r="T129" s="24">
        <v>1</v>
      </c>
      <c r="U129" s="24">
        <v>0</v>
      </c>
      <c r="V129" s="24" t="str">
        <v>HANSON NICHOLAS</v>
      </c>
      <c r="W129" s="24" t="str">
        <v>535220121</v>
      </c>
      <c r="X129" s="24" t="str">
        <v>Magang</v>
      </c>
      <c r="Y129" s="24" t="str">
        <v>Darius Andana Haris, S.Kom., MTI</v>
      </c>
    </row>
    <row r="130" spans="1:25" ht="44.1" customHeight="1" x14ac:dyDescent="0.2">
      <c r="A130" s="8">
        <v>1</v>
      </c>
      <c r="B130" s="8">
        <v>2</v>
      </c>
      <c r="C130" s="8">
        <v>1</v>
      </c>
      <c r="D130" s="3">
        <v>535220020</v>
      </c>
      <c r="E130" s="3" t="s">
        <v>142</v>
      </c>
      <c r="F130" t="s">
        <v>165</v>
      </c>
      <c r="G130" s="25" cm="1">
        <f t="array" ref="G130">IF(AND(A130:C130=S130:U130),IF((F130=Y130),1,0),999)</f>
        <v>999</v>
      </c>
      <c r="H130" s="24"/>
      <c r="K130" s="5">
        <v>1</v>
      </c>
      <c r="L130" s="5">
        <v>1</v>
      </c>
      <c r="M130" s="5">
        <v>1</v>
      </c>
      <c r="N130" s="5" t="s">
        <v>1016</v>
      </c>
      <c r="O130" s="5" t="s">
        <v>305</v>
      </c>
      <c r="P130" s="5" t="s">
        <v>142</v>
      </c>
      <c r="Q130" s="5" t="s">
        <v>163</v>
      </c>
      <c r="S130" s="24">
        <v>4</v>
      </c>
      <c r="T130" s="24">
        <v>1</v>
      </c>
      <c r="U130" s="24">
        <v>0</v>
      </c>
      <c r="V130" s="24" t="str">
        <v>LEONARDEZ FLOBERT GUNAWAN</v>
      </c>
      <c r="W130" s="24" t="str">
        <v>535220097</v>
      </c>
      <c r="X130" s="24" t="str">
        <v>Stupen</v>
      </c>
      <c r="Y130" s="24" t="str">
        <v>Darius Andana Haris, S.Kom., MTI</v>
      </c>
    </row>
    <row r="131" spans="1:25" ht="42.6" customHeight="1" x14ac:dyDescent="0.2">
      <c r="A131" s="8">
        <v>1</v>
      </c>
      <c r="B131" s="8">
        <v>2</v>
      </c>
      <c r="C131" s="8">
        <v>1</v>
      </c>
      <c r="D131" s="3">
        <v>535220121</v>
      </c>
      <c r="E131" s="3" t="s">
        <v>142</v>
      </c>
      <c r="F131" t="s">
        <v>165</v>
      </c>
      <c r="G131" s="25" cm="1">
        <f t="array" ref="G131">IF(AND(A131:C131=S131:U131),IF((F131=Y131),1,0),999)</f>
        <v>999</v>
      </c>
      <c r="H131" s="24"/>
      <c r="K131" s="5">
        <v>1</v>
      </c>
      <c r="L131" s="5">
        <v>1</v>
      </c>
      <c r="M131" s="5">
        <v>1</v>
      </c>
      <c r="N131" s="5" t="s">
        <v>1017</v>
      </c>
      <c r="O131" s="5" t="s">
        <v>306</v>
      </c>
      <c r="P131" s="5" t="s">
        <v>142</v>
      </c>
      <c r="Q131" s="5" t="s">
        <v>163</v>
      </c>
      <c r="S131" s="24">
        <v>4</v>
      </c>
      <c r="T131" s="24">
        <v>1</v>
      </c>
      <c r="U131" s="24">
        <v>0</v>
      </c>
      <c r="V131" s="24" t="str">
        <v>STEPHEN YOHANES CHRISTOPHER</v>
      </c>
      <c r="W131" s="24" t="str">
        <v>535220105</v>
      </c>
      <c r="X131" s="24" t="str">
        <v>Stupen</v>
      </c>
      <c r="Y131" s="24" t="str">
        <v>Darius Andana Haris, S.Kom., MTI</v>
      </c>
    </row>
    <row r="132" spans="1:25" ht="44.1" customHeight="1" x14ac:dyDescent="0.2">
      <c r="A132" s="8">
        <v>2</v>
      </c>
      <c r="B132" s="8">
        <v>2</v>
      </c>
      <c r="C132" s="8">
        <v>1</v>
      </c>
      <c r="D132" s="3">
        <v>535220021</v>
      </c>
      <c r="E132" s="3" t="s">
        <v>142</v>
      </c>
      <c r="F132" t="s">
        <v>163</v>
      </c>
      <c r="G132" s="25" cm="1">
        <f t="array" ref="G132">IF(AND(A132:C132=S132:U132),IF((F132=Y132),1,0),999)</f>
        <v>999</v>
      </c>
      <c r="H132" s="24"/>
      <c r="K132" s="5">
        <v>1</v>
      </c>
      <c r="L132" s="5">
        <v>1</v>
      </c>
      <c r="M132" s="5">
        <v>2</v>
      </c>
      <c r="N132" s="5" t="s">
        <v>1018</v>
      </c>
      <c r="O132" s="5" t="s">
        <v>307</v>
      </c>
      <c r="P132" s="5" t="s">
        <v>142</v>
      </c>
      <c r="Q132" s="5" t="s">
        <v>156</v>
      </c>
      <c r="S132" s="24">
        <v>5</v>
      </c>
      <c r="T132" s="24">
        <v>1</v>
      </c>
      <c r="U132" s="24">
        <v>0</v>
      </c>
      <c r="V132" s="24" t="str">
        <v>JONATHAN KENNEDY TORSANDY</v>
      </c>
      <c r="W132" s="24" t="str">
        <v>535220127</v>
      </c>
      <c r="X132" s="24" t="str">
        <v>Stupen</v>
      </c>
      <c r="Y132" s="24" t="str">
        <v>Darius Andana Haris, S.Kom., MTI</v>
      </c>
    </row>
    <row r="133" spans="1:25" ht="44.1" customHeight="1" x14ac:dyDescent="0.2">
      <c r="A133" s="8">
        <v>2</v>
      </c>
      <c r="B133" s="8">
        <v>2</v>
      </c>
      <c r="C133" s="8">
        <v>1</v>
      </c>
      <c r="D133" s="3">
        <v>535220050</v>
      </c>
      <c r="E133" s="3" t="s">
        <v>142</v>
      </c>
      <c r="F133" t="s">
        <v>163</v>
      </c>
      <c r="G133" s="25" cm="1">
        <f t="array" ref="G133">IF(AND(A133:C133=S133:U133),IF((F133=Y133),1,0),999)</f>
        <v>999</v>
      </c>
      <c r="H133" s="24"/>
      <c r="K133" s="5">
        <v>1</v>
      </c>
      <c r="L133" s="5">
        <v>1</v>
      </c>
      <c r="M133" s="5">
        <v>2</v>
      </c>
      <c r="N133" s="5" t="s">
        <v>1019</v>
      </c>
      <c r="O133" s="5" t="s">
        <v>308</v>
      </c>
      <c r="P133" s="5" t="s">
        <v>142</v>
      </c>
      <c r="Q133" s="5" t="s">
        <v>156</v>
      </c>
      <c r="S133" s="24">
        <v>5</v>
      </c>
      <c r="T133" s="24">
        <v>1</v>
      </c>
      <c r="U133" s="24">
        <v>0</v>
      </c>
      <c r="V133" s="24" t="str">
        <v>MARYANTO</v>
      </c>
      <c r="W133" s="24" t="str">
        <v>535220130</v>
      </c>
      <c r="X133" s="24" t="str">
        <v>Stupen</v>
      </c>
      <c r="Y133" s="24" t="str">
        <v>Darius Andana Haris, S.Kom., MTI</v>
      </c>
    </row>
    <row r="134" spans="1:25" ht="42.95" customHeight="1" x14ac:dyDescent="0.2">
      <c r="A134" s="8">
        <v>2</v>
      </c>
      <c r="B134" s="8">
        <v>2</v>
      </c>
      <c r="C134" s="8">
        <v>1</v>
      </c>
      <c r="D134" s="3">
        <v>535220076</v>
      </c>
      <c r="E134" s="3" t="s">
        <v>142</v>
      </c>
      <c r="F134" t="s">
        <v>163</v>
      </c>
      <c r="G134" s="25" cm="1">
        <f t="array" ref="G134">IF(AND(A134:C134=S134:U134),IF((F134=Y134),1,0),999)</f>
        <v>999</v>
      </c>
      <c r="H134" s="24"/>
      <c r="K134" s="5">
        <v>1</v>
      </c>
      <c r="L134" s="5">
        <v>1</v>
      </c>
      <c r="M134" s="5">
        <v>2</v>
      </c>
      <c r="N134" s="5" t="s">
        <v>1020</v>
      </c>
      <c r="O134" s="5" t="s">
        <v>309</v>
      </c>
      <c r="P134" s="5" t="s">
        <v>142</v>
      </c>
      <c r="Q134" s="5" t="s">
        <v>156</v>
      </c>
      <c r="S134" s="24">
        <v>5</v>
      </c>
      <c r="T134" s="24">
        <v>1</v>
      </c>
      <c r="U134" s="24">
        <v>0</v>
      </c>
      <c r="V134" s="24" t="str">
        <v>CARISHA PUSPA GOZALI</v>
      </c>
      <c r="W134" s="24" t="str">
        <v>535220185</v>
      </c>
      <c r="X134" s="24" t="str">
        <v>Mengajar</v>
      </c>
      <c r="Y134" s="24" t="str">
        <v>Darius Andana Haris, S.Kom., MTI</v>
      </c>
    </row>
    <row r="135" spans="1:25" ht="44.1" customHeight="1" x14ac:dyDescent="0.2">
      <c r="A135" s="8">
        <v>2</v>
      </c>
      <c r="B135" s="8">
        <v>2</v>
      </c>
      <c r="C135" s="8">
        <v>1</v>
      </c>
      <c r="D135" s="3">
        <v>535220172</v>
      </c>
      <c r="E135" s="3" t="s">
        <v>142</v>
      </c>
      <c r="F135" t="s">
        <v>163</v>
      </c>
      <c r="G135" s="25" cm="1">
        <f t="array" ref="G135">IF(AND(A135:C135=S135:U135),IF((F135=Y135),1,0),999)</f>
        <v>999</v>
      </c>
      <c r="H135" s="24"/>
      <c r="K135" s="5">
        <v>1</v>
      </c>
      <c r="L135" s="5">
        <v>1</v>
      </c>
      <c r="M135" s="5">
        <v>2</v>
      </c>
      <c r="N135" s="5" t="s">
        <v>1021</v>
      </c>
      <c r="O135" s="5" t="s">
        <v>310</v>
      </c>
      <c r="P135" s="5" t="s">
        <v>147</v>
      </c>
      <c r="Q135" s="5" t="s">
        <v>156</v>
      </c>
      <c r="S135" s="24">
        <v>5</v>
      </c>
      <c r="T135" s="24">
        <v>1</v>
      </c>
      <c r="U135" s="24">
        <v>0</v>
      </c>
      <c r="V135" s="24" t="str">
        <v>RYAN SATRIA</v>
      </c>
      <c r="W135" s="24" t="str">
        <v>535220190</v>
      </c>
      <c r="X135" s="24" t="str">
        <v>Mengajar</v>
      </c>
      <c r="Y135" s="24" t="str">
        <v>Darius Andana Haris, S.Kom., MTI</v>
      </c>
    </row>
    <row r="136" spans="1:25" ht="33" customHeight="1" x14ac:dyDescent="0.2">
      <c r="A136" s="8">
        <v>2</v>
      </c>
      <c r="B136" s="8">
        <v>2</v>
      </c>
      <c r="C136" s="8">
        <v>1</v>
      </c>
      <c r="D136" s="4">
        <v>535220173</v>
      </c>
      <c r="E136" s="3" t="s">
        <v>142</v>
      </c>
      <c r="F136" t="s">
        <v>163</v>
      </c>
      <c r="G136" s="25" cm="1">
        <f t="array" ref="G136">IF(AND(A136:C136=S136:U136),IF((F136=Y136),1,0),999)</f>
        <v>999</v>
      </c>
      <c r="H136" s="24"/>
      <c r="K136" s="5">
        <v>1</v>
      </c>
      <c r="L136" s="5">
        <v>1</v>
      </c>
      <c r="M136" s="5">
        <v>2</v>
      </c>
      <c r="N136" s="5" t="s">
        <v>1022</v>
      </c>
      <c r="O136" s="5" t="s">
        <v>311</v>
      </c>
      <c r="P136" s="5" t="s">
        <v>147</v>
      </c>
      <c r="Q136" s="5" t="s">
        <v>156</v>
      </c>
      <c r="S136" s="24">
        <v>5</v>
      </c>
      <c r="T136" s="24">
        <v>1</v>
      </c>
      <c r="U136" s="24">
        <v>0</v>
      </c>
      <c r="V136" s="24" t="str">
        <v>ADANG IRAWAN</v>
      </c>
      <c r="W136" s="24" t="str">
        <v>535220192</v>
      </c>
      <c r="X136" s="24" t="str">
        <v>Mengajar</v>
      </c>
      <c r="Y136" s="24" t="str">
        <v>Darius Andana Haris, S.Kom., MTI</v>
      </c>
    </row>
    <row r="137" spans="1:25" ht="42.6" customHeight="1" x14ac:dyDescent="0.2">
      <c r="A137" s="8">
        <v>3</v>
      </c>
      <c r="B137" s="8">
        <v>2</v>
      </c>
      <c r="C137" s="8">
        <v>1</v>
      </c>
      <c r="D137" s="3">
        <v>535220013</v>
      </c>
      <c r="E137" s="3" t="s">
        <v>142</v>
      </c>
      <c r="F137" t="s">
        <v>157</v>
      </c>
      <c r="G137" s="25" cm="1">
        <f t="array" ref="G137">IF(AND(A137:C137=S137:U137),IF((F137=Y137),1,0),999)</f>
        <v>999</v>
      </c>
      <c r="H137" s="24"/>
      <c r="K137" s="5">
        <v>2</v>
      </c>
      <c r="L137" s="5">
        <v>1</v>
      </c>
      <c r="M137" s="5">
        <v>0</v>
      </c>
      <c r="N137" s="5" t="s">
        <v>1023</v>
      </c>
      <c r="O137" s="5" t="s">
        <v>312</v>
      </c>
      <c r="P137" s="5" t="s">
        <v>143</v>
      </c>
      <c r="Q137" s="5" t="s">
        <v>162</v>
      </c>
      <c r="S137" s="24">
        <v>6</v>
      </c>
      <c r="T137" s="24">
        <v>1</v>
      </c>
      <c r="U137" s="24">
        <v>0</v>
      </c>
      <c r="V137" s="24" t="str">
        <v>TIGA WIRA PRASIDYA</v>
      </c>
      <c r="W137" s="24" t="str">
        <v>535220227</v>
      </c>
      <c r="X137" s="24" t="str">
        <v>Mengajar</v>
      </c>
      <c r="Y137" s="24" t="str">
        <v>Darius Andana Haris, S.Kom., MTI</v>
      </c>
    </row>
    <row r="138" spans="1:25" ht="44.1" customHeight="1" x14ac:dyDescent="0.2">
      <c r="A138" s="8">
        <v>3</v>
      </c>
      <c r="B138" s="8">
        <v>2</v>
      </c>
      <c r="C138" s="8">
        <v>1</v>
      </c>
      <c r="D138" s="3">
        <v>535220033</v>
      </c>
      <c r="E138" s="3" t="s">
        <v>142</v>
      </c>
      <c r="F138" t="s">
        <v>157</v>
      </c>
      <c r="G138" s="25" cm="1">
        <f t="array" ref="G138">IF(AND(A138:C138=S138:U138),IF((F138=Y138),1,0),999)</f>
        <v>999</v>
      </c>
      <c r="H138" s="24"/>
      <c r="K138" s="5">
        <v>2</v>
      </c>
      <c r="L138" s="5">
        <v>1</v>
      </c>
      <c r="M138" s="5">
        <v>0</v>
      </c>
      <c r="N138" s="5" t="s">
        <v>1024</v>
      </c>
      <c r="O138" s="5" t="s">
        <v>313</v>
      </c>
      <c r="P138" s="5" t="s">
        <v>143</v>
      </c>
      <c r="Q138" s="5" t="s">
        <v>162</v>
      </c>
      <c r="S138" s="24">
        <v>6</v>
      </c>
      <c r="T138" s="24">
        <v>1</v>
      </c>
      <c r="U138" s="24">
        <v>0</v>
      </c>
      <c r="V138" s="24" t="str">
        <v>STEVEN LUCIO AUSTEN</v>
      </c>
      <c r="W138" s="24" t="str">
        <v>825220001</v>
      </c>
      <c r="X138" s="24" t="str">
        <v>Mengajar</v>
      </c>
      <c r="Y138" s="24" t="str">
        <v>Darius Andana Haris, S.Kom., MTI</v>
      </c>
    </row>
    <row r="139" spans="1:25" ht="42.95" customHeight="1" x14ac:dyDescent="0.2">
      <c r="A139" s="8">
        <v>3</v>
      </c>
      <c r="B139" s="8">
        <v>2</v>
      </c>
      <c r="C139" s="8">
        <v>1</v>
      </c>
      <c r="D139" s="3">
        <v>535220044</v>
      </c>
      <c r="E139" s="3" t="s">
        <v>142</v>
      </c>
      <c r="F139" t="s">
        <v>157</v>
      </c>
      <c r="G139" s="25" cm="1">
        <f t="array" ref="G139">IF(AND(A139:C139=S139:U139),IF((F139=Y139),1,0),999)</f>
        <v>999</v>
      </c>
      <c r="H139" s="24"/>
      <c r="K139" s="5">
        <v>2</v>
      </c>
      <c r="L139" s="5">
        <v>1</v>
      </c>
      <c r="M139" s="5">
        <v>0</v>
      </c>
      <c r="N139" s="5" t="s">
        <v>1025</v>
      </c>
      <c r="O139" s="5" t="s">
        <v>314</v>
      </c>
      <c r="P139" s="5" t="s">
        <v>143</v>
      </c>
      <c r="Q139" s="5" t="s">
        <v>162</v>
      </c>
      <c r="S139" s="24">
        <v>6</v>
      </c>
      <c r="T139" s="24">
        <v>1</v>
      </c>
      <c r="U139" s="24">
        <v>0</v>
      </c>
      <c r="V139" s="24" t="str">
        <v>KENAZ REISHA</v>
      </c>
      <c r="W139" s="24" t="str">
        <v>825220029</v>
      </c>
      <c r="X139" s="24" t="str">
        <v>Mengajar</v>
      </c>
      <c r="Y139" s="24" t="str">
        <v>Darius Andana Haris, S.Kom., MTI</v>
      </c>
    </row>
    <row r="140" spans="1:25" ht="44.1" customHeight="1" x14ac:dyDescent="0.2">
      <c r="A140" s="8">
        <v>3</v>
      </c>
      <c r="B140" s="8">
        <v>2</v>
      </c>
      <c r="C140" s="8">
        <v>1</v>
      </c>
      <c r="D140" s="3">
        <v>535220075</v>
      </c>
      <c r="E140" s="3" t="s">
        <v>142</v>
      </c>
      <c r="F140" t="s">
        <v>157</v>
      </c>
      <c r="G140" s="25" cm="1">
        <f t="array" ref="G140">IF(AND(A140:C140=S140:U140),IF((F140=Y140),1,0),999)</f>
        <v>999</v>
      </c>
      <c r="H140" s="24"/>
      <c r="K140" s="5">
        <v>2</v>
      </c>
      <c r="L140" s="5">
        <v>1</v>
      </c>
      <c r="M140" s="5">
        <v>0</v>
      </c>
      <c r="N140" s="5" t="s">
        <v>1026</v>
      </c>
      <c r="O140" s="5" t="s">
        <v>315</v>
      </c>
      <c r="P140" s="5" t="s">
        <v>143</v>
      </c>
      <c r="Q140" s="5" t="s">
        <v>162</v>
      </c>
      <c r="S140" s="24">
        <v>6</v>
      </c>
      <c r="T140" s="24">
        <v>1</v>
      </c>
      <c r="U140" s="24">
        <v>0</v>
      </c>
      <c r="V140" s="24" t="str">
        <v>VINCENTIUS</v>
      </c>
      <c r="W140" s="24" t="str">
        <v>825220030</v>
      </c>
      <c r="X140" s="24" t="str">
        <v>Mengajar</v>
      </c>
      <c r="Y140" s="24" t="str">
        <v>Darius Andana Haris, S.Kom., MTI</v>
      </c>
    </row>
    <row r="141" spans="1:25" ht="43.7" customHeight="1" x14ac:dyDescent="0.2">
      <c r="A141" s="8">
        <v>3</v>
      </c>
      <c r="B141" s="8">
        <v>2</v>
      </c>
      <c r="C141" s="8">
        <v>1</v>
      </c>
      <c r="D141" s="3">
        <v>535220090</v>
      </c>
      <c r="E141" s="3" t="s">
        <v>142</v>
      </c>
      <c r="F141" t="s">
        <v>157</v>
      </c>
      <c r="G141" s="25" cm="1">
        <f t="array" ref="G141">IF(AND(A141:C141=S141:U141),IF((F141=Y141),1,0),999)</f>
        <v>999</v>
      </c>
      <c r="H141" s="24"/>
      <c r="K141" s="5">
        <v>2</v>
      </c>
      <c r="L141" s="5">
        <v>1</v>
      </c>
      <c r="M141" s="5">
        <v>0</v>
      </c>
      <c r="N141" s="5" t="s">
        <v>1027</v>
      </c>
      <c r="O141" s="5" t="s">
        <v>316</v>
      </c>
      <c r="P141" s="5" t="s">
        <v>143</v>
      </c>
      <c r="Q141" s="5" t="s">
        <v>162</v>
      </c>
      <c r="S141" s="24">
        <v>6</v>
      </c>
      <c r="T141" s="24">
        <v>1</v>
      </c>
      <c r="U141" s="24">
        <v>0</v>
      </c>
      <c r="V141" s="24" t="str">
        <v xml:space="preserve">CECILLIA CHUNG </v>
      </c>
      <c r="W141" s="24" t="str">
        <v>825220069</v>
      </c>
      <c r="X141" s="24" t="str">
        <v>Mengajar</v>
      </c>
      <c r="Y141" s="24" t="str">
        <v>Darius Andana Haris, S.Kom., MTI</v>
      </c>
    </row>
    <row r="142" spans="1:25" ht="44.1" customHeight="1" x14ac:dyDescent="0.2">
      <c r="A142" s="8">
        <v>0</v>
      </c>
      <c r="B142" s="8">
        <v>2</v>
      </c>
      <c r="C142" s="8">
        <v>2</v>
      </c>
      <c r="D142" s="3">
        <v>825220125</v>
      </c>
      <c r="E142" s="3" t="s">
        <v>142</v>
      </c>
      <c r="F142" t="s">
        <v>155</v>
      </c>
      <c r="G142" s="25" cm="1">
        <f t="array" ref="G142">IF(AND(A142:C142=S142:U142),IF((F142=Y142),1,0),999)</f>
        <v>999</v>
      </c>
      <c r="H142" s="24"/>
      <c r="K142" s="5">
        <v>2</v>
      </c>
      <c r="L142" s="5">
        <v>1</v>
      </c>
      <c r="M142" s="5">
        <v>1</v>
      </c>
      <c r="N142" s="5" t="s">
        <v>1028</v>
      </c>
      <c r="O142" s="5" t="s">
        <v>317</v>
      </c>
      <c r="P142" s="5" t="s">
        <v>147</v>
      </c>
      <c r="Q142" s="5" t="s">
        <v>156</v>
      </c>
      <c r="S142" s="24">
        <v>0</v>
      </c>
      <c r="T142" s="24">
        <v>1</v>
      </c>
      <c r="U142" s="24">
        <v>1</v>
      </c>
      <c r="V142" s="24" t="str">
        <v>NELSON</v>
      </c>
      <c r="W142" s="24" t="str">
        <v>535220021</v>
      </c>
      <c r="X142" s="24" t="str">
        <v>Magang</v>
      </c>
      <c r="Y142" s="24" t="str">
        <v>Ir. Jeanny Pragantha, M.Eng.</v>
      </c>
    </row>
    <row r="143" spans="1:25" ht="42.95" customHeight="1" x14ac:dyDescent="0.2">
      <c r="A143" s="8">
        <v>0</v>
      </c>
      <c r="B143" s="8">
        <v>2</v>
      </c>
      <c r="C143" s="8">
        <v>2</v>
      </c>
      <c r="D143" s="3">
        <v>825220135</v>
      </c>
      <c r="E143" s="3" t="s">
        <v>142</v>
      </c>
      <c r="F143" t="s">
        <v>155</v>
      </c>
      <c r="G143" s="25" cm="1">
        <f t="array" ref="G143">IF(AND(A143:C143=S143:U143),IF((F143=Y143),1,0),999)</f>
        <v>999</v>
      </c>
      <c r="H143" s="24"/>
      <c r="K143" s="5">
        <v>2</v>
      </c>
      <c r="L143" s="5">
        <v>1</v>
      </c>
      <c r="M143" s="5">
        <v>1</v>
      </c>
      <c r="N143" s="5" t="s">
        <v>1029</v>
      </c>
      <c r="O143" s="5" t="s">
        <v>318</v>
      </c>
      <c r="P143" s="5" t="s">
        <v>147</v>
      </c>
      <c r="Q143" s="5" t="s">
        <v>156</v>
      </c>
      <c r="S143" s="24">
        <v>0</v>
      </c>
      <c r="T143" s="24">
        <v>1</v>
      </c>
      <c r="U143" s="24">
        <v>1</v>
      </c>
      <c r="V143" s="24" t="str">
        <v>OLIVIA CLARABELLA KHOTIERA</v>
      </c>
      <c r="W143" s="24" t="str">
        <v>535220050</v>
      </c>
      <c r="X143" s="24" t="str">
        <v>Magang</v>
      </c>
      <c r="Y143" s="24" t="str">
        <v>Ir. Jeanny Pragantha, M.Eng.</v>
      </c>
    </row>
    <row r="144" spans="1:25" ht="44.1" customHeight="1" x14ac:dyDescent="0.2">
      <c r="A144" s="8">
        <v>0</v>
      </c>
      <c r="B144" s="8">
        <v>2</v>
      </c>
      <c r="C144" s="8">
        <v>2</v>
      </c>
      <c r="D144" s="3">
        <v>825220136</v>
      </c>
      <c r="E144" s="3" t="s">
        <v>142</v>
      </c>
      <c r="F144" t="s">
        <v>155</v>
      </c>
      <c r="G144" s="25" cm="1">
        <f t="array" ref="G144">IF(AND(A144:C144=S144:U144),IF((F144=Y144),1,0),999)</f>
        <v>999</v>
      </c>
      <c r="H144" s="24"/>
      <c r="K144" s="5">
        <v>2</v>
      </c>
      <c r="L144" s="5">
        <v>1</v>
      </c>
      <c r="M144" s="5">
        <v>1</v>
      </c>
      <c r="N144" s="5" t="s">
        <v>1030</v>
      </c>
      <c r="O144" s="5" t="s">
        <v>319</v>
      </c>
      <c r="P144" s="5" t="s">
        <v>142</v>
      </c>
      <c r="Q144" s="5" t="s">
        <v>164</v>
      </c>
      <c r="S144" s="24">
        <v>0</v>
      </c>
      <c r="T144" s="24">
        <v>1</v>
      </c>
      <c r="U144" s="24">
        <v>1</v>
      </c>
      <c r="V144" s="24" t="str">
        <v>ELSIE</v>
      </c>
      <c r="W144" s="24" t="str">
        <v>535220076</v>
      </c>
      <c r="X144" s="24" t="str">
        <v>Magang</v>
      </c>
      <c r="Y144" s="24" t="str">
        <v>Ir. Jeanny Pragantha, M.Eng.</v>
      </c>
    </row>
    <row r="145" spans="1:25" ht="44.1" customHeight="1" x14ac:dyDescent="0.2">
      <c r="A145" s="8">
        <v>0</v>
      </c>
      <c r="B145" s="8">
        <v>2</v>
      </c>
      <c r="C145" s="8">
        <v>2</v>
      </c>
      <c r="D145" s="3">
        <v>825220003</v>
      </c>
      <c r="E145" s="3" t="s">
        <v>142</v>
      </c>
      <c r="F145" t="s">
        <v>161</v>
      </c>
      <c r="G145" s="25" cm="1">
        <f t="array" ref="G145">IF(AND(A145:C145=S145:U145),IF((F145=Y145),1,0),999)</f>
        <v>999</v>
      </c>
      <c r="H145" s="24"/>
      <c r="K145" s="5">
        <v>2</v>
      </c>
      <c r="L145" s="5">
        <v>1</v>
      </c>
      <c r="M145" s="5">
        <v>1</v>
      </c>
      <c r="N145" s="5" t="s">
        <v>1031</v>
      </c>
      <c r="O145" s="5" t="s">
        <v>320</v>
      </c>
      <c r="P145" s="5" t="s">
        <v>142</v>
      </c>
      <c r="Q145" s="5" t="s">
        <v>164</v>
      </c>
      <c r="S145" s="24">
        <v>0</v>
      </c>
      <c r="T145" s="24">
        <v>1</v>
      </c>
      <c r="U145" s="24">
        <v>1</v>
      </c>
      <c r="V145" s="24" t="str">
        <v>ASRUL ALIF FATIHAH</v>
      </c>
      <c r="W145" s="24" t="str">
        <v>535220172</v>
      </c>
      <c r="X145" s="24" t="str">
        <v>Magang</v>
      </c>
      <c r="Y145" s="24" t="str">
        <v>Ir. Jeanny Pragantha, M.Eng.</v>
      </c>
    </row>
    <row r="146" spans="1:25" ht="43.5" customHeight="1" x14ac:dyDescent="0.2">
      <c r="A146" s="8">
        <v>0</v>
      </c>
      <c r="B146" s="8">
        <v>2</v>
      </c>
      <c r="C146" s="8">
        <v>2</v>
      </c>
      <c r="D146" s="3">
        <v>825220014</v>
      </c>
      <c r="E146" s="3" t="s">
        <v>142</v>
      </c>
      <c r="F146" t="s">
        <v>161</v>
      </c>
      <c r="G146" s="25" cm="1">
        <f t="array" ref="G146">IF(AND(A146:C146=S146:U146),IF((F146=Y146),1,0),999)</f>
        <v>999</v>
      </c>
      <c r="H146" s="24"/>
      <c r="K146" s="5">
        <v>2</v>
      </c>
      <c r="L146" s="5">
        <v>1</v>
      </c>
      <c r="M146" s="5">
        <v>1</v>
      </c>
      <c r="N146" s="5" t="s">
        <v>1032</v>
      </c>
      <c r="O146" s="5" t="s">
        <v>321</v>
      </c>
      <c r="P146" s="5" t="s">
        <v>142</v>
      </c>
      <c r="Q146" s="5" t="s">
        <v>164</v>
      </c>
      <c r="S146" s="24">
        <v>0</v>
      </c>
      <c r="T146" s="24">
        <v>1</v>
      </c>
      <c r="U146" s="24">
        <v>1</v>
      </c>
      <c r="V146" s="24" t="str">
        <v xml:space="preserve">GEORGE WEILIS JUNIOR </v>
      </c>
      <c r="W146" s="24" t="str">
        <v>535220173</v>
      </c>
      <c r="X146" s="24" t="str">
        <v>Magang</v>
      </c>
      <c r="Y146" s="24" t="str">
        <v>Ir. Jeanny Pragantha, M.Eng.</v>
      </c>
    </row>
    <row r="147" spans="1:25" ht="42.95" customHeight="1" x14ac:dyDescent="0.2">
      <c r="A147" s="8">
        <v>1</v>
      </c>
      <c r="B147" s="8">
        <v>2</v>
      </c>
      <c r="C147" s="8">
        <v>2</v>
      </c>
      <c r="D147" s="3">
        <v>825220019</v>
      </c>
      <c r="E147" s="3" t="s">
        <v>142</v>
      </c>
      <c r="F147" t="s">
        <v>161</v>
      </c>
      <c r="G147" s="25" cm="1">
        <f t="array" ref="G147">IF(AND(A147:C147=S147:U147),IF((F147=Y147),1,0),999)</f>
        <v>999</v>
      </c>
      <c r="H147" s="24"/>
      <c r="K147" s="5">
        <v>2</v>
      </c>
      <c r="L147" s="5">
        <v>1</v>
      </c>
      <c r="M147" s="5">
        <v>2</v>
      </c>
      <c r="N147" s="5" t="s">
        <v>1033</v>
      </c>
      <c r="O147" s="5" t="s">
        <v>322</v>
      </c>
      <c r="P147" s="5" t="s">
        <v>142</v>
      </c>
      <c r="Q147" s="5" t="s">
        <v>157</v>
      </c>
      <c r="S147" s="24">
        <v>1</v>
      </c>
      <c r="T147" s="24">
        <v>1</v>
      </c>
      <c r="U147" s="24">
        <v>1</v>
      </c>
      <c r="V147" s="24" t="str">
        <v>MUHAMMAD SYAUQI RASYID</v>
      </c>
      <c r="W147" s="24" t="str">
        <v>535220221</v>
      </c>
      <c r="X147" s="24" t="str">
        <v>Magang</v>
      </c>
      <c r="Y147" s="24" t="str">
        <v>Ir. Jeanny Pragantha, M.Eng.</v>
      </c>
    </row>
    <row r="148" spans="1:25" ht="44.1" customHeight="1" x14ac:dyDescent="0.2">
      <c r="A148" s="8">
        <v>1</v>
      </c>
      <c r="B148" s="8">
        <v>2</v>
      </c>
      <c r="C148" s="8">
        <v>2</v>
      </c>
      <c r="D148" s="3">
        <v>825220036</v>
      </c>
      <c r="E148" s="3" t="s">
        <v>142</v>
      </c>
      <c r="F148" t="s">
        <v>161</v>
      </c>
      <c r="G148" s="25" cm="1">
        <f t="array" ref="G148">IF(AND(A148:C148=S148:U148),IF((F148=Y148),1,0),999)</f>
        <v>999</v>
      </c>
      <c r="H148" s="24"/>
      <c r="K148" s="5">
        <v>2</v>
      </c>
      <c r="L148" s="5">
        <v>1</v>
      </c>
      <c r="M148" s="5">
        <v>2</v>
      </c>
      <c r="N148" s="5" t="s">
        <v>1034</v>
      </c>
      <c r="O148" s="5" t="s">
        <v>323</v>
      </c>
      <c r="P148" s="5" t="s">
        <v>142</v>
      </c>
      <c r="Q148" s="5" t="s">
        <v>157</v>
      </c>
      <c r="S148" s="24">
        <v>1</v>
      </c>
      <c r="T148" s="24">
        <v>1</v>
      </c>
      <c r="U148" s="24">
        <v>1</v>
      </c>
      <c r="V148" s="24" t="str">
        <v>RAFFI CAHYA TRIAPUTRA YASIN</v>
      </c>
      <c r="W148" s="24" t="str">
        <v>535220224</v>
      </c>
      <c r="X148" s="24" t="str">
        <v>Magang</v>
      </c>
      <c r="Y148" s="24" t="str">
        <v>Ir. Jeanny Pragantha, M.Eng.</v>
      </c>
    </row>
    <row r="149" spans="1:25" ht="42.95" customHeight="1" x14ac:dyDescent="0.2">
      <c r="A149" s="8">
        <v>1</v>
      </c>
      <c r="B149" s="8">
        <v>2</v>
      </c>
      <c r="C149" s="8">
        <v>2</v>
      </c>
      <c r="D149" s="3">
        <v>825220062</v>
      </c>
      <c r="E149" s="3" t="s">
        <v>142</v>
      </c>
      <c r="F149" t="s">
        <v>161</v>
      </c>
      <c r="G149" s="25" cm="1">
        <f t="array" ref="G149">IF(AND(A149:C149=S149:U149),IF((F149=Y149),1,0),999)</f>
        <v>999</v>
      </c>
      <c r="H149" s="24"/>
      <c r="K149" s="5">
        <v>2</v>
      </c>
      <c r="L149" s="5">
        <v>1</v>
      </c>
      <c r="M149" s="5">
        <v>2</v>
      </c>
      <c r="N149" s="5" t="s">
        <v>1035</v>
      </c>
      <c r="O149" s="5" t="s">
        <v>324</v>
      </c>
      <c r="P149" s="5" t="s">
        <v>142</v>
      </c>
      <c r="Q149" s="5" t="s">
        <v>157</v>
      </c>
      <c r="S149" s="24">
        <v>1</v>
      </c>
      <c r="T149" s="24">
        <v>1</v>
      </c>
      <c r="U149" s="24">
        <v>1</v>
      </c>
      <c r="V149" s="24" t="str">
        <v>JONATHAN SETIAWAN</v>
      </c>
      <c r="W149" s="24" t="str">
        <v>535220234</v>
      </c>
      <c r="X149" s="24" t="str">
        <v>Magang</v>
      </c>
      <c r="Y149" s="24" t="str">
        <v>Ir. Jeanny Pragantha, M.Eng.</v>
      </c>
    </row>
    <row r="150" spans="1:25" ht="44.1" customHeight="1" x14ac:dyDescent="0.2">
      <c r="A150" s="8">
        <v>1</v>
      </c>
      <c r="B150" s="8">
        <v>2</v>
      </c>
      <c r="C150" s="8">
        <v>2</v>
      </c>
      <c r="D150" s="3">
        <v>825220120</v>
      </c>
      <c r="E150" s="3" t="s">
        <v>142</v>
      </c>
      <c r="F150" t="s">
        <v>161</v>
      </c>
      <c r="G150" s="25" cm="1">
        <f t="array" ref="G150">IF(AND(A150:C150=S150:U150),IF((F150=Y150),1,0),999)</f>
        <v>999</v>
      </c>
      <c r="H150" s="24"/>
      <c r="K150" s="5">
        <v>2</v>
      </c>
      <c r="L150" s="5">
        <v>1</v>
      </c>
      <c r="M150" s="5">
        <v>2</v>
      </c>
      <c r="N150" s="5" t="s">
        <v>1036</v>
      </c>
      <c r="O150" s="5" t="s">
        <v>325</v>
      </c>
      <c r="P150" s="5" t="s">
        <v>142</v>
      </c>
      <c r="Q150" s="5" t="s">
        <v>157</v>
      </c>
      <c r="S150" s="24">
        <v>1</v>
      </c>
      <c r="T150" s="24">
        <v>1</v>
      </c>
      <c r="U150" s="24">
        <v>1</v>
      </c>
      <c r="V150" s="24" t="str">
        <v>CHRISTOPHER TITAN</v>
      </c>
      <c r="W150" s="24" t="str">
        <v>535220242</v>
      </c>
      <c r="X150" s="24" t="str">
        <v>Magang</v>
      </c>
      <c r="Y150" s="24" t="str">
        <v>Ir. Jeanny Pragantha, M.Eng.</v>
      </c>
    </row>
    <row r="151" spans="1:25" ht="42.6" customHeight="1" x14ac:dyDescent="0.2">
      <c r="A151" s="8">
        <v>1</v>
      </c>
      <c r="B151" s="8">
        <v>2</v>
      </c>
      <c r="C151" s="8">
        <v>2</v>
      </c>
      <c r="D151" s="3">
        <v>825220134</v>
      </c>
      <c r="E151" s="3" t="s">
        <v>142</v>
      </c>
      <c r="F151" t="s">
        <v>161</v>
      </c>
      <c r="G151" s="25" cm="1">
        <f t="array" ref="G151">IF(AND(A151:C151=S151:U151),IF((F151=Y151),1,0),999)</f>
        <v>999</v>
      </c>
      <c r="H151" s="24"/>
      <c r="K151" s="5">
        <v>2</v>
      </c>
      <c r="L151" s="5">
        <v>1</v>
      </c>
      <c r="M151" s="5">
        <v>2</v>
      </c>
      <c r="N151" s="5" t="s">
        <v>1037</v>
      </c>
      <c r="O151" s="5" t="s">
        <v>326</v>
      </c>
      <c r="P151" s="5" t="s">
        <v>142</v>
      </c>
      <c r="Q151" s="5" t="s">
        <v>157</v>
      </c>
      <c r="S151" s="24">
        <v>1</v>
      </c>
      <c r="T151" s="24">
        <v>1</v>
      </c>
      <c r="U151" s="24">
        <v>1</v>
      </c>
      <c r="V151" s="24" t="str">
        <v>BENAYA JUANDA</v>
      </c>
      <c r="W151" s="24" t="str">
        <v>535220266</v>
      </c>
      <c r="X151" s="24" t="str">
        <v>Magang</v>
      </c>
      <c r="Y151" s="24" t="str">
        <v>Ir. Jeanny Pragantha, M.Eng.</v>
      </c>
    </row>
    <row r="152" spans="1:25" ht="44.1" customHeight="1" x14ac:dyDescent="0.2">
      <c r="A152" s="8">
        <v>2</v>
      </c>
      <c r="B152" s="8">
        <v>2</v>
      </c>
      <c r="C152" s="8">
        <v>2</v>
      </c>
      <c r="D152" s="3">
        <v>825220155</v>
      </c>
      <c r="E152" s="3" t="s">
        <v>142</v>
      </c>
      <c r="F152" t="s">
        <v>161</v>
      </c>
      <c r="G152" s="25" cm="1">
        <f t="array" ref="G152">IF(AND(A152:C152=S152:U152),IF((F152=Y152),1,0),999)</f>
        <v>999</v>
      </c>
      <c r="H152" s="24"/>
      <c r="K152" s="5">
        <v>3</v>
      </c>
      <c r="L152" s="5">
        <v>1</v>
      </c>
      <c r="M152" s="5">
        <v>0</v>
      </c>
      <c r="N152" s="5" t="s">
        <v>1038</v>
      </c>
      <c r="O152" s="5" t="s">
        <v>327</v>
      </c>
      <c r="P152" s="5" t="s">
        <v>143</v>
      </c>
      <c r="Q152" s="5" t="s">
        <v>162</v>
      </c>
      <c r="S152" s="24">
        <v>2</v>
      </c>
      <c r="T152" s="24">
        <v>1</v>
      </c>
      <c r="U152" s="24">
        <v>1</v>
      </c>
      <c r="V152" s="24" t="str">
        <v>MUHAMMAD HAFIZH MULYANSYAH</v>
      </c>
      <c r="W152" s="24" t="str">
        <v>535220229</v>
      </c>
      <c r="X152" s="24" t="str">
        <v>Wirausaha</v>
      </c>
      <c r="Y152" s="24" t="str">
        <v>Manatap Dolok Lauro, S.Kom., MMSI</v>
      </c>
    </row>
    <row r="153" spans="1:25" ht="44.1" customHeight="1" x14ac:dyDescent="0.2">
      <c r="A153" s="8">
        <v>2</v>
      </c>
      <c r="B153" s="8">
        <v>2</v>
      </c>
      <c r="C153" s="8">
        <v>2</v>
      </c>
      <c r="D153" s="3">
        <v>825220182</v>
      </c>
      <c r="E153" s="3" t="s">
        <v>142</v>
      </c>
      <c r="F153" t="s">
        <v>161</v>
      </c>
      <c r="G153" s="25" cm="1">
        <f t="array" ref="G153">IF(AND(A153:C153=S153:U153),IF((F153=Y153),1,0),999)</f>
        <v>999</v>
      </c>
      <c r="H153" s="24"/>
      <c r="K153" s="5">
        <v>3</v>
      </c>
      <c r="L153" s="5">
        <v>1</v>
      </c>
      <c r="M153" s="5">
        <v>0</v>
      </c>
      <c r="N153" s="5" t="s">
        <v>1039</v>
      </c>
      <c r="O153" s="5" t="s">
        <v>328</v>
      </c>
      <c r="P153" s="5" t="s">
        <v>142</v>
      </c>
      <c r="Q153" s="5" t="s">
        <v>164</v>
      </c>
      <c r="S153" s="24">
        <v>2</v>
      </c>
      <c r="T153" s="24">
        <v>1</v>
      </c>
      <c r="U153" s="24">
        <v>1</v>
      </c>
      <c r="V153" s="24" t="str">
        <v>DIO FATURAMDANI</v>
      </c>
      <c r="W153" s="24" t="str">
        <v>825220022</v>
      </c>
      <c r="X153" s="24" t="str">
        <v>Wirausaha</v>
      </c>
      <c r="Y153" s="24" t="str">
        <v>Manatap Dolok Lauro, S.Kom., MMSI</v>
      </c>
    </row>
    <row r="154" spans="1:25" ht="42.95" customHeight="1" x14ac:dyDescent="0.2">
      <c r="A154" s="8">
        <v>2</v>
      </c>
      <c r="B154" s="8">
        <v>2</v>
      </c>
      <c r="C154" s="8">
        <v>2</v>
      </c>
      <c r="D154" s="3">
        <v>825249102</v>
      </c>
      <c r="E154" s="3" t="s">
        <v>142</v>
      </c>
      <c r="F154" t="s">
        <v>161</v>
      </c>
      <c r="G154" s="25" cm="1">
        <f t="array" ref="G154">IF(AND(A154:C154=S154:U154),IF((F154=Y154),1,0),999)</f>
        <v>999</v>
      </c>
      <c r="H154" s="24"/>
      <c r="K154" s="5">
        <v>3</v>
      </c>
      <c r="L154" s="5">
        <v>1</v>
      </c>
      <c r="M154" s="5">
        <v>0</v>
      </c>
      <c r="N154" s="5" t="s">
        <v>1040</v>
      </c>
      <c r="O154" s="5" t="s">
        <v>329</v>
      </c>
      <c r="P154" s="5" t="s">
        <v>142</v>
      </c>
      <c r="Q154" s="5" t="s">
        <v>164</v>
      </c>
      <c r="S154" s="24">
        <v>2</v>
      </c>
      <c r="T154" s="24">
        <v>1</v>
      </c>
      <c r="U154" s="24">
        <v>1</v>
      </c>
      <c r="V154" s="24" t="str">
        <v>RICHARD SOUWIKO</v>
      </c>
      <c r="W154" s="24" t="str">
        <v>535220042</v>
      </c>
      <c r="X154" s="24" t="str">
        <v>Magang</v>
      </c>
      <c r="Y154" s="24" t="str">
        <v>Irvan Lewenusa, S.Kom., M.Kom.</v>
      </c>
    </row>
    <row r="155" spans="1:25" ht="44.1" customHeight="1" x14ac:dyDescent="0.2">
      <c r="A155" s="8">
        <v>2</v>
      </c>
      <c r="B155" s="8">
        <v>2</v>
      </c>
      <c r="C155" s="8">
        <v>2</v>
      </c>
      <c r="D155" s="3">
        <v>535220104</v>
      </c>
      <c r="E155" s="3" t="s">
        <v>142</v>
      </c>
      <c r="F155" t="s">
        <v>168</v>
      </c>
      <c r="G155" s="25" cm="1">
        <f t="array" ref="G155">IF(AND(A155:C155=S155:U155),IF((F155=Y155),1,0),999)</f>
        <v>999</v>
      </c>
      <c r="H155" s="24"/>
      <c r="K155" s="5">
        <v>3</v>
      </c>
      <c r="L155" s="5">
        <v>1</v>
      </c>
      <c r="M155" s="5">
        <v>0</v>
      </c>
      <c r="N155" s="5" t="s">
        <v>1041</v>
      </c>
      <c r="O155" s="5" t="s">
        <v>330</v>
      </c>
      <c r="P155" s="5" t="s">
        <v>142</v>
      </c>
      <c r="Q155" s="5" t="s">
        <v>164</v>
      </c>
      <c r="S155" s="24">
        <v>2</v>
      </c>
      <c r="T155" s="24">
        <v>1</v>
      </c>
      <c r="U155" s="24">
        <v>1</v>
      </c>
      <c r="V155" s="24" t="str">
        <v>TIMOTY WAHYUDI PAKPAHAN</v>
      </c>
      <c r="W155" s="24" t="str">
        <v>535220043</v>
      </c>
      <c r="X155" s="24" t="str">
        <v>Magang</v>
      </c>
      <c r="Y155" s="24" t="str">
        <v>Irvan Lewenusa, S.Kom., M.Kom.</v>
      </c>
    </row>
    <row r="156" spans="1:25" ht="33" customHeight="1" x14ac:dyDescent="0.2">
      <c r="A156" s="17">
        <v>2</v>
      </c>
      <c r="B156" s="8">
        <v>2</v>
      </c>
      <c r="C156" s="8">
        <v>2</v>
      </c>
      <c r="D156" s="6">
        <v>535220164</v>
      </c>
      <c r="E156" s="3" t="s">
        <v>142</v>
      </c>
      <c r="F156" t="s">
        <v>168</v>
      </c>
      <c r="G156" s="25" cm="1">
        <f t="array" ref="G156">IF(AND(A156:C156=S156:U156),IF((F156=Y156),1,0),999)</f>
        <v>999</v>
      </c>
      <c r="H156" s="24"/>
      <c r="K156" s="5">
        <v>3</v>
      </c>
      <c r="L156" s="5">
        <v>1</v>
      </c>
      <c r="M156" s="5">
        <v>0</v>
      </c>
      <c r="N156" s="5" t="s">
        <v>1042</v>
      </c>
      <c r="O156" s="5" t="s">
        <v>331</v>
      </c>
      <c r="P156" s="5" t="s">
        <v>142</v>
      </c>
      <c r="Q156" s="5" t="s">
        <v>164</v>
      </c>
      <c r="S156" s="24">
        <v>2</v>
      </c>
      <c r="T156" s="24">
        <v>1</v>
      </c>
      <c r="U156" s="24">
        <v>1</v>
      </c>
      <c r="V156" s="24" t="str">
        <v>PAULINA AGUSIA</v>
      </c>
      <c r="W156" s="24" t="str">
        <v>535220048</v>
      </c>
      <c r="X156" s="24" t="str">
        <v>Magang</v>
      </c>
      <c r="Y156" s="24" t="str">
        <v>Irvan Lewenusa, S.Kom., M.Kom.</v>
      </c>
    </row>
    <row r="157" spans="1:25" ht="42.6" customHeight="1" x14ac:dyDescent="0.2">
      <c r="A157" s="8">
        <v>3</v>
      </c>
      <c r="B157" s="8">
        <v>2</v>
      </c>
      <c r="C157" s="8">
        <v>2</v>
      </c>
      <c r="D157" s="3">
        <v>535220165</v>
      </c>
      <c r="E157" s="3" t="s">
        <v>142</v>
      </c>
      <c r="F157" t="s">
        <v>168</v>
      </c>
      <c r="G157" s="25" cm="1">
        <f t="array" ref="G157">IF(AND(A157:C157=S157:U157),IF((F157=Y157),1,0),999)</f>
        <v>999</v>
      </c>
      <c r="H157" s="24"/>
      <c r="K157" s="5">
        <v>3</v>
      </c>
      <c r="L157" s="5">
        <v>1</v>
      </c>
      <c r="M157" s="5">
        <v>1</v>
      </c>
      <c r="N157" s="5" t="s">
        <v>1043</v>
      </c>
      <c r="O157" s="5" t="s">
        <v>332</v>
      </c>
      <c r="P157" s="5" t="s">
        <v>142</v>
      </c>
      <c r="Q157" s="5" t="s">
        <v>157</v>
      </c>
      <c r="S157" s="24">
        <v>3</v>
      </c>
      <c r="T157" s="24">
        <v>1</v>
      </c>
      <c r="U157" s="24">
        <v>1</v>
      </c>
      <c r="V157" s="24" t="str">
        <v>SHAREEN STEPHANIE</v>
      </c>
      <c r="W157" s="24" t="str">
        <v>535220112</v>
      </c>
      <c r="X157" s="24" t="str">
        <v>Magang</v>
      </c>
      <c r="Y157" s="24" t="str">
        <v>Dra. Chairisni Lubis, M.Kom.</v>
      </c>
    </row>
    <row r="158" spans="1:25" ht="44.1" customHeight="1" x14ac:dyDescent="0.2">
      <c r="A158" s="8">
        <v>3</v>
      </c>
      <c r="B158" s="8">
        <v>2</v>
      </c>
      <c r="C158" s="8">
        <v>2</v>
      </c>
      <c r="D158" s="3">
        <v>535220197</v>
      </c>
      <c r="E158" s="3" t="s">
        <v>142</v>
      </c>
      <c r="F158" t="s">
        <v>168</v>
      </c>
      <c r="G158" s="25" cm="1">
        <f t="array" ref="G158">IF(AND(A158:C158=S158:U158),IF((F158=Y158),1,0),999)</f>
        <v>999</v>
      </c>
      <c r="H158" s="24"/>
      <c r="K158" s="5">
        <v>3</v>
      </c>
      <c r="L158" s="5">
        <v>1</v>
      </c>
      <c r="M158" s="5">
        <v>1</v>
      </c>
      <c r="N158" s="5" t="s">
        <v>1044</v>
      </c>
      <c r="O158" s="5" t="s">
        <v>333</v>
      </c>
      <c r="P158" s="5" t="s">
        <v>142</v>
      </c>
      <c r="Q158" s="5" t="s">
        <v>157</v>
      </c>
      <c r="S158" s="24">
        <v>3</v>
      </c>
      <c r="T158" s="24">
        <v>1</v>
      </c>
      <c r="U158" s="24">
        <v>1</v>
      </c>
      <c r="V158" s="24" t="str">
        <v>KELLY CHRISTELLA GYWEN</v>
      </c>
      <c r="W158" s="24" t="str">
        <v>535220207</v>
      </c>
      <c r="X158" s="24" t="str">
        <v>Magang</v>
      </c>
      <c r="Y158" s="24" t="str">
        <v>Dra. Chairisni Lubis, M.Kom.</v>
      </c>
    </row>
    <row r="159" spans="1:25" ht="42.95" customHeight="1" x14ac:dyDescent="0.2">
      <c r="A159" s="8">
        <v>3</v>
      </c>
      <c r="B159" s="8">
        <v>2</v>
      </c>
      <c r="C159" s="8">
        <v>2</v>
      </c>
      <c r="D159" s="3">
        <v>535220201</v>
      </c>
      <c r="E159" s="3" t="s">
        <v>142</v>
      </c>
      <c r="F159" t="s">
        <v>168</v>
      </c>
      <c r="G159" s="25" cm="1">
        <f t="array" ref="G159">IF(AND(A159:C159=S159:U159),IF((F159=Y159),1,0),999)</f>
        <v>999</v>
      </c>
      <c r="H159" s="24"/>
      <c r="K159" s="5">
        <v>3</v>
      </c>
      <c r="L159" s="5">
        <v>1</v>
      </c>
      <c r="M159" s="5">
        <v>1</v>
      </c>
      <c r="N159" s="5" t="s">
        <v>1045</v>
      </c>
      <c r="O159" s="5" t="s">
        <v>334</v>
      </c>
      <c r="P159" s="5" t="s">
        <v>142</v>
      </c>
      <c r="Q159" s="5" t="s">
        <v>157</v>
      </c>
      <c r="S159" s="24">
        <v>3</v>
      </c>
      <c r="T159" s="24">
        <v>1</v>
      </c>
      <c r="U159" s="24">
        <v>1</v>
      </c>
      <c r="V159" s="24" t="str">
        <v xml:space="preserve">YUDO ALFARISZI </v>
      </c>
      <c r="W159" s="24" t="str">
        <v>535220245</v>
      </c>
      <c r="X159" s="24" t="str">
        <v>Magang</v>
      </c>
      <c r="Y159" s="24" t="str">
        <v>Dra. Chairisni Lubis, M.Kom.</v>
      </c>
    </row>
    <row r="160" spans="1:25" ht="44.1" customHeight="1" x14ac:dyDescent="0.2">
      <c r="A160" s="8">
        <v>3</v>
      </c>
      <c r="B160" s="8">
        <v>2</v>
      </c>
      <c r="C160" s="8">
        <v>2</v>
      </c>
      <c r="D160" s="3">
        <v>535229202</v>
      </c>
      <c r="E160" s="3" t="s">
        <v>142</v>
      </c>
      <c r="F160" t="s">
        <v>168</v>
      </c>
      <c r="G160" s="25" cm="1">
        <f t="array" ref="G160">IF(AND(A160:C160=S160:U160),IF((F160=Y160),1,0),999)</f>
        <v>999</v>
      </c>
      <c r="H160" s="24"/>
      <c r="K160" s="5">
        <v>3</v>
      </c>
      <c r="L160" s="5">
        <v>1</v>
      </c>
      <c r="M160" s="5">
        <v>1</v>
      </c>
      <c r="N160" s="5" t="s">
        <v>1046</v>
      </c>
      <c r="O160" s="5" t="s">
        <v>335</v>
      </c>
      <c r="P160" s="5" t="s">
        <v>142</v>
      </c>
      <c r="Q160" s="5" t="s">
        <v>165</v>
      </c>
      <c r="S160" s="24">
        <v>3</v>
      </c>
      <c r="T160" s="24">
        <v>1</v>
      </c>
      <c r="U160" s="24">
        <v>1</v>
      </c>
      <c r="V160" s="24" t="str">
        <v>ERIKO LEVINO SASMITRA</v>
      </c>
      <c r="W160" s="24" t="str">
        <v>535220014</v>
      </c>
      <c r="X160" s="24" t="str">
        <v>Magang</v>
      </c>
      <c r="Y160" s="24" t="str">
        <v>Darius Andana Haris, S.Kom., MTI</v>
      </c>
    </row>
    <row r="161" spans="1:25" ht="43.7" customHeight="1" x14ac:dyDescent="0.2">
      <c r="A161" s="8">
        <v>3</v>
      </c>
      <c r="B161" s="8">
        <v>2</v>
      </c>
      <c r="C161" s="8">
        <v>2</v>
      </c>
      <c r="D161" s="3">
        <v>825220051</v>
      </c>
      <c r="E161" s="3" t="s">
        <v>142</v>
      </c>
      <c r="F161" t="s">
        <v>168</v>
      </c>
      <c r="G161" s="25" cm="1">
        <f t="array" ref="G161">IF(AND(A161:C161=S161:U161),IF((F161=Y161),1,0),999)</f>
        <v>999</v>
      </c>
      <c r="H161" s="24"/>
      <c r="K161" s="5">
        <v>3</v>
      </c>
      <c r="L161" s="5">
        <v>1</v>
      </c>
      <c r="M161" s="5">
        <v>1</v>
      </c>
      <c r="N161" s="5" t="s">
        <v>1047</v>
      </c>
      <c r="O161" s="5" t="s">
        <v>336</v>
      </c>
      <c r="P161" s="5" t="s">
        <v>142</v>
      </c>
      <c r="Q161" s="5" t="s">
        <v>165</v>
      </c>
      <c r="S161" s="24">
        <v>3</v>
      </c>
      <c r="T161" s="24">
        <v>1</v>
      </c>
      <c r="U161" s="24">
        <v>1</v>
      </c>
      <c r="V161" s="24" t="str">
        <v>IVANDER</v>
      </c>
      <c r="W161" s="24" t="str">
        <v>535220020</v>
      </c>
      <c r="X161" s="24" t="str">
        <v>Magang</v>
      </c>
      <c r="Y161" s="24" t="str">
        <v>Darius Andana Haris, S.Kom., MTI</v>
      </c>
    </row>
    <row r="162" spans="1:25" ht="44.1" customHeight="1" x14ac:dyDescent="0.2">
      <c r="A162" s="8">
        <v>0</v>
      </c>
      <c r="B162" s="8">
        <v>3</v>
      </c>
      <c r="C162" s="8">
        <v>0</v>
      </c>
      <c r="D162" s="3">
        <v>535220221</v>
      </c>
      <c r="E162" s="3" t="s">
        <v>142</v>
      </c>
      <c r="F162" t="s">
        <v>163</v>
      </c>
      <c r="G162" s="25" cm="1">
        <f t="array" ref="G162">IF(AND(A162:C162=S162:U162),IF((F162=Y162),1,0),999)</f>
        <v>999</v>
      </c>
      <c r="H162" s="24"/>
      <c r="K162" s="5">
        <v>3</v>
      </c>
      <c r="L162" s="5">
        <v>1</v>
      </c>
      <c r="M162" s="5">
        <v>2</v>
      </c>
      <c r="N162" s="5" t="s">
        <v>1048</v>
      </c>
      <c r="O162" s="5" t="s">
        <v>337</v>
      </c>
      <c r="P162" s="5" t="s">
        <v>142</v>
      </c>
      <c r="Q162" s="5" t="s">
        <v>166</v>
      </c>
      <c r="S162" s="24">
        <v>4</v>
      </c>
      <c r="T162" s="24">
        <v>1</v>
      </c>
      <c r="U162" s="24">
        <v>1</v>
      </c>
      <c r="V162" s="24" t="str">
        <v>TANJAYA JASON WINATA</v>
      </c>
      <c r="W162" s="24" t="str">
        <v>535220041</v>
      </c>
      <c r="X162" s="24" t="str">
        <v>Magang</v>
      </c>
      <c r="Y162" s="24" t="str">
        <v>Lely Hiryanto, ST, M.Sc., Ph.D</v>
      </c>
    </row>
    <row r="163" spans="1:25" ht="42.95" customHeight="1" x14ac:dyDescent="0.2">
      <c r="A163" s="8">
        <v>0</v>
      </c>
      <c r="B163" s="8">
        <v>3</v>
      </c>
      <c r="C163" s="8">
        <v>0</v>
      </c>
      <c r="D163" s="3">
        <v>535220224</v>
      </c>
      <c r="E163" s="3" t="s">
        <v>142</v>
      </c>
      <c r="F163" t="s">
        <v>163</v>
      </c>
      <c r="G163" s="25" cm="1">
        <f t="array" ref="G163">IF(AND(A163:C163=S163:U163),IF((F163=Y163),1,0),999)</f>
        <v>999</v>
      </c>
      <c r="H163" s="24"/>
      <c r="K163" s="5">
        <v>3</v>
      </c>
      <c r="L163" s="5">
        <v>1</v>
      </c>
      <c r="M163" s="5">
        <v>2</v>
      </c>
      <c r="N163" s="5" t="s">
        <v>1049</v>
      </c>
      <c r="O163" s="5" t="s">
        <v>338</v>
      </c>
      <c r="P163" s="5" t="s">
        <v>142</v>
      </c>
      <c r="Q163" s="5" t="s">
        <v>166</v>
      </c>
      <c r="S163" s="24">
        <v>4</v>
      </c>
      <c r="T163" s="24">
        <v>1</v>
      </c>
      <c r="U163" s="24">
        <v>1</v>
      </c>
      <c r="V163" s="24" t="str">
        <v>RUBEN TOBIA CHAIYADI</v>
      </c>
      <c r="W163" s="24" t="str">
        <v>535220051</v>
      </c>
      <c r="X163" s="24" t="str">
        <v>Magang</v>
      </c>
      <c r="Y163" s="24" t="str">
        <v>Lely Hiryanto, ST, M.Sc., Ph.D</v>
      </c>
    </row>
    <row r="164" spans="1:25" ht="44.1" customHeight="1" x14ac:dyDescent="0.2">
      <c r="A164" s="8">
        <v>0</v>
      </c>
      <c r="B164" s="8">
        <v>3</v>
      </c>
      <c r="C164" s="8">
        <v>0</v>
      </c>
      <c r="D164" s="3">
        <v>535220234</v>
      </c>
      <c r="E164" s="3" t="s">
        <v>142</v>
      </c>
      <c r="F164" t="s">
        <v>163</v>
      </c>
      <c r="G164" s="25" cm="1">
        <f t="array" ref="G164">IF(AND(A164:C164=S164:U164),IF((F164=Y164),1,0),999)</f>
        <v>999</v>
      </c>
      <c r="H164" s="24"/>
      <c r="K164" s="5">
        <v>3</v>
      </c>
      <c r="L164" s="5">
        <v>1</v>
      </c>
      <c r="M164" s="5">
        <v>2</v>
      </c>
      <c r="N164" s="5" t="s">
        <v>1050</v>
      </c>
      <c r="O164" s="5" t="s">
        <v>339</v>
      </c>
      <c r="P164" s="5" t="s">
        <v>142</v>
      </c>
      <c r="Q164" s="5" t="s">
        <v>166</v>
      </c>
      <c r="S164" s="24">
        <v>4</v>
      </c>
      <c r="T164" s="24">
        <v>1</v>
      </c>
      <c r="U164" s="24">
        <v>1</v>
      </c>
      <c r="V164" s="24" t="str">
        <v>STEFANUS ANTHONY HARRY</v>
      </c>
      <c r="W164" s="24" t="str">
        <v>535220146</v>
      </c>
      <c r="X164" s="24" t="str">
        <v>Magang</v>
      </c>
      <c r="Y164" s="24" t="str">
        <v>Lely Hiryanto, ST, M.Sc., Ph.D</v>
      </c>
    </row>
    <row r="165" spans="1:25" ht="44.1" customHeight="1" x14ac:dyDescent="0.2">
      <c r="A165" s="8">
        <v>0</v>
      </c>
      <c r="B165" s="8">
        <v>3</v>
      </c>
      <c r="C165" s="8">
        <v>0</v>
      </c>
      <c r="D165" s="3">
        <v>535220242</v>
      </c>
      <c r="E165" s="3" t="s">
        <v>142</v>
      </c>
      <c r="F165" t="s">
        <v>163</v>
      </c>
      <c r="G165" s="25" cm="1">
        <f t="array" ref="G165">IF(AND(A165:C165=S165:U165),IF((F165=Y165),1,0),999)</f>
        <v>999</v>
      </c>
      <c r="H165" s="24"/>
      <c r="K165" s="5">
        <v>3</v>
      </c>
      <c r="L165" s="5">
        <v>1</v>
      </c>
      <c r="M165" s="5">
        <v>2</v>
      </c>
      <c r="N165" s="5" t="s">
        <v>1051</v>
      </c>
      <c r="O165" s="5" t="s">
        <v>340</v>
      </c>
      <c r="P165" s="5" t="s">
        <v>142</v>
      </c>
      <c r="Q165" s="5" t="s">
        <v>166</v>
      </c>
      <c r="S165" s="24">
        <v>4</v>
      </c>
      <c r="T165" s="24">
        <v>1</v>
      </c>
      <c r="U165" s="24">
        <v>1</v>
      </c>
      <c r="V165" s="24" t="str">
        <v xml:space="preserve">VALEROY PUTRA SIENTIKA </v>
      </c>
      <c r="W165" s="24" t="str">
        <v>535220151</v>
      </c>
      <c r="X165" s="24" t="str">
        <v>Magang</v>
      </c>
      <c r="Y165" s="24" t="str">
        <v>Lely Hiryanto, ST, M.Sc., Ph.D</v>
      </c>
    </row>
    <row r="166" spans="1:25" ht="43.5" customHeight="1" x14ac:dyDescent="0.2">
      <c r="A166" s="8">
        <v>0</v>
      </c>
      <c r="B166" s="8">
        <v>3</v>
      </c>
      <c r="C166" s="8">
        <v>0</v>
      </c>
      <c r="D166" s="3">
        <v>535220266</v>
      </c>
      <c r="E166" s="3" t="s">
        <v>142</v>
      </c>
      <c r="F166" t="s">
        <v>163</v>
      </c>
      <c r="G166" s="25" cm="1">
        <f t="array" ref="G166">IF(AND(A166:C166=S166:U166),IF((F166=Y166),1,0),999)</f>
        <v>999</v>
      </c>
      <c r="H166" s="24"/>
      <c r="K166" s="5">
        <v>3</v>
      </c>
      <c r="L166" s="5">
        <v>1</v>
      </c>
      <c r="M166" s="5">
        <v>2</v>
      </c>
      <c r="N166" s="5" t="s">
        <v>1052</v>
      </c>
      <c r="O166" s="5" t="s">
        <v>341</v>
      </c>
      <c r="P166" s="5" t="s">
        <v>142</v>
      </c>
      <c r="Q166" s="5" t="s">
        <v>166</v>
      </c>
      <c r="S166" s="24">
        <v>4</v>
      </c>
      <c r="T166" s="24">
        <v>1</v>
      </c>
      <c r="U166" s="24">
        <v>1</v>
      </c>
      <c r="V166" s="24" t="str">
        <v>FELIX FERDINAND</v>
      </c>
      <c r="W166" s="24" t="str">
        <v>535220161</v>
      </c>
      <c r="X166" s="24" t="str">
        <v>Magang</v>
      </c>
      <c r="Y166" s="24" t="str">
        <v>Lely Hiryanto, ST, M.Sc., Ph.D</v>
      </c>
    </row>
    <row r="167" spans="1:25" ht="42.95" customHeight="1" x14ac:dyDescent="0.2">
      <c r="A167" s="8">
        <v>1</v>
      </c>
      <c r="B167" s="8">
        <v>3</v>
      </c>
      <c r="C167" s="8">
        <v>0</v>
      </c>
      <c r="D167" s="3">
        <v>825220041</v>
      </c>
      <c r="E167" s="3" t="s">
        <v>142</v>
      </c>
      <c r="F167" t="s">
        <v>155</v>
      </c>
      <c r="G167" s="25" cm="1">
        <f t="array" ref="G167">IF(AND(A167:C167=S167:U167),IF((F167=Y167),1,0),999)</f>
        <v>999</v>
      </c>
      <c r="H167" s="24"/>
      <c r="K167" s="5">
        <v>4</v>
      </c>
      <c r="L167" s="5">
        <v>1</v>
      </c>
      <c r="M167" s="5">
        <v>0</v>
      </c>
      <c r="N167" s="5" t="s">
        <v>1053</v>
      </c>
      <c r="O167" s="5" t="s">
        <v>342</v>
      </c>
      <c r="P167" s="5" t="s">
        <v>143</v>
      </c>
      <c r="Q167" s="5" t="s">
        <v>159</v>
      </c>
      <c r="S167" s="24">
        <v>5</v>
      </c>
      <c r="T167" s="24">
        <v>1</v>
      </c>
      <c r="U167" s="24">
        <v>1</v>
      </c>
      <c r="V167" s="24" t="str">
        <v>TIGO ILHAMI FASYAH</v>
      </c>
      <c r="W167" s="24" t="str">
        <v>535220235</v>
      </c>
      <c r="X167" s="24" t="str">
        <v>Magang</v>
      </c>
      <c r="Y167" s="24" t="str">
        <v>Lely Hiryanto, ST, M.Sc., Ph.D</v>
      </c>
    </row>
    <row r="168" spans="1:25" ht="44.1" customHeight="1" x14ac:dyDescent="0.2">
      <c r="A168" s="8">
        <v>1</v>
      </c>
      <c r="B168" s="8">
        <v>3</v>
      </c>
      <c r="C168" s="8">
        <v>0</v>
      </c>
      <c r="D168" s="3">
        <v>825220065</v>
      </c>
      <c r="E168" s="3" t="s">
        <v>142</v>
      </c>
      <c r="F168" t="s">
        <v>155</v>
      </c>
      <c r="G168" s="25" cm="1">
        <f t="array" ref="G168">IF(AND(A168:C168=S168:U168),IF((F168=Y168),1,0),999)</f>
        <v>999</v>
      </c>
      <c r="H168" s="24"/>
      <c r="K168" s="5">
        <v>4</v>
      </c>
      <c r="L168" s="5">
        <v>1</v>
      </c>
      <c r="M168" s="5">
        <v>0</v>
      </c>
      <c r="N168" s="5" t="s">
        <v>1054</v>
      </c>
      <c r="O168" s="5" t="s">
        <v>343</v>
      </c>
      <c r="P168" s="5" t="s">
        <v>143</v>
      </c>
      <c r="Q168" s="5" t="s">
        <v>159</v>
      </c>
      <c r="S168" s="24">
        <v>5</v>
      </c>
      <c r="T168" s="24">
        <v>1</v>
      </c>
      <c r="U168" s="24">
        <v>1</v>
      </c>
      <c r="V168" s="24" t="str">
        <v>WIDYA KHAERUNNISYAH</v>
      </c>
      <c r="W168" s="24" t="str">
        <v>535220262</v>
      </c>
      <c r="X168" s="24" t="str">
        <v>Magang</v>
      </c>
      <c r="Y168" s="24" t="str">
        <v>Lely Hiryanto, ST, M.Sc., Ph.D</v>
      </c>
    </row>
    <row r="169" spans="1:25" ht="42.95" customHeight="1" x14ac:dyDescent="0.2">
      <c r="A169" s="8">
        <v>1</v>
      </c>
      <c r="B169" s="8">
        <v>3</v>
      </c>
      <c r="C169" s="8">
        <v>0</v>
      </c>
      <c r="D169" s="3">
        <v>825220067</v>
      </c>
      <c r="E169" s="3" t="s">
        <v>142</v>
      </c>
      <c r="F169" t="s">
        <v>155</v>
      </c>
      <c r="G169" s="25" cm="1">
        <f t="array" ref="G169">IF(AND(A169:C169=S169:U169),IF((F169=Y169),1,0),999)</f>
        <v>999</v>
      </c>
      <c r="H169" s="24"/>
      <c r="K169" s="5">
        <v>4</v>
      </c>
      <c r="L169" s="5">
        <v>1</v>
      </c>
      <c r="M169" s="5">
        <v>0</v>
      </c>
      <c r="N169" s="5" t="s">
        <v>1055</v>
      </c>
      <c r="O169" s="5" t="s">
        <v>344</v>
      </c>
      <c r="P169" s="5" t="s">
        <v>142</v>
      </c>
      <c r="Q169" s="5" t="s">
        <v>165</v>
      </c>
      <c r="S169" s="24">
        <v>5</v>
      </c>
      <c r="T169" s="24">
        <v>1</v>
      </c>
      <c r="U169" s="24">
        <v>1</v>
      </c>
      <c r="V169" s="24" t="str">
        <v>HANSEN PRATAMA</v>
      </c>
      <c r="W169" s="24" t="str">
        <v>535220128</v>
      </c>
      <c r="X169" s="24" t="str">
        <v>Magang</v>
      </c>
      <c r="Y169" s="24" t="str">
        <v>Lely Hiryanto, ST, M.Sc., Ph.D</v>
      </c>
    </row>
    <row r="170" spans="1:25" ht="44.1" customHeight="1" x14ac:dyDescent="0.2">
      <c r="A170" s="8">
        <v>1</v>
      </c>
      <c r="B170" s="8">
        <v>3</v>
      </c>
      <c r="C170" s="8">
        <v>0</v>
      </c>
      <c r="D170" s="3">
        <v>825220083</v>
      </c>
      <c r="E170" s="3" t="s">
        <v>142</v>
      </c>
      <c r="F170" t="s">
        <v>155</v>
      </c>
      <c r="G170" s="25" cm="1">
        <f t="array" ref="G170">IF(AND(A170:C170=S170:U170),IF((F170=Y170),1,0),999)</f>
        <v>999</v>
      </c>
      <c r="H170" s="24"/>
      <c r="K170" s="5">
        <v>4</v>
      </c>
      <c r="L170" s="5">
        <v>1</v>
      </c>
      <c r="M170" s="5">
        <v>0</v>
      </c>
      <c r="N170" s="5" t="s">
        <v>1056</v>
      </c>
      <c r="O170" s="5" t="s">
        <v>345</v>
      </c>
      <c r="P170" s="5" t="s">
        <v>143</v>
      </c>
      <c r="Q170" s="5" t="s">
        <v>165</v>
      </c>
      <c r="S170" s="24">
        <v>5</v>
      </c>
      <c r="T170" s="24">
        <v>1</v>
      </c>
      <c r="U170" s="24">
        <v>1</v>
      </c>
      <c r="V170" s="24" t="str">
        <v>ALBERT</v>
      </c>
      <c r="W170" s="24" t="str">
        <v>535220024</v>
      </c>
      <c r="X170" s="24" t="str">
        <v>Stupen</v>
      </c>
      <c r="Y170" s="24" t="str">
        <v>Lely Hiryanto, ST, M.Sc., Ph.D</v>
      </c>
    </row>
    <row r="171" spans="1:25" ht="42.6" customHeight="1" x14ac:dyDescent="0.2">
      <c r="A171" s="8">
        <v>1</v>
      </c>
      <c r="B171" s="8">
        <v>3</v>
      </c>
      <c r="C171" s="8">
        <v>0</v>
      </c>
      <c r="D171" s="3">
        <v>825220108</v>
      </c>
      <c r="E171" s="3" t="s">
        <v>142</v>
      </c>
      <c r="F171" t="s">
        <v>155</v>
      </c>
      <c r="G171" s="25" cm="1">
        <f t="array" ref="G171">IF(AND(A171:C171=S171:U171),IF((F171=Y171),1,0),999)</f>
        <v>999</v>
      </c>
      <c r="H171" s="24"/>
      <c r="K171" s="5">
        <v>4</v>
      </c>
      <c r="L171" s="5">
        <v>1</v>
      </c>
      <c r="M171" s="5">
        <v>0</v>
      </c>
      <c r="N171" s="5" t="s">
        <v>1057</v>
      </c>
      <c r="O171" s="5" t="s">
        <v>346</v>
      </c>
      <c r="P171" s="5" t="s">
        <v>143</v>
      </c>
      <c r="Q171" s="5" t="s">
        <v>165</v>
      </c>
      <c r="S171" s="24">
        <v>5</v>
      </c>
      <c r="T171" s="24">
        <v>1</v>
      </c>
      <c r="U171" s="24">
        <v>1</v>
      </c>
      <c r="V171" s="24" t="str">
        <v>JASON CHAINARA PUTRA</v>
      </c>
      <c r="W171" s="24" t="str">
        <v>535220045</v>
      </c>
      <c r="X171" s="24" t="str">
        <v>Stupen</v>
      </c>
      <c r="Y171" s="24" t="str">
        <v>Lely Hiryanto, ST, M.Sc., Ph.D</v>
      </c>
    </row>
    <row r="172" spans="1:25" ht="44.1" customHeight="1" x14ac:dyDescent="0.2">
      <c r="A172" s="8">
        <v>2</v>
      </c>
      <c r="B172" s="8">
        <v>3</v>
      </c>
      <c r="C172" s="8">
        <v>0</v>
      </c>
      <c r="D172" s="3">
        <v>825220074</v>
      </c>
      <c r="E172" s="3" t="s">
        <v>142</v>
      </c>
      <c r="F172" t="s">
        <v>153</v>
      </c>
      <c r="G172" s="25" cm="1">
        <f t="array" ref="G172">IF(AND(A172:C172=S172:U172),IF((F172=Y172),1,0),999)</f>
        <v>999</v>
      </c>
      <c r="H172" s="24"/>
      <c r="K172" s="5">
        <v>4</v>
      </c>
      <c r="L172" s="5">
        <v>1</v>
      </c>
      <c r="M172" s="5">
        <v>1</v>
      </c>
      <c r="N172" s="5" t="s">
        <v>1058</v>
      </c>
      <c r="O172" s="5" t="s">
        <v>347</v>
      </c>
      <c r="P172" s="5" t="s">
        <v>142</v>
      </c>
      <c r="Q172" s="5" t="s">
        <v>166</v>
      </c>
      <c r="S172" s="24">
        <v>6</v>
      </c>
      <c r="T172" s="24">
        <v>1</v>
      </c>
      <c r="U172" s="24">
        <v>1</v>
      </c>
      <c r="V172" s="24" t="str">
        <v>RANDY CENSON</v>
      </c>
      <c r="W172" s="24" t="str">
        <v>535220175</v>
      </c>
      <c r="X172" s="24" t="str">
        <v>Stupen</v>
      </c>
      <c r="Y172" s="24" t="str">
        <v>Lely Hiryanto, ST, M.Sc., Ph.D</v>
      </c>
    </row>
    <row r="173" spans="1:25" ht="44.1" customHeight="1" x14ac:dyDescent="0.2">
      <c r="A173" s="8">
        <v>2</v>
      </c>
      <c r="B173" s="8">
        <v>3</v>
      </c>
      <c r="C173" s="8">
        <v>0</v>
      </c>
      <c r="D173" s="3">
        <v>825220159</v>
      </c>
      <c r="E173" s="3" t="s">
        <v>142</v>
      </c>
      <c r="F173" t="s">
        <v>153</v>
      </c>
      <c r="G173" s="25" cm="1">
        <f t="array" ref="G173">IF(AND(A173:C173=S173:U173),IF((F173=Y173),1,0),999)</f>
        <v>999</v>
      </c>
      <c r="H173" s="24"/>
      <c r="K173" s="5">
        <v>4</v>
      </c>
      <c r="L173" s="5">
        <v>1</v>
      </c>
      <c r="M173" s="5">
        <v>1</v>
      </c>
      <c r="N173" s="5" t="s">
        <v>1059</v>
      </c>
      <c r="O173" s="5" t="s">
        <v>348</v>
      </c>
      <c r="P173" s="5" t="s">
        <v>142</v>
      </c>
      <c r="Q173" s="5" t="s">
        <v>166</v>
      </c>
      <c r="S173" s="24">
        <v>6</v>
      </c>
      <c r="T173" s="24">
        <v>1</v>
      </c>
      <c r="U173" s="24">
        <v>1</v>
      </c>
      <c r="V173" s="24" t="str">
        <v>JASON WIEDARDI LIMTARA</v>
      </c>
      <c r="W173" s="24" t="str">
        <v>535220212</v>
      </c>
      <c r="X173" s="24" t="str">
        <v>Stupen</v>
      </c>
      <c r="Y173" s="24" t="str">
        <v>Lely Hiryanto, ST, M.Sc., Ph.D</v>
      </c>
    </row>
    <row r="174" spans="1:25" ht="42.95" customHeight="1" x14ac:dyDescent="0.2">
      <c r="A174" s="8">
        <v>2</v>
      </c>
      <c r="B174" s="8">
        <v>3</v>
      </c>
      <c r="C174" s="8">
        <v>0</v>
      </c>
      <c r="D174" s="3">
        <v>825220160</v>
      </c>
      <c r="E174" s="3" t="s">
        <v>142</v>
      </c>
      <c r="F174" t="s">
        <v>153</v>
      </c>
      <c r="G174" s="25" cm="1">
        <f t="array" ref="G174">IF(AND(A174:C174=S174:U174),IF((F174=Y174),1,0),999)</f>
        <v>999</v>
      </c>
      <c r="H174" s="24"/>
      <c r="K174" s="5">
        <v>4</v>
      </c>
      <c r="L174" s="5">
        <v>1</v>
      </c>
      <c r="M174" s="5">
        <v>1</v>
      </c>
      <c r="N174" s="5" t="s">
        <v>1060</v>
      </c>
      <c r="O174" s="5" t="s">
        <v>349</v>
      </c>
      <c r="P174" s="5" t="s">
        <v>142</v>
      </c>
      <c r="Q174" s="5" t="s">
        <v>166</v>
      </c>
      <c r="S174" s="24">
        <v>6</v>
      </c>
      <c r="T174" s="24">
        <v>1</v>
      </c>
      <c r="U174" s="24">
        <v>1</v>
      </c>
      <c r="V174" s="24" t="str">
        <v>JAVIER GUSTVIN</v>
      </c>
      <c r="W174" s="24" t="str">
        <v>535220140</v>
      </c>
      <c r="X174" s="24" t="str">
        <v>Magang</v>
      </c>
      <c r="Y174" s="24" t="str">
        <v>Teny Handhayani, S.Kom., M.Kom., Ph.D.</v>
      </c>
    </row>
    <row r="175" spans="1:25" ht="44.1" customHeight="1" x14ac:dyDescent="0.2">
      <c r="A175" s="8">
        <v>2</v>
      </c>
      <c r="B175" s="8">
        <v>3</v>
      </c>
      <c r="C175" s="8">
        <v>0</v>
      </c>
      <c r="D175" s="3">
        <v>825220161</v>
      </c>
      <c r="E175" s="3" t="s">
        <v>142</v>
      </c>
      <c r="F175" t="s">
        <v>153</v>
      </c>
      <c r="G175" s="25" cm="1">
        <f t="array" ref="G175">IF(AND(A175:C175=S175:U175),IF((F175=Y175),1,0),999)</f>
        <v>999</v>
      </c>
      <c r="H175" s="24"/>
      <c r="K175" s="5">
        <v>4</v>
      </c>
      <c r="L175" s="5">
        <v>1</v>
      </c>
      <c r="M175" s="5">
        <v>1</v>
      </c>
      <c r="N175" s="5" t="s">
        <v>1061</v>
      </c>
      <c r="O175" s="5" t="s">
        <v>350</v>
      </c>
      <c r="P175" s="5" t="s">
        <v>142</v>
      </c>
      <c r="Q175" s="5" t="s">
        <v>166</v>
      </c>
      <c r="S175" s="24">
        <v>6</v>
      </c>
      <c r="T175" s="24">
        <v>1</v>
      </c>
      <c r="U175" s="24">
        <v>1</v>
      </c>
      <c r="V175" s="24" t="str">
        <v xml:space="preserve">SURYA DHARMA KANG </v>
      </c>
      <c r="W175" s="24" t="str">
        <v>535220148</v>
      </c>
      <c r="X175" s="24" t="str">
        <v>Magang</v>
      </c>
      <c r="Y175" s="24" t="str">
        <v>Teny Handhayani, S.Kom., M.Kom., Ph.D.</v>
      </c>
    </row>
    <row r="176" spans="1:25" ht="33" customHeight="1" x14ac:dyDescent="0.2">
      <c r="A176" s="8">
        <v>2</v>
      </c>
      <c r="B176" s="8">
        <v>3</v>
      </c>
      <c r="C176" s="8">
        <v>0</v>
      </c>
      <c r="D176" s="4">
        <v>825220163</v>
      </c>
      <c r="E176" s="3" t="s">
        <v>142</v>
      </c>
      <c r="F176" t="s">
        <v>153</v>
      </c>
      <c r="G176" s="25" cm="1">
        <f t="array" ref="G176">IF(AND(A176:C176=S176:U176),IF((F176=Y176),1,0),999)</f>
        <v>999</v>
      </c>
      <c r="H176" s="24"/>
      <c r="K176" s="5">
        <v>4</v>
      </c>
      <c r="L176" s="5">
        <v>1</v>
      </c>
      <c r="M176" s="5">
        <v>1</v>
      </c>
      <c r="N176" s="5" t="s">
        <v>1062</v>
      </c>
      <c r="O176" s="5" t="s">
        <v>351</v>
      </c>
      <c r="P176" s="5" t="s">
        <v>142</v>
      </c>
      <c r="Q176" s="5" t="s">
        <v>166</v>
      </c>
      <c r="S176" s="24">
        <v>6</v>
      </c>
      <c r="T176" s="24">
        <v>1</v>
      </c>
      <c r="U176" s="24">
        <v>1</v>
      </c>
      <c r="V176" s="24" t="str">
        <v>SASKIA LAVINSKY</v>
      </c>
      <c r="W176" s="24" t="str">
        <v>535220176</v>
      </c>
      <c r="X176" s="24" t="str">
        <v>Magang</v>
      </c>
      <c r="Y176" s="24" t="str">
        <v>Teny Handhayani, S.Kom., M.Kom., Ph.D.</v>
      </c>
    </row>
    <row r="177" spans="1:25" ht="42.95" customHeight="1" x14ac:dyDescent="0.2">
      <c r="A177" s="8">
        <v>3</v>
      </c>
      <c r="B177" s="8">
        <v>3</v>
      </c>
      <c r="C177" s="8">
        <v>0</v>
      </c>
      <c r="D177" s="3">
        <v>825220164</v>
      </c>
      <c r="E177" s="3" t="s">
        <v>142</v>
      </c>
      <c r="F177" t="s">
        <v>153</v>
      </c>
      <c r="G177" s="25" cm="1">
        <f t="array" ref="G177">IF(AND(A177:C177=S177:U177),IF((F177=Y177),1,0),999)</f>
        <v>999</v>
      </c>
      <c r="H177" s="24"/>
      <c r="K177" s="5">
        <v>4</v>
      </c>
      <c r="L177" s="5">
        <v>1</v>
      </c>
      <c r="M177" s="5">
        <v>2</v>
      </c>
      <c r="N177" s="5" t="s">
        <v>1063</v>
      </c>
      <c r="O177" s="5" t="s">
        <v>352</v>
      </c>
      <c r="P177" s="5" t="s">
        <v>142</v>
      </c>
      <c r="Q177" s="5" t="s">
        <v>167</v>
      </c>
      <c r="S177" s="24">
        <v>0</v>
      </c>
      <c r="T177" s="24">
        <v>1</v>
      </c>
      <c r="U177" s="24">
        <v>2</v>
      </c>
      <c r="V177" s="24" t="str">
        <v>CARIN GUNAWAN</v>
      </c>
      <c r="W177" s="24" t="str">
        <v>535220056</v>
      </c>
      <c r="X177" s="24" t="str">
        <v>Magang</v>
      </c>
      <c r="Y177" s="24" t="str">
        <v>Manatap Dolok Lauro, S.Kom., MMSI</v>
      </c>
    </row>
    <row r="178" spans="1:25" ht="44.1" customHeight="1" x14ac:dyDescent="0.2">
      <c r="A178" s="8">
        <v>3</v>
      </c>
      <c r="B178" s="8">
        <v>3</v>
      </c>
      <c r="C178" s="8">
        <v>0</v>
      </c>
      <c r="D178" s="3">
        <v>825220068</v>
      </c>
      <c r="E178" s="3" t="s">
        <v>142</v>
      </c>
      <c r="F178" t="s">
        <v>153</v>
      </c>
      <c r="G178" s="25" cm="1">
        <f t="array" ref="G178">IF(AND(A178:C178=S178:U178),IF((F178=Y178),1,0),999)</f>
        <v>999</v>
      </c>
      <c r="H178" s="24"/>
      <c r="K178" s="5">
        <v>4</v>
      </c>
      <c r="L178" s="5">
        <v>1</v>
      </c>
      <c r="M178" s="5">
        <v>2</v>
      </c>
      <c r="N178" s="5" t="s">
        <v>1064</v>
      </c>
      <c r="O178" s="5" t="s">
        <v>353</v>
      </c>
      <c r="P178" s="5" t="s">
        <v>142</v>
      </c>
      <c r="Q178" s="5" t="s">
        <v>167</v>
      </c>
      <c r="S178" s="24">
        <v>0</v>
      </c>
      <c r="T178" s="24">
        <v>1</v>
      </c>
      <c r="U178" s="24">
        <v>2</v>
      </c>
      <c r="V178" s="24" t="str">
        <v xml:space="preserve">STEVEN FLIANTO </v>
      </c>
      <c r="W178" s="24" t="str">
        <v>535220057</v>
      </c>
      <c r="X178" s="24" t="str">
        <v>Magang</v>
      </c>
      <c r="Y178" s="24" t="str">
        <v>Manatap Dolok Lauro, S.Kom., MMSI</v>
      </c>
    </row>
    <row r="179" spans="1:25" ht="42.95" customHeight="1" x14ac:dyDescent="0.2">
      <c r="A179" s="8">
        <v>3</v>
      </c>
      <c r="B179" s="8">
        <v>3</v>
      </c>
      <c r="C179" s="8">
        <v>0</v>
      </c>
      <c r="D179" s="3">
        <v>825220071</v>
      </c>
      <c r="E179" s="3" t="s">
        <v>142</v>
      </c>
      <c r="F179" t="s">
        <v>153</v>
      </c>
      <c r="G179" s="25" cm="1">
        <f t="array" ref="G179">IF(AND(A179:C179=S179:U179),IF((F179=Y179),1,0),999)</f>
        <v>999</v>
      </c>
      <c r="H179" s="24"/>
      <c r="K179" s="5">
        <v>4</v>
      </c>
      <c r="L179" s="5">
        <v>1</v>
      </c>
      <c r="M179" s="5">
        <v>2</v>
      </c>
      <c r="N179" s="5" t="s">
        <v>1065</v>
      </c>
      <c r="O179" s="5" t="s">
        <v>354</v>
      </c>
      <c r="P179" s="5" t="s">
        <v>142</v>
      </c>
      <c r="Q179" s="5" t="s">
        <v>167</v>
      </c>
      <c r="S179" s="24">
        <v>0</v>
      </c>
      <c r="T179" s="24">
        <v>1</v>
      </c>
      <c r="U179" s="24">
        <v>2</v>
      </c>
      <c r="V179" s="24" t="str">
        <v>FRANSISKUS DHARMA HADI WIJAYA</v>
      </c>
      <c r="W179" s="24" t="str">
        <v>535220106</v>
      </c>
      <c r="X179" s="24" t="str">
        <v>Magang</v>
      </c>
      <c r="Y179" s="24" t="str">
        <v>Manatap Dolok Lauro, S.Kom., MMSI</v>
      </c>
    </row>
    <row r="180" spans="1:25" ht="44.1" customHeight="1" x14ac:dyDescent="0.2">
      <c r="A180" s="8">
        <v>3</v>
      </c>
      <c r="B180" s="8">
        <v>3</v>
      </c>
      <c r="C180" s="8">
        <v>0</v>
      </c>
      <c r="D180" s="3">
        <v>825220072</v>
      </c>
      <c r="E180" s="3" t="s">
        <v>142</v>
      </c>
      <c r="F180" t="s">
        <v>153</v>
      </c>
      <c r="G180" s="25" cm="1">
        <f t="array" ref="G180">IF(AND(A180:C180=S180:U180),IF((F180=Y180),1,0),999)</f>
        <v>999</v>
      </c>
      <c r="H180" s="24"/>
      <c r="K180" s="5">
        <v>4</v>
      </c>
      <c r="L180" s="5">
        <v>1</v>
      </c>
      <c r="M180" s="5">
        <v>2</v>
      </c>
      <c r="N180" s="5" t="s">
        <v>1066</v>
      </c>
      <c r="O180" s="5" t="s">
        <v>355</v>
      </c>
      <c r="P180" s="5" t="s">
        <v>142</v>
      </c>
      <c r="Q180" s="5" t="s">
        <v>167</v>
      </c>
      <c r="S180" s="24">
        <v>0</v>
      </c>
      <c r="T180" s="24">
        <v>1</v>
      </c>
      <c r="U180" s="24">
        <v>2</v>
      </c>
      <c r="V180" s="24" t="str">
        <v>ANGELINE SHEVENIA</v>
      </c>
      <c r="W180" s="24" t="str">
        <v>535220108</v>
      </c>
      <c r="X180" s="24" t="str">
        <v>Magang</v>
      </c>
      <c r="Y180" s="24" t="str">
        <v>Manatap Dolok Lauro, S.Kom., MMSI</v>
      </c>
    </row>
    <row r="181" spans="1:25" ht="42.6" customHeight="1" x14ac:dyDescent="0.2">
      <c r="A181" s="8">
        <v>3</v>
      </c>
      <c r="B181" s="8">
        <v>3</v>
      </c>
      <c r="C181" s="8">
        <v>0</v>
      </c>
      <c r="D181" s="3">
        <v>825220073</v>
      </c>
      <c r="E181" s="3" t="s">
        <v>142</v>
      </c>
      <c r="F181" t="s">
        <v>153</v>
      </c>
      <c r="G181" s="25" cm="1">
        <f t="array" ref="G181">IF(AND(A181:C181=S181:U181),IF((F181=Y181),1,0),999)</f>
        <v>999</v>
      </c>
      <c r="H181" s="24"/>
      <c r="K181" s="5">
        <v>4</v>
      </c>
      <c r="L181" s="5">
        <v>1</v>
      </c>
      <c r="M181" s="5">
        <v>2</v>
      </c>
      <c r="N181" s="5" t="s">
        <v>1067</v>
      </c>
      <c r="O181" s="5" t="s">
        <v>356</v>
      </c>
      <c r="P181" s="5" t="s">
        <v>142</v>
      </c>
      <c r="Q181" s="5" t="s">
        <v>167</v>
      </c>
      <c r="S181" s="24">
        <v>0</v>
      </c>
      <c r="T181" s="24">
        <v>1</v>
      </c>
      <c r="U181" s="24">
        <v>2</v>
      </c>
      <c r="V181" s="24" t="str">
        <v>LEVINA GRACE EVANGELINE</v>
      </c>
      <c r="W181" s="24" t="str">
        <v>535220109</v>
      </c>
      <c r="X181" s="24" t="str">
        <v>Magang</v>
      </c>
      <c r="Y181" s="24" t="str">
        <v>Manatap Dolok Lauro, S.Kom., MMSI</v>
      </c>
    </row>
    <row r="182" spans="1:25" ht="44.1" customHeight="1" x14ac:dyDescent="0.2">
      <c r="A182" s="8">
        <v>4</v>
      </c>
      <c r="B182" s="8">
        <v>3</v>
      </c>
      <c r="C182" s="8">
        <v>0</v>
      </c>
      <c r="D182" s="3">
        <v>535220002</v>
      </c>
      <c r="E182" s="3" t="s">
        <v>142</v>
      </c>
      <c r="F182" t="s">
        <v>170</v>
      </c>
      <c r="G182" s="25" cm="1">
        <f t="array" ref="G182">IF(AND(A182:C182=S182:U182),IF((F182=Y182),1,0),999)</f>
        <v>999</v>
      </c>
      <c r="H182" s="24"/>
      <c r="K182" s="5">
        <v>5</v>
      </c>
      <c r="L182" s="5">
        <v>1</v>
      </c>
      <c r="M182" s="5">
        <v>0</v>
      </c>
      <c r="N182" s="5" t="s">
        <v>1068</v>
      </c>
      <c r="O182" s="5" t="s">
        <v>357</v>
      </c>
      <c r="P182" s="5" t="s">
        <v>143</v>
      </c>
      <c r="Q182" s="5" t="s">
        <v>165</v>
      </c>
      <c r="S182" s="24">
        <v>1</v>
      </c>
      <c r="T182" s="24">
        <v>1</v>
      </c>
      <c r="U182" s="24">
        <v>2</v>
      </c>
      <c r="V182" s="24" t="str">
        <v>RAYNALDO GRACIA BUNTORO</v>
      </c>
      <c r="W182" s="24" t="str">
        <v>535220162</v>
      </c>
      <c r="X182" s="24" t="str">
        <v>Magang</v>
      </c>
      <c r="Y182" s="24" t="str">
        <v>Manatap Dolok Lauro, S.Kom., MMSI</v>
      </c>
    </row>
    <row r="183" spans="1:25" ht="42.95" customHeight="1" x14ac:dyDescent="0.2">
      <c r="A183" s="8">
        <v>4</v>
      </c>
      <c r="B183" s="8">
        <v>3</v>
      </c>
      <c r="C183" s="8">
        <v>0</v>
      </c>
      <c r="D183" s="3">
        <v>535220004</v>
      </c>
      <c r="E183" s="3" t="s">
        <v>142</v>
      </c>
      <c r="F183" t="s">
        <v>170</v>
      </c>
      <c r="G183" s="25" cm="1">
        <f t="array" ref="G183">IF(AND(A183:C183=S183:U183),IF((F183=Y183),1,0),999)</f>
        <v>999</v>
      </c>
      <c r="H183" s="24"/>
      <c r="K183" s="5">
        <v>5</v>
      </c>
      <c r="L183" s="5">
        <v>1</v>
      </c>
      <c r="M183" s="5">
        <v>0</v>
      </c>
      <c r="N183" s="5" t="s">
        <v>1069</v>
      </c>
      <c r="O183" s="5" t="s">
        <v>358</v>
      </c>
      <c r="P183" s="5" t="s">
        <v>143</v>
      </c>
      <c r="Q183" s="5" t="s">
        <v>165</v>
      </c>
      <c r="S183" s="24">
        <v>1</v>
      </c>
      <c r="T183" s="24">
        <v>1</v>
      </c>
      <c r="U183" s="24">
        <v>2</v>
      </c>
      <c r="V183" s="24" t="str">
        <v>CHRISTABELLA JOCELYNNE CHANDRA</v>
      </c>
      <c r="W183" s="24" t="str">
        <v>535220166</v>
      </c>
      <c r="X183" s="24" t="str">
        <v>Magang</v>
      </c>
      <c r="Y183" s="24" t="str">
        <v>Manatap Dolok Lauro, S.Kom., MMSI</v>
      </c>
    </row>
    <row r="184" spans="1:25" ht="44.1" customHeight="1" x14ac:dyDescent="0.2">
      <c r="A184" s="8">
        <v>4</v>
      </c>
      <c r="B184" s="8">
        <v>3</v>
      </c>
      <c r="C184" s="8">
        <v>0</v>
      </c>
      <c r="D184" s="3">
        <v>535220027</v>
      </c>
      <c r="E184" s="3" t="s">
        <v>142</v>
      </c>
      <c r="F184" t="s">
        <v>170</v>
      </c>
      <c r="G184" s="25" cm="1">
        <f t="array" ref="G184">IF(AND(A184:C184=S184:U184),IF((F184=Y184),1,0),999)</f>
        <v>999</v>
      </c>
      <c r="H184" s="24"/>
      <c r="K184" s="5">
        <v>5</v>
      </c>
      <c r="L184" s="5">
        <v>1</v>
      </c>
      <c r="M184" s="5">
        <v>0</v>
      </c>
      <c r="N184" s="5" t="s">
        <v>1070</v>
      </c>
      <c r="O184" s="5" t="s">
        <v>359</v>
      </c>
      <c r="P184" s="5" t="s">
        <v>145</v>
      </c>
      <c r="Q184" s="5" t="s">
        <v>165</v>
      </c>
      <c r="S184" s="24">
        <v>1</v>
      </c>
      <c r="T184" s="24">
        <v>1</v>
      </c>
      <c r="U184" s="24">
        <v>2</v>
      </c>
      <c r="V184" s="24" t="str">
        <v>ANGELA CHOW</v>
      </c>
      <c r="W184" s="24" t="str">
        <v>535220170</v>
      </c>
      <c r="X184" s="24" t="str">
        <v>Magang</v>
      </c>
      <c r="Y184" s="24" t="str">
        <v>Manatap Dolok Lauro, S.Kom., MMSI</v>
      </c>
    </row>
    <row r="185" spans="1:25" ht="44.1" customHeight="1" x14ac:dyDescent="0.2">
      <c r="A185" s="8">
        <v>4</v>
      </c>
      <c r="B185" s="8">
        <v>3</v>
      </c>
      <c r="C185" s="8">
        <v>0</v>
      </c>
      <c r="D185" s="3">
        <v>535220030</v>
      </c>
      <c r="E185" s="3" t="s">
        <v>142</v>
      </c>
      <c r="F185" t="s">
        <v>170</v>
      </c>
      <c r="G185" s="25" cm="1">
        <f t="array" ref="G185">IF(AND(A185:C185=S185:U185),IF((F185=Y185),1,0),999)</f>
        <v>999</v>
      </c>
      <c r="H185" s="24"/>
      <c r="K185" s="5">
        <v>5</v>
      </c>
      <c r="L185" s="5">
        <v>1</v>
      </c>
      <c r="M185" s="5">
        <v>0</v>
      </c>
      <c r="N185" s="5" t="s">
        <v>1071</v>
      </c>
      <c r="O185" s="5" t="s">
        <v>360</v>
      </c>
      <c r="P185" s="5" t="s">
        <v>145</v>
      </c>
      <c r="Q185" s="5" t="s">
        <v>165</v>
      </c>
      <c r="S185" s="24">
        <v>1</v>
      </c>
      <c r="T185" s="24">
        <v>1</v>
      </c>
      <c r="U185" s="24">
        <v>2</v>
      </c>
      <c r="V185" s="24" t="str">
        <v>DIMAS SAPUTRA</v>
      </c>
      <c r="W185" s="24" t="str">
        <v>535220145</v>
      </c>
      <c r="X185" s="24" t="str">
        <v>Wirausaha</v>
      </c>
      <c r="Y185" s="24" t="str">
        <v>Manatap Dolok Lauro, S.Kom., MMSI</v>
      </c>
    </row>
    <row r="186" spans="1:25" ht="43.35" customHeight="1" x14ac:dyDescent="0.2">
      <c r="A186" s="8">
        <v>4</v>
      </c>
      <c r="B186" s="8">
        <v>3</v>
      </c>
      <c r="C186" s="8">
        <v>0</v>
      </c>
      <c r="D186" s="3">
        <v>535220038</v>
      </c>
      <c r="E186" s="3" t="s">
        <v>142</v>
      </c>
      <c r="F186" t="s">
        <v>170</v>
      </c>
      <c r="G186" s="25" cm="1">
        <f t="array" ref="G186">IF(AND(A186:C186=S186:U186),IF((F186=Y186),1,0),999)</f>
        <v>999</v>
      </c>
      <c r="H186" s="24"/>
      <c r="K186" s="5">
        <v>5</v>
      </c>
      <c r="L186" s="5">
        <v>1</v>
      </c>
      <c r="M186" s="5">
        <v>0</v>
      </c>
      <c r="N186" s="5" t="s">
        <v>1072</v>
      </c>
      <c r="O186" s="5" t="s">
        <v>361</v>
      </c>
      <c r="P186" s="5" t="s">
        <v>145</v>
      </c>
      <c r="Q186" s="5" t="s">
        <v>165</v>
      </c>
      <c r="S186" s="24">
        <v>1</v>
      </c>
      <c r="T186" s="24">
        <v>1</v>
      </c>
      <c r="U186" s="24">
        <v>2</v>
      </c>
      <c r="V186" s="24" t="str">
        <v>FARHAN ADHI WIDIARSONO</v>
      </c>
      <c r="W186" s="24" t="str">
        <v>535220228</v>
      </c>
      <c r="X186" s="24" t="str">
        <v>Wirausaha</v>
      </c>
      <c r="Y186" s="24" t="str">
        <v>Manatap Dolok Lauro, S.Kom., MMSI</v>
      </c>
    </row>
    <row r="187" spans="1:25" ht="43.5" customHeight="1" x14ac:dyDescent="0.2">
      <c r="A187" s="8">
        <v>5</v>
      </c>
      <c r="B187" s="8">
        <v>3</v>
      </c>
      <c r="C187" s="8">
        <v>0</v>
      </c>
      <c r="D187" s="3">
        <v>535220053</v>
      </c>
      <c r="E187" s="3" t="s">
        <v>143</v>
      </c>
      <c r="F187" t="s">
        <v>170</v>
      </c>
      <c r="G187" s="25" cm="1">
        <f t="array" ref="G187">IF(AND(A187:C187=S187:U187),IF((F187=Y187),1,0),999)</f>
        <v>999</v>
      </c>
      <c r="H187" s="24"/>
      <c r="K187" s="5">
        <v>5</v>
      </c>
      <c r="L187" s="5">
        <v>1</v>
      </c>
      <c r="M187" s="5">
        <v>1</v>
      </c>
      <c r="N187" s="5" t="s">
        <v>1073</v>
      </c>
      <c r="O187" s="5" t="s">
        <v>362</v>
      </c>
      <c r="P187" s="5" t="s">
        <v>142</v>
      </c>
      <c r="Q187" s="5" t="s">
        <v>166</v>
      </c>
      <c r="S187" s="24">
        <v>2</v>
      </c>
      <c r="T187" s="24">
        <v>1</v>
      </c>
      <c r="U187" s="24">
        <v>2</v>
      </c>
      <c r="V187" s="24" t="str">
        <v>MARCIA YANPRINCESSA UTAMA</v>
      </c>
      <c r="W187" s="24" t="str">
        <v>535220044</v>
      </c>
      <c r="X187" s="24" t="str">
        <v>Magang</v>
      </c>
      <c r="Y187" s="24" t="str">
        <v>Dra. Chairisni Lubis, M.Kom.</v>
      </c>
    </row>
    <row r="188" spans="1:25" ht="44.1" customHeight="1" x14ac:dyDescent="0.2">
      <c r="A188" s="8">
        <v>5</v>
      </c>
      <c r="B188" s="8">
        <v>3</v>
      </c>
      <c r="C188" s="8">
        <v>0</v>
      </c>
      <c r="D188" s="3">
        <v>535220024</v>
      </c>
      <c r="E188" s="3" t="s">
        <v>143</v>
      </c>
      <c r="F188" t="s">
        <v>166</v>
      </c>
      <c r="G188" s="25" cm="1">
        <f t="array" ref="G188">IF(AND(A188:C188=S188:U188),IF((F188=Y188),1,0),999)</f>
        <v>999</v>
      </c>
      <c r="H188" s="24"/>
      <c r="K188" s="5">
        <v>5</v>
      </c>
      <c r="L188" s="5">
        <v>1</v>
      </c>
      <c r="M188" s="5">
        <v>1</v>
      </c>
      <c r="N188" s="5" t="s">
        <v>1074</v>
      </c>
      <c r="O188" s="5" t="s">
        <v>363</v>
      </c>
      <c r="P188" s="5" t="s">
        <v>142</v>
      </c>
      <c r="Q188" s="5" t="s">
        <v>166</v>
      </c>
      <c r="S188" s="24">
        <v>2</v>
      </c>
      <c r="T188" s="24">
        <v>1</v>
      </c>
      <c r="U188" s="24">
        <v>2</v>
      </c>
      <c r="V188" s="24" t="str">
        <v>VINCENT CALISTA</v>
      </c>
      <c r="W188" s="24" t="str">
        <v>535220075</v>
      </c>
      <c r="X188" s="24" t="str">
        <v>Magang</v>
      </c>
      <c r="Y188" s="24" t="str">
        <v>Dra. Chairisni Lubis, M.Kom.</v>
      </c>
    </row>
    <row r="189" spans="1:25" ht="42.95" customHeight="1" x14ac:dyDescent="0.2">
      <c r="A189" s="8">
        <v>5</v>
      </c>
      <c r="B189" s="8">
        <v>3</v>
      </c>
      <c r="C189" s="8">
        <v>0</v>
      </c>
      <c r="D189" s="3">
        <v>535220175</v>
      </c>
      <c r="E189" s="3" t="s">
        <v>143</v>
      </c>
      <c r="F189" t="s">
        <v>166</v>
      </c>
      <c r="G189" s="25" cm="1">
        <f t="array" ref="G189">IF(AND(A189:C189=S189:U189),IF((F189=Y189),1,0),999)</f>
        <v>999</v>
      </c>
      <c r="H189" s="24"/>
      <c r="K189" s="5">
        <v>5</v>
      </c>
      <c r="L189" s="5">
        <v>1</v>
      </c>
      <c r="M189" s="5">
        <v>1</v>
      </c>
      <c r="N189" s="5" t="s">
        <v>1075</v>
      </c>
      <c r="O189" s="5" t="s">
        <v>364</v>
      </c>
      <c r="P189" s="5" t="s">
        <v>142</v>
      </c>
      <c r="Q189" s="5" t="s">
        <v>166</v>
      </c>
      <c r="S189" s="24">
        <v>2</v>
      </c>
      <c r="T189" s="24">
        <v>1</v>
      </c>
      <c r="U189" s="24">
        <v>2</v>
      </c>
      <c r="V189" s="24" t="str">
        <v>GEORGE WIELIANTO</v>
      </c>
      <c r="W189" s="24" t="str">
        <v>535220090</v>
      </c>
      <c r="X189" s="24" t="str">
        <v>Magang</v>
      </c>
      <c r="Y189" s="24" t="str">
        <v>Dra. Chairisni Lubis, M.Kom.</v>
      </c>
    </row>
    <row r="190" spans="1:25" ht="44.1" customHeight="1" x14ac:dyDescent="0.2">
      <c r="A190" s="8">
        <v>5</v>
      </c>
      <c r="B190" s="8">
        <v>3</v>
      </c>
      <c r="C190" s="8">
        <v>0</v>
      </c>
      <c r="D190" s="3">
        <v>535220212</v>
      </c>
      <c r="E190" s="3" t="s">
        <v>143</v>
      </c>
      <c r="F190" t="s">
        <v>166</v>
      </c>
      <c r="G190" s="25" cm="1">
        <f t="array" ref="G190">IF(AND(A190:C190=S190:U190),IF((F190=Y190),1,0),999)</f>
        <v>999</v>
      </c>
      <c r="H190" s="24"/>
      <c r="K190" s="5">
        <v>5</v>
      </c>
      <c r="L190" s="5">
        <v>1</v>
      </c>
      <c r="M190" s="5">
        <v>1</v>
      </c>
      <c r="N190" s="5" t="s">
        <v>1076</v>
      </c>
      <c r="O190" s="5" t="s">
        <v>365</v>
      </c>
      <c r="P190" s="5" t="s">
        <v>143</v>
      </c>
      <c r="Q190" s="5" t="s">
        <v>166</v>
      </c>
      <c r="S190" s="24">
        <v>2</v>
      </c>
      <c r="T190" s="24">
        <v>1</v>
      </c>
      <c r="U190" s="24">
        <v>2</v>
      </c>
      <c r="V190" s="24" t="str">
        <v>MILSON FELICIANO</v>
      </c>
      <c r="W190" s="24" t="str">
        <v>535220093</v>
      </c>
      <c r="X190" s="24" t="str">
        <v>Magang</v>
      </c>
      <c r="Y190" s="24" t="str">
        <v>Dra. Chairisni Lubis, M.Kom.</v>
      </c>
    </row>
    <row r="191" spans="1:25" ht="43.5" customHeight="1" x14ac:dyDescent="0.2">
      <c r="A191" s="8">
        <v>5</v>
      </c>
      <c r="B191" s="8">
        <v>3</v>
      </c>
      <c r="C191" s="8">
        <v>0</v>
      </c>
      <c r="D191" s="3">
        <v>535220045</v>
      </c>
      <c r="E191" s="3" t="s">
        <v>143</v>
      </c>
      <c r="F191" t="s">
        <v>166</v>
      </c>
      <c r="G191" s="25" cm="1">
        <f t="array" ref="G191">IF(AND(A191:C191=S191:U191),IF((F191=Y191),1,0),999)</f>
        <v>999</v>
      </c>
      <c r="H191" s="24"/>
      <c r="K191" s="5">
        <v>5</v>
      </c>
      <c r="L191" s="5">
        <v>1</v>
      </c>
      <c r="M191" s="5">
        <v>1</v>
      </c>
      <c r="N191" s="5" t="s">
        <v>1077</v>
      </c>
      <c r="O191" s="5" t="s">
        <v>366</v>
      </c>
      <c r="P191" s="5" t="s">
        <v>143</v>
      </c>
      <c r="Q191" s="5" t="s">
        <v>166</v>
      </c>
      <c r="S191" s="24">
        <v>2</v>
      </c>
      <c r="T191" s="24">
        <v>1</v>
      </c>
      <c r="U191" s="24">
        <v>2</v>
      </c>
      <c r="V191" s="24" t="str">
        <v>NATHANIEL ERVIN JAHJA</v>
      </c>
      <c r="W191" s="24" t="str">
        <v>535220095</v>
      </c>
      <c r="X191" s="24" t="str">
        <v>Magang</v>
      </c>
      <c r="Y191" s="24" t="str">
        <v>Dra. Chairisni Lubis, M.Kom.</v>
      </c>
    </row>
    <row r="192" spans="1:25" ht="43.5" customHeight="1" x14ac:dyDescent="0.2">
      <c r="A192" s="8">
        <v>6</v>
      </c>
      <c r="B192" s="8">
        <v>3</v>
      </c>
      <c r="C192" s="8">
        <v>0</v>
      </c>
      <c r="D192" s="3">
        <v>535220077</v>
      </c>
      <c r="E192" s="3" t="s">
        <v>142</v>
      </c>
      <c r="F192" t="s">
        <v>170</v>
      </c>
      <c r="G192" s="25" cm="1">
        <f t="array" ref="G192">IF(AND(A192:C192=S192:U192),IF((F192=Y192),1,0),999)</f>
        <v>999</v>
      </c>
      <c r="H192" s="24"/>
      <c r="K192" s="5">
        <v>5</v>
      </c>
      <c r="L192" s="5">
        <v>1</v>
      </c>
      <c r="M192" s="5">
        <v>2</v>
      </c>
      <c r="N192" s="5" t="s">
        <v>1078</v>
      </c>
      <c r="O192" s="5" t="s">
        <v>367</v>
      </c>
      <c r="P192" s="5" t="s">
        <v>142</v>
      </c>
      <c r="Q192" s="5" t="s">
        <v>167</v>
      </c>
      <c r="S192" s="24">
        <v>3</v>
      </c>
      <c r="T192" s="24">
        <v>1</v>
      </c>
      <c r="U192" s="24">
        <v>2</v>
      </c>
      <c r="V192" s="24" t="str">
        <v xml:space="preserve">MARCHELLA ANGELINA </v>
      </c>
      <c r="W192" s="24" t="str">
        <v>535220001</v>
      </c>
      <c r="X192" s="24" t="str">
        <v>Magang</v>
      </c>
      <c r="Y192" s="24" t="str">
        <v>Lely Hiryanto, ST, M.Sc., Ph.D</v>
      </c>
    </row>
    <row r="193" spans="1:25" ht="42.95" customHeight="1" x14ac:dyDescent="0.2">
      <c r="A193" s="8">
        <v>6</v>
      </c>
      <c r="B193" s="8">
        <v>3</v>
      </c>
      <c r="C193" s="8">
        <v>0</v>
      </c>
      <c r="D193" s="3">
        <v>535220084</v>
      </c>
      <c r="E193" s="3" t="s">
        <v>142</v>
      </c>
      <c r="F193" t="s">
        <v>170</v>
      </c>
      <c r="G193" s="25" cm="1">
        <f t="array" ref="G193">IF(AND(A193:C193=S193:U193),IF((F193=Y193),1,0),999)</f>
        <v>999</v>
      </c>
      <c r="H193" s="24"/>
      <c r="K193" s="5">
        <v>5</v>
      </c>
      <c r="L193" s="5">
        <v>1</v>
      </c>
      <c r="M193" s="5">
        <v>2</v>
      </c>
      <c r="N193" s="5" t="s">
        <v>1079</v>
      </c>
      <c r="O193" s="5" t="s">
        <v>368</v>
      </c>
      <c r="P193" s="5" t="s">
        <v>142</v>
      </c>
      <c r="Q193" s="5" t="s">
        <v>167</v>
      </c>
      <c r="S193" s="24">
        <v>3</v>
      </c>
      <c r="T193" s="24">
        <v>1</v>
      </c>
      <c r="U193" s="24">
        <v>2</v>
      </c>
      <c r="V193" s="24" t="str">
        <v>WILLSEN YOGI PRASETIA</v>
      </c>
      <c r="W193" s="24" t="str">
        <v>535220010</v>
      </c>
      <c r="X193" s="24" t="str">
        <v>Magang</v>
      </c>
      <c r="Y193" s="24" t="str">
        <v>Lely Hiryanto, ST, M.Sc., Ph.D</v>
      </c>
    </row>
    <row r="194" spans="1:25" ht="44.1" customHeight="1" x14ac:dyDescent="0.2">
      <c r="A194" s="8">
        <v>6</v>
      </c>
      <c r="B194" s="8">
        <v>3</v>
      </c>
      <c r="C194" s="8">
        <v>0</v>
      </c>
      <c r="D194" s="3">
        <v>535220034</v>
      </c>
      <c r="E194" s="3" t="s">
        <v>142</v>
      </c>
      <c r="F194" t="s">
        <v>167</v>
      </c>
      <c r="G194" s="25" cm="1">
        <f t="array" ref="G194">IF(AND(A194:C194=S194:U194),IF((F194=Y194),1,0),999)</f>
        <v>999</v>
      </c>
      <c r="H194" s="24"/>
      <c r="K194" s="5">
        <v>5</v>
      </c>
      <c r="L194" s="5">
        <v>1</v>
      </c>
      <c r="M194" s="5">
        <v>2</v>
      </c>
      <c r="N194" s="5" t="s">
        <v>1080</v>
      </c>
      <c r="O194" s="5" t="s">
        <v>369</v>
      </c>
      <c r="P194" s="5" t="s">
        <v>142</v>
      </c>
      <c r="Q194" s="5" t="s">
        <v>167</v>
      </c>
      <c r="S194" s="24">
        <v>3</v>
      </c>
      <c r="T194" s="24">
        <v>1</v>
      </c>
      <c r="U194" s="24">
        <v>2</v>
      </c>
      <c r="V194" s="24" t="str">
        <v>JUSTIN SALIM</v>
      </c>
      <c r="W194" s="24" t="str">
        <v>535220017</v>
      </c>
      <c r="X194" s="24" t="str">
        <v>Magang</v>
      </c>
      <c r="Y194" s="24" t="str">
        <v>Lely Hiryanto, ST, M.Sc., Ph.D</v>
      </c>
    </row>
    <row r="195" spans="1:25" ht="44.1" customHeight="1" x14ac:dyDescent="0.2">
      <c r="A195" s="8">
        <v>6</v>
      </c>
      <c r="B195" s="8">
        <v>3</v>
      </c>
      <c r="C195" s="8">
        <v>0</v>
      </c>
      <c r="D195" s="3">
        <v>535220035</v>
      </c>
      <c r="E195" s="3" t="s">
        <v>142</v>
      </c>
      <c r="F195" t="s">
        <v>167</v>
      </c>
      <c r="G195" s="25" cm="1">
        <f t="array" ref="G195">IF(AND(A195:C195=S195:U195),IF((F195=Y195),1,0),999)</f>
        <v>999</v>
      </c>
      <c r="H195" s="24"/>
      <c r="K195" s="5">
        <v>5</v>
      </c>
      <c r="L195" s="5">
        <v>1</v>
      </c>
      <c r="M195" s="5">
        <v>2</v>
      </c>
      <c r="N195" s="5" t="s">
        <v>1081</v>
      </c>
      <c r="O195" s="5" t="s">
        <v>370</v>
      </c>
      <c r="P195" s="5" t="s">
        <v>142</v>
      </c>
      <c r="Q195" s="5" t="s">
        <v>167</v>
      </c>
      <c r="S195" s="24">
        <v>3</v>
      </c>
      <c r="T195" s="24">
        <v>1</v>
      </c>
      <c r="U195" s="24">
        <v>2</v>
      </c>
      <c r="V195" s="24" t="str">
        <v>SEAN HENRY WIJAYA</v>
      </c>
      <c r="W195" s="24" t="str">
        <v>535220019</v>
      </c>
      <c r="X195" s="24" t="str">
        <v>Magang</v>
      </c>
      <c r="Y195" s="24" t="str">
        <v>Lely Hiryanto, ST, M.Sc., Ph.D</v>
      </c>
    </row>
    <row r="196" spans="1:25" ht="43.5" customHeight="1" x14ac:dyDescent="0.2">
      <c r="A196" s="8">
        <v>6</v>
      </c>
      <c r="B196" s="8">
        <v>3</v>
      </c>
      <c r="C196" s="8">
        <v>0</v>
      </c>
      <c r="D196" s="3">
        <v>535220128</v>
      </c>
      <c r="E196" s="3" t="s">
        <v>142</v>
      </c>
      <c r="F196" t="s">
        <v>166</v>
      </c>
      <c r="G196" s="25" cm="1">
        <f t="array" ref="G196">IF(AND(A196:C196=S196:U196),IF((F196=Y196),1,0),999)</f>
        <v>999</v>
      </c>
      <c r="H196" s="24"/>
      <c r="K196" s="5">
        <v>5</v>
      </c>
      <c r="L196" s="5">
        <v>1</v>
      </c>
      <c r="M196" s="5">
        <v>2</v>
      </c>
      <c r="N196" s="5" t="s">
        <v>1082</v>
      </c>
      <c r="O196" s="5" t="s">
        <v>371</v>
      </c>
      <c r="P196" s="5" t="s">
        <v>142</v>
      </c>
      <c r="Q196" s="5" t="s">
        <v>167</v>
      </c>
      <c r="S196" s="24">
        <v>3</v>
      </c>
      <c r="T196" s="24">
        <v>1</v>
      </c>
      <c r="U196" s="24">
        <v>2</v>
      </c>
      <c r="V196" s="24" t="str">
        <v>HEZEKIAH IVANDI</v>
      </c>
      <c r="W196" s="24" t="str">
        <v>535220039</v>
      </c>
      <c r="X196" s="24" t="str">
        <v>Magang</v>
      </c>
      <c r="Y196" s="24" t="str">
        <v>Lely Hiryanto, ST, M.Sc., Ph.D</v>
      </c>
    </row>
    <row r="197" spans="1:25" ht="44.1" customHeight="1" x14ac:dyDescent="0.2">
      <c r="A197" s="8">
        <v>0</v>
      </c>
      <c r="B197" s="8">
        <v>6</v>
      </c>
      <c r="C197" s="8">
        <v>0</v>
      </c>
      <c r="D197" s="3">
        <v>825220039</v>
      </c>
      <c r="E197" s="3" t="s">
        <v>143</v>
      </c>
      <c r="F197" t="s">
        <v>173</v>
      </c>
      <c r="G197" s="25" cm="1">
        <f t="array" ref="G197">IF(AND(A197:C197=S197:U197),IF((F197=Y197),1,0),999)</f>
        <v>999</v>
      </c>
      <c r="H197" s="24"/>
      <c r="K197" s="5">
        <v>6</v>
      </c>
      <c r="L197" s="5">
        <v>1</v>
      </c>
      <c r="M197" s="5">
        <v>0</v>
      </c>
      <c r="N197" s="5" t="s">
        <v>1083</v>
      </c>
      <c r="O197" s="5" t="s">
        <v>372</v>
      </c>
      <c r="P197" s="5" t="s">
        <v>145</v>
      </c>
      <c r="Q197" s="5" t="s">
        <v>165</v>
      </c>
      <c r="S197" s="24">
        <v>4</v>
      </c>
      <c r="T197" s="24">
        <v>1</v>
      </c>
      <c r="U197" s="24">
        <v>2</v>
      </c>
      <c r="V197" s="24" t="str">
        <v>DHIO SAMUDRA</v>
      </c>
      <c r="W197" s="24" t="str">
        <v>535220034</v>
      </c>
      <c r="X197" s="24" t="str">
        <v>Magang</v>
      </c>
      <c r="Y197" s="24" t="str">
        <v>Teny Handhayani, S.Kom., M.Kom., Ph.D.</v>
      </c>
    </row>
    <row r="198" spans="1:25" ht="42.95" customHeight="1" x14ac:dyDescent="0.2">
      <c r="A198" s="8">
        <v>0</v>
      </c>
      <c r="B198" s="8">
        <v>6</v>
      </c>
      <c r="C198" s="8">
        <v>0</v>
      </c>
      <c r="D198" s="3">
        <v>825220050</v>
      </c>
      <c r="E198" s="3" t="s">
        <v>143</v>
      </c>
      <c r="F198" t="s">
        <v>173</v>
      </c>
      <c r="G198" s="25" cm="1">
        <f t="array" ref="G198">IF(AND(A198:C198=S198:U198),IF((F198=Y198),1,0),999)</f>
        <v>999</v>
      </c>
      <c r="H198" s="24"/>
      <c r="K198" s="5">
        <v>6</v>
      </c>
      <c r="L198" s="5">
        <v>1</v>
      </c>
      <c r="M198" s="5">
        <v>0</v>
      </c>
      <c r="N198" s="5" t="s">
        <v>1084</v>
      </c>
      <c r="O198" s="5" t="s">
        <v>373</v>
      </c>
      <c r="P198" s="5" t="s">
        <v>145</v>
      </c>
      <c r="Q198" s="5" t="s">
        <v>165</v>
      </c>
      <c r="S198" s="24">
        <v>4</v>
      </c>
      <c r="T198" s="24">
        <v>1</v>
      </c>
      <c r="U198" s="24">
        <v>2</v>
      </c>
      <c r="V198" s="24" t="str">
        <v>PUSPA INDAH</v>
      </c>
      <c r="W198" s="24" t="str">
        <v>535220035</v>
      </c>
      <c r="X198" s="24" t="str">
        <v>Magang</v>
      </c>
      <c r="Y198" s="24" t="str">
        <v>Teny Handhayani, S.Kom., M.Kom., Ph.D.</v>
      </c>
    </row>
    <row r="199" spans="1:25" ht="44.1" customHeight="1" x14ac:dyDescent="0.2">
      <c r="A199" s="8">
        <v>0</v>
      </c>
      <c r="B199" s="8">
        <v>6</v>
      </c>
      <c r="C199" s="8">
        <v>0</v>
      </c>
      <c r="D199" s="3">
        <v>825220052</v>
      </c>
      <c r="E199" s="3" t="s">
        <v>143</v>
      </c>
      <c r="F199" t="s">
        <v>173</v>
      </c>
      <c r="G199" s="25" cm="1">
        <f t="array" ref="G199">IF(AND(A199:C199=S199:U199),IF((F199=Y199),1,0),999)</f>
        <v>999</v>
      </c>
      <c r="H199" s="24"/>
      <c r="K199" s="5">
        <v>6</v>
      </c>
      <c r="L199" s="5">
        <v>1</v>
      </c>
      <c r="M199" s="5">
        <v>0</v>
      </c>
      <c r="N199" s="5" t="s">
        <v>1085</v>
      </c>
      <c r="O199" s="5" t="s">
        <v>374</v>
      </c>
      <c r="P199" s="5" t="s">
        <v>145</v>
      </c>
      <c r="Q199" s="5" t="s">
        <v>165</v>
      </c>
      <c r="S199" s="24">
        <v>4</v>
      </c>
      <c r="T199" s="24">
        <v>1</v>
      </c>
      <c r="U199" s="24">
        <v>2</v>
      </c>
      <c r="V199" s="24" t="str">
        <v>WAHYU PAMUNGKAS</v>
      </c>
      <c r="W199" s="24" t="str">
        <v>535220037</v>
      </c>
      <c r="X199" s="24" t="str">
        <v>Magang</v>
      </c>
      <c r="Y199" s="24" t="str">
        <v>Teny Handhayani, S.Kom., M.Kom., Ph.D.</v>
      </c>
    </row>
    <row r="200" spans="1:25" ht="42.95" customHeight="1" x14ac:dyDescent="0.2">
      <c r="A200" s="8">
        <v>0</v>
      </c>
      <c r="B200" s="8">
        <v>6</v>
      </c>
      <c r="C200" s="8">
        <v>0</v>
      </c>
      <c r="D200" s="3">
        <v>825220066</v>
      </c>
      <c r="E200" s="3" t="s">
        <v>143</v>
      </c>
      <c r="F200" t="s">
        <v>173</v>
      </c>
      <c r="G200" s="25" cm="1">
        <f t="array" ref="G200">IF(AND(A200:C200=S200:U200),IF((F200=Y200),1,0),999)</f>
        <v>999</v>
      </c>
      <c r="H200" s="24"/>
      <c r="K200" s="5">
        <v>6</v>
      </c>
      <c r="L200" s="5">
        <v>1</v>
      </c>
      <c r="M200" s="5">
        <v>0</v>
      </c>
      <c r="N200" s="5" t="s">
        <v>1086</v>
      </c>
      <c r="O200" s="5" t="s">
        <v>375</v>
      </c>
      <c r="P200" s="5" t="s">
        <v>145</v>
      </c>
      <c r="Q200" s="5" t="s">
        <v>165</v>
      </c>
      <c r="S200" s="24">
        <v>4</v>
      </c>
      <c r="T200" s="24">
        <v>1</v>
      </c>
      <c r="U200" s="24">
        <v>2</v>
      </c>
      <c r="V200" s="24" t="str">
        <v>VALENTINO ALMENDO RADJAWANE</v>
      </c>
      <c r="W200" s="24" t="str">
        <v>535220040</v>
      </c>
      <c r="X200" s="24" t="str">
        <v>Magang</v>
      </c>
      <c r="Y200" s="24" t="str">
        <v>Teny Handhayani, S.Kom., M.Kom., Ph.D.</v>
      </c>
    </row>
    <row r="201" spans="1:25" ht="43.7" customHeight="1" x14ac:dyDescent="0.2">
      <c r="A201" s="8">
        <v>0</v>
      </c>
      <c r="B201" s="8">
        <v>6</v>
      </c>
      <c r="C201" s="8">
        <v>0</v>
      </c>
      <c r="D201" s="3">
        <v>825220170</v>
      </c>
      <c r="E201" s="3" t="s">
        <v>143</v>
      </c>
      <c r="F201" t="s">
        <v>173</v>
      </c>
      <c r="G201" s="25" cm="1">
        <f t="array" ref="G201">IF(AND(A201:C201=S201:U201),IF((F201=Y201),1,0),999)</f>
        <v>999</v>
      </c>
      <c r="H201" s="24"/>
      <c r="K201" s="5">
        <v>6</v>
      </c>
      <c r="L201" s="5">
        <v>1</v>
      </c>
      <c r="M201" s="5">
        <v>0</v>
      </c>
      <c r="N201" s="5" t="s">
        <v>1087</v>
      </c>
      <c r="O201" s="5" t="s">
        <v>376</v>
      </c>
      <c r="P201" s="5" t="s">
        <v>145</v>
      </c>
      <c r="Q201" s="5" t="s">
        <v>165</v>
      </c>
      <c r="S201" s="24">
        <v>4</v>
      </c>
      <c r="T201" s="24">
        <v>1</v>
      </c>
      <c r="U201" s="24">
        <v>2</v>
      </c>
      <c r="V201" s="24" t="str">
        <v>VINCENT WIJAYA</v>
      </c>
      <c r="W201" s="24" t="str">
        <v>535220064</v>
      </c>
      <c r="X201" s="24" t="str">
        <v>Magang</v>
      </c>
      <c r="Y201" s="24" t="str">
        <v>Teny Handhayani, S.Kom., M.Kom., Ph.D.</v>
      </c>
    </row>
    <row r="202" spans="1:25" ht="42.6" customHeight="1" x14ac:dyDescent="0.2">
      <c r="A202" s="8">
        <v>1</v>
      </c>
      <c r="B202" s="8">
        <v>6</v>
      </c>
      <c r="C202" s="8">
        <v>0</v>
      </c>
      <c r="D202" s="3">
        <v>825200094</v>
      </c>
      <c r="E202" s="3" t="s">
        <v>146</v>
      </c>
      <c r="F202" t="s">
        <v>173</v>
      </c>
      <c r="G202" s="25" cm="1">
        <f t="array" ref="G202">IF(AND(A202:C202=S202:U202),IF((F202=Y202),1,0),999)</f>
        <v>999</v>
      </c>
      <c r="H202" s="24"/>
      <c r="K202" s="5">
        <v>6</v>
      </c>
      <c r="L202" s="5">
        <v>1</v>
      </c>
      <c r="M202" s="5">
        <v>1</v>
      </c>
      <c r="N202" s="5" t="s">
        <v>1088</v>
      </c>
      <c r="O202" s="5" t="s">
        <v>377</v>
      </c>
      <c r="P202" s="5" t="s">
        <v>143</v>
      </c>
      <c r="Q202" s="5" t="s">
        <v>166</v>
      </c>
      <c r="S202" s="24">
        <v>5</v>
      </c>
      <c r="T202" s="24">
        <v>1</v>
      </c>
      <c r="U202" s="24">
        <v>2</v>
      </c>
      <c r="V202" s="24" t="str">
        <v>BRYAN MEYVALDO KANGSADIPUTRA</v>
      </c>
      <c r="W202" s="24" t="str">
        <v>535220065</v>
      </c>
      <c r="X202" s="24" t="str">
        <v>Magang</v>
      </c>
      <c r="Y202" s="24" t="str">
        <v>Teny Handhayani, S.Kom., M.Kom., Ph.D.</v>
      </c>
    </row>
    <row r="203" spans="1:25" ht="44.1" customHeight="1" x14ac:dyDescent="0.2">
      <c r="A203" s="8">
        <v>1</v>
      </c>
      <c r="B203" s="8">
        <v>6</v>
      </c>
      <c r="C203" s="8">
        <v>0</v>
      </c>
      <c r="D203" s="3">
        <v>825220096</v>
      </c>
      <c r="E203" s="3" t="s">
        <v>146</v>
      </c>
      <c r="F203" t="s">
        <v>173</v>
      </c>
      <c r="G203" s="25" cm="1">
        <f t="array" ref="G203">IF(AND(A203:C203=S203:U203),IF((F203=Y203),1,0),999)</f>
        <v>999</v>
      </c>
      <c r="H203" s="24"/>
      <c r="K203" s="5">
        <v>6</v>
      </c>
      <c r="L203" s="5">
        <v>1</v>
      </c>
      <c r="M203" s="5">
        <v>1</v>
      </c>
      <c r="N203" s="5" t="s">
        <v>1089</v>
      </c>
      <c r="O203" s="5" t="s">
        <v>378</v>
      </c>
      <c r="P203" s="5" t="s">
        <v>143</v>
      </c>
      <c r="Q203" s="5" t="s">
        <v>166</v>
      </c>
      <c r="S203" s="24">
        <v>5</v>
      </c>
      <c r="T203" s="24">
        <v>1</v>
      </c>
      <c r="U203" s="24">
        <v>2</v>
      </c>
      <c r="V203" s="24" t="str">
        <v>NATHANAEL KENNETH LAY</v>
      </c>
      <c r="W203" s="24" t="str">
        <v>535220066</v>
      </c>
      <c r="X203" s="24" t="str">
        <v>Magang</v>
      </c>
      <c r="Y203" s="24" t="str">
        <v>Teny Handhayani, S.Kom., M.Kom., Ph.D.</v>
      </c>
    </row>
    <row r="204" spans="1:25" ht="42.95" customHeight="1" x14ac:dyDescent="0.2">
      <c r="A204" s="8">
        <v>1</v>
      </c>
      <c r="B204" s="8">
        <v>6</v>
      </c>
      <c r="C204" s="8">
        <v>0</v>
      </c>
      <c r="D204" s="3">
        <v>535220185</v>
      </c>
      <c r="E204" s="3" t="s">
        <v>145</v>
      </c>
      <c r="F204" t="s">
        <v>165</v>
      </c>
      <c r="G204" s="25" cm="1">
        <f t="array" ref="G204">IF(AND(A204:C204=S204:U204),IF((F204=Y204),1,0),999)</f>
        <v>999</v>
      </c>
      <c r="H204" s="24"/>
      <c r="K204" s="5">
        <v>6</v>
      </c>
      <c r="L204" s="5">
        <v>1</v>
      </c>
      <c r="M204" s="5">
        <v>1</v>
      </c>
      <c r="N204" s="5" t="s">
        <v>1090</v>
      </c>
      <c r="O204" s="5" t="s">
        <v>379</v>
      </c>
      <c r="P204" s="5" t="s">
        <v>142</v>
      </c>
      <c r="Q204" s="5" t="s">
        <v>167</v>
      </c>
      <c r="S204" s="24">
        <v>5</v>
      </c>
      <c r="T204" s="24">
        <v>1</v>
      </c>
      <c r="U204" s="24">
        <v>2</v>
      </c>
      <c r="V204" s="24" t="str">
        <v>NAYAKA WANGSHA LIMPUTRA</v>
      </c>
      <c r="W204" s="24" t="str">
        <v>535220067</v>
      </c>
      <c r="X204" s="24" t="str">
        <v>Magang</v>
      </c>
      <c r="Y204" s="24" t="str">
        <v>Teny Handhayani, S.Kom., M.Kom., Ph.D.</v>
      </c>
    </row>
    <row r="205" spans="1:25" ht="44.1" customHeight="1" x14ac:dyDescent="0.2">
      <c r="A205" s="8">
        <v>1</v>
      </c>
      <c r="B205" s="8">
        <v>6</v>
      </c>
      <c r="C205" s="8">
        <v>0</v>
      </c>
      <c r="D205" s="3">
        <v>535220190</v>
      </c>
      <c r="E205" s="3" t="s">
        <v>145</v>
      </c>
      <c r="F205" t="s">
        <v>165</v>
      </c>
      <c r="G205" s="25" cm="1">
        <f t="array" ref="G205">IF(AND(A205:C205=S205:U205),IF((F205=Y205),1,0),999)</f>
        <v>999</v>
      </c>
      <c r="H205" s="24"/>
      <c r="K205" s="5">
        <v>6</v>
      </c>
      <c r="L205" s="5">
        <v>1</v>
      </c>
      <c r="M205" s="5">
        <v>1</v>
      </c>
      <c r="N205" s="5" t="s">
        <v>1091</v>
      </c>
      <c r="O205" s="5" t="s">
        <v>380</v>
      </c>
      <c r="P205" s="5" t="s">
        <v>142</v>
      </c>
      <c r="Q205" s="5" t="s">
        <v>167</v>
      </c>
      <c r="S205" s="24">
        <v>5</v>
      </c>
      <c r="T205" s="24">
        <v>1</v>
      </c>
      <c r="U205" s="24">
        <v>2</v>
      </c>
      <c r="V205" s="24" t="str">
        <v>LEKREY JEREL JACOB LAIPIOPA</v>
      </c>
      <c r="W205" s="24" t="str">
        <v>535220134</v>
      </c>
      <c r="X205" s="24" t="str">
        <v>Magang</v>
      </c>
      <c r="Y205" s="24" t="str">
        <v>Teny Handhayani, S.Kom., M.Kom., Ph.D.</v>
      </c>
    </row>
    <row r="206" spans="1:25" ht="44.1" customHeight="1" x14ac:dyDescent="0.2">
      <c r="A206" s="8">
        <v>1</v>
      </c>
      <c r="B206" s="8">
        <v>6</v>
      </c>
      <c r="C206" s="8">
        <v>0</v>
      </c>
      <c r="D206" s="3">
        <v>535220192</v>
      </c>
      <c r="E206" s="3" t="s">
        <v>145</v>
      </c>
      <c r="F206" t="s">
        <v>165</v>
      </c>
      <c r="G206" s="25" cm="1">
        <f t="array" ref="G206">IF(AND(A206:C206=S206:U206),IF((F206=Y206),1,0),999)</f>
        <v>999</v>
      </c>
      <c r="H206" s="24"/>
      <c r="K206" s="5">
        <v>6</v>
      </c>
      <c r="L206" s="5">
        <v>1</v>
      </c>
      <c r="M206" s="5">
        <v>1</v>
      </c>
      <c r="N206" s="5" t="s">
        <v>1092</v>
      </c>
      <c r="O206" s="5" t="s">
        <v>381</v>
      </c>
      <c r="P206" s="5" t="s">
        <v>142</v>
      </c>
      <c r="Q206" s="5" t="s">
        <v>167</v>
      </c>
      <c r="S206" s="24">
        <v>5</v>
      </c>
      <c r="T206" s="24">
        <v>1</v>
      </c>
      <c r="U206" s="24">
        <v>2</v>
      </c>
      <c r="V206" s="24" t="str">
        <v>ALDO HARTANTO DEWANTORO</v>
      </c>
      <c r="W206" s="24" t="str">
        <v>535220135</v>
      </c>
      <c r="X206" s="24" t="str">
        <v>Magang</v>
      </c>
      <c r="Y206" s="24" t="str">
        <v>Teny Handhayani, S.Kom., M.Kom., Ph.D.</v>
      </c>
    </row>
    <row r="207" spans="1:25" ht="43.5" customHeight="1" x14ac:dyDescent="0.2">
      <c r="A207" s="8">
        <v>2</v>
      </c>
      <c r="B207" s="8">
        <v>6</v>
      </c>
      <c r="C207" s="8">
        <v>0</v>
      </c>
      <c r="D207" s="3">
        <v>535220227</v>
      </c>
      <c r="E207" s="3" t="s">
        <v>145</v>
      </c>
      <c r="F207" t="s">
        <v>165</v>
      </c>
      <c r="G207" s="25" cm="1">
        <f t="array" ref="G207">IF(AND(A207:C207=S207:U207),IF((F207=Y207),1,0),999)</f>
        <v>999</v>
      </c>
      <c r="H207" s="24"/>
      <c r="K207" s="5">
        <v>6</v>
      </c>
      <c r="L207" s="5">
        <v>1</v>
      </c>
      <c r="M207" s="5">
        <v>2</v>
      </c>
      <c r="N207" s="5" t="s">
        <v>1093</v>
      </c>
      <c r="O207" s="5" t="s">
        <v>382</v>
      </c>
      <c r="P207" s="5" t="s">
        <v>142</v>
      </c>
      <c r="Q207" s="5" t="s">
        <v>168</v>
      </c>
      <c r="S207" s="24">
        <v>6</v>
      </c>
      <c r="T207" s="24">
        <v>1</v>
      </c>
      <c r="U207" s="24">
        <v>2</v>
      </c>
      <c r="V207" s="24" t="str">
        <v>ALDHO LEONARDI</v>
      </c>
      <c r="W207" s="24" t="str">
        <v>535220096</v>
      </c>
      <c r="X207" s="24" t="str">
        <v>Magang</v>
      </c>
      <c r="Y207" s="24" t="str">
        <v>Tony, S.Kom., M.Kom., Ph.D.</v>
      </c>
    </row>
    <row r="208" spans="1:25" ht="44.1" customHeight="1" x14ac:dyDescent="0.2">
      <c r="A208" s="8">
        <v>2</v>
      </c>
      <c r="B208" s="8">
        <v>6</v>
      </c>
      <c r="C208" s="8">
        <v>0</v>
      </c>
      <c r="D208" s="3">
        <v>825220001</v>
      </c>
      <c r="E208" s="3" t="s">
        <v>145</v>
      </c>
      <c r="F208" t="s">
        <v>165</v>
      </c>
      <c r="G208" s="25" cm="1">
        <f t="array" ref="G208">IF(AND(A208:C208=S208:U208),IF((F208=Y208),1,0),999)</f>
        <v>999</v>
      </c>
      <c r="H208" s="24"/>
      <c r="K208" s="5">
        <v>6</v>
      </c>
      <c r="L208" s="5">
        <v>1</v>
      </c>
      <c r="M208" s="5">
        <v>2</v>
      </c>
      <c r="N208" s="5" t="s">
        <v>1094</v>
      </c>
      <c r="O208" s="5" t="s">
        <v>383</v>
      </c>
      <c r="P208" s="5" t="s">
        <v>142</v>
      </c>
      <c r="Q208" s="5" t="s">
        <v>168</v>
      </c>
      <c r="S208" s="24">
        <v>6</v>
      </c>
      <c r="T208" s="24">
        <v>1</v>
      </c>
      <c r="U208" s="24">
        <v>2</v>
      </c>
      <c r="V208" s="24" t="str">
        <v>FELICIUS EDWARD TJENDRA</v>
      </c>
      <c r="W208" s="24" t="str">
        <v>535220101</v>
      </c>
      <c r="X208" s="24" t="str">
        <v>Magang</v>
      </c>
      <c r="Y208" s="24" t="str">
        <v>Tony, S.Kom., M.Kom., Ph.D.</v>
      </c>
    </row>
    <row r="209" spans="1:25" ht="42.95" customHeight="1" x14ac:dyDescent="0.2">
      <c r="A209" s="8">
        <v>2</v>
      </c>
      <c r="B209" s="8">
        <v>6</v>
      </c>
      <c r="C209" s="8">
        <v>0</v>
      </c>
      <c r="D209" s="3">
        <v>825220029</v>
      </c>
      <c r="E209" s="3" t="s">
        <v>145</v>
      </c>
      <c r="F209" t="s">
        <v>165</v>
      </c>
      <c r="G209" s="25" cm="1">
        <f t="array" ref="G209">IF(AND(A209:C209=S209:U209),IF((F209=Y209),1,0),999)</f>
        <v>999</v>
      </c>
      <c r="H209" s="24"/>
      <c r="K209" s="5">
        <v>6</v>
      </c>
      <c r="L209" s="5">
        <v>1</v>
      </c>
      <c r="M209" s="5">
        <v>2</v>
      </c>
      <c r="N209" s="5" t="s">
        <v>1095</v>
      </c>
      <c r="O209" s="5" t="s">
        <v>384</v>
      </c>
      <c r="P209" s="5" t="s">
        <v>142</v>
      </c>
      <c r="Q209" s="5" t="s">
        <v>168</v>
      </c>
      <c r="S209" s="24">
        <v>6</v>
      </c>
      <c r="T209" s="24">
        <v>1</v>
      </c>
      <c r="U209" s="24">
        <v>2</v>
      </c>
      <c r="V209" s="24" t="str">
        <v>EMMANUEL GARCIA SUMARGO</v>
      </c>
      <c r="W209" s="24" t="str">
        <v>535220103</v>
      </c>
      <c r="X209" s="24" t="str">
        <v>Magang</v>
      </c>
      <c r="Y209" s="24" t="str">
        <v>Tony, S.Kom., M.Kom., Ph.D.</v>
      </c>
    </row>
    <row r="210" spans="1:25" ht="44.1" customHeight="1" x14ac:dyDescent="0.2">
      <c r="A210" s="8">
        <v>2</v>
      </c>
      <c r="B210" s="8">
        <v>6</v>
      </c>
      <c r="C210" s="8">
        <v>0</v>
      </c>
      <c r="D210" s="3">
        <v>825220030</v>
      </c>
      <c r="E210" s="3" t="s">
        <v>145</v>
      </c>
      <c r="F210" t="s">
        <v>165</v>
      </c>
      <c r="G210" s="25" cm="1">
        <f t="array" ref="G210">IF(AND(A210:C210=S210:U210),IF((F210=Y210),1,0),999)</f>
        <v>999</v>
      </c>
      <c r="H210" s="24"/>
      <c r="K210" s="5">
        <v>6</v>
      </c>
      <c r="L210" s="5">
        <v>1</v>
      </c>
      <c r="M210" s="5">
        <v>2</v>
      </c>
      <c r="N210" s="5" t="s">
        <v>1096</v>
      </c>
      <c r="O210" s="5" t="s">
        <v>385</v>
      </c>
      <c r="P210" s="5" t="s">
        <v>142</v>
      </c>
      <c r="Q210" s="5" t="s">
        <v>168</v>
      </c>
      <c r="S210" s="24">
        <v>6</v>
      </c>
      <c r="T210" s="24">
        <v>1</v>
      </c>
      <c r="U210" s="24">
        <v>2</v>
      </c>
      <c r="V210" s="24" t="str">
        <v>GABRIELLA IGNATIA</v>
      </c>
      <c r="W210" s="24" t="str">
        <v>535220104</v>
      </c>
      <c r="X210" s="24" t="str">
        <v>Magang</v>
      </c>
      <c r="Y210" s="24" t="str">
        <v>Tony, S.Kom., M.Kom., Ph.D.</v>
      </c>
    </row>
    <row r="211" spans="1:25" ht="43.5" customHeight="1" x14ac:dyDescent="0.2">
      <c r="A211" s="8">
        <v>2</v>
      </c>
      <c r="B211" s="8">
        <v>6</v>
      </c>
      <c r="C211" s="8">
        <v>0</v>
      </c>
      <c r="D211" s="3">
        <v>825220069</v>
      </c>
      <c r="E211" s="3" t="s">
        <v>145</v>
      </c>
      <c r="F211" t="s">
        <v>165</v>
      </c>
      <c r="G211" s="25" cm="1">
        <f t="array" ref="G211">IF(AND(A211:C211=S211:U211),IF((F211=Y211),1,0),999)</f>
        <v>999</v>
      </c>
      <c r="H211" s="24"/>
      <c r="K211" s="5">
        <v>6</v>
      </c>
      <c r="L211" s="5">
        <v>1</v>
      </c>
      <c r="M211" s="5">
        <v>2</v>
      </c>
      <c r="N211" s="5" t="s">
        <v>1097</v>
      </c>
      <c r="O211" s="5" t="s">
        <v>386</v>
      </c>
      <c r="P211" s="5" t="s">
        <v>142</v>
      </c>
      <c r="Q211" s="5" t="s">
        <v>168</v>
      </c>
      <c r="S211" s="24">
        <v>6</v>
      </c>
      <c r="T211" s="24">
        <v>1</v>
      </c>
      <c r="U211" s="24">
        <v>2</v>
      </c>
      <c r="V211" s="24" t="str">
        <v>ARETHUSA RAYHAN SUBRATA</v>
      </c>
      <c r="W211" s="24" t="str">
        <v>535220164</v>
      </c>
      <c r="X211" s="24" t="str">
        <v>Magang</v>
      </c>
      <c r="Y211" s="24" t="str">
        <v>Tony, S.Kom., M.Kom., Ph.D.</v>
      </c>
    </row>
    <row r="212" spans="1:25" ht="43.5" customHeight="1" x14ac:dyDescent="0.2">
      <c r="A212" s="8">
        <v>3</v>
      </c>
      <c r="B212" s="8">
        <v>6</v>
      </c>
      <c r="C212" s="8">
        <v>0</v>
      </c>
      <c r="D212" s="3">
        <v>825220112</v>
      </c>
      <c r="E212" s="3" t="s">
        <v>145</v>
      </c>
      <c r="F212" t="s">
        <v>165</v>
      </c>
      <c r="G212" s="25" cm="1">
        <f t="array" ref="G212">IF(AND(A212:C212=S212:U212),IF((F212=Y212),1,0),999)</f>
        <v>999</v>
      </c>
      <c r="H212" s="24"/>
      <c r="K212" s="5">
        <v>0</v>
      </c>
      <c r="L212" s="5">
        <v>2</v>
      </c>
      <c r="M212" s="5">
        <v>0</v>
      </c>
      <c r="N212" s="5" t="s">
        <v>1098</v>
      </c>
      <c r="O212" s="5" t="s">
        <v>387</v>
      </c>
      <c r="P212" s="5" t="s">
        <v>142</v>
      </c>
      <c r="Q212" s="5" t="s">
        <v>169</v>
      </c>
      <c r="S212" s="24">
        <v>0</v>
      </c>
      <c r="T212" s="24">
        <v>2</v>
      </c>
      <c r="U212" s="24">
        <v>0</v>
      </c>
      <c r="V212" s="24" t="str">
        <v>VIE HUANG</v>
      </c>
      <c r="W212" s="24" t="str">
        <v>535220016</v>
      </c>
      <c r="X212" s="24" t="str">
        <v>Magang</v>
      </c>
      <c r="Y212" s="24" t="str">
        <v>Prof. Lina, ST, M.Kom., Ph.D.</v>
      </c>
    </row>
    <row r="213" spans="1:25" ht="42.95" customHeight="1" x14ac:dyDescent="0.2">
      <c r="A213" s="8">
        <v>3</v>
      </c>
      <c r="B213" s="8">
        <v>6</v>
      </c>
      <c r="C213" s="8">
        <v>0</v>
      </c>
      <c r="D213" s="3">
        <v>535220145</v>
      </c>
      <c r="E213" s="3" t="s">
        <v>147</v>
      </c>
      <c r="F213" t="s">
        <v>156</v>
      </c>
      <c r="G213" s="25" cm="1">
        <f t="array" ref="G213">IF(AND(A213:C213=S213:U213),IF((F213=Y213),1,0),999)</f>
        <v>999</v>
      </c>
      <c r="H213" s="24"/>
      <c r="K213" s="5">
        <v>0</v>
      </c>
      <c r="L213" s="5">
        <v>2</v>
      </c>
      <c r="M213" s="5">
        <v>0</v>
      </c>
      <c r="N213" s="5" t="s">
        <v>1099</v>
      </c>
      <c r="O213" s="5" t="s">
        <v>388</v>
      </c>
      <c r="P213" s="5" t="s">
        <v>142</v>
      </c>
      <c r="Q213" s="5" t="s">
        <v>169</v>
      </c>
      <c r="S213" s="24">
        <v>0</v>
      </c>
      <c r="T213" s="24">
        <v>2</v>
      </c>
      <c r="U213" s="24">
        <v>0</v>
      </c>
      <c r="V213" s="24" t="str">
        <v>RICHARD CHRISTIAN</v>
      </c>
      <c r="W213" s="24" t="str">
        <v>535220018</v>
      </c>
      <c r="X213" s="24" t="str">
        <v>Magang</v>
      </c>
      <c r="Y213" s="24" t="str">
        <v>Prof. Lina, ST, M.Kom., Ph.D.</v>
      </c>
    </row>
    <row r="214" spans="1:25" ht="44.1" customHeight="1" x14ac:dyDescent="0.2">
      <c r="A214" s="8">
        <v>3</v>
      </c>
      <c r="B214" s="8">
        <v>6</v>
      </c>
      <c r="C214" s="8">
        <v>0</v>
      </c>
      <c r="D214" s="3">
        <v>535220228</v>
      </c>
      <c r="E214" s="3" t="s">
        <v>147</v>
      </c>
      <c r="F214" t="s">
        <v>156</v>
      </c>
      <c r="G214" s="25" cm="1">
        <f t="array" ref="G214">IF(AND(A214:C214=S214:U214),IF((F214=Y214),1,0),999)</f>
        <v>999</v>
      </c>
      <c r="H214" s="24"/>
      <c r="K214" s="5">
        <v>0</v>
      </c>
      <c r="L214" s="5">
        <v>2</v>
      </c>
      <c r="M214" s="5">
        <v>0</v>
      </c>
      <c r="N214" s="5" t="s">
        <v>1100</v>
      </c>
      <c r="O214" s="5" t="s">
        <v>389</v>
      </c>
      <c r="P214" s="5" t="s">
        <v>142</v>
      </c>
      <c r="Q214" s="5" t="s">
        <v>169</v>
      </c>
      <c r="S214" s="24">
        <v>0</v>
      </c>
      <c r="T214" s="24">
        <v>2</v>
      </c>
      <c r="U214" s="24">
        <v>0</v>
      </c>
      <c r="V214" s="24" t="str">
        <v>KEVIN IVANDER CHASKA</v>
      </c>
      <c r="W214" s="24" t="str">
        <v>535220058</v>
      </c>
      <c r="X214" s="24" t="str">
        <v>Magang</v>
      </c>
      <c r="Y214" s="24" t="str">
        <v>Prof. Lina, ST, M.Kom., Ph.D.</v>
      </c>
    </row>
    <row r="215" spans="1:25" ht="44.1" customHeight="1" x14ac:dyDescent="0.2">
      <c r="A215" s="8">
        <v>3</v>
      </c>
      <c r="B215" s="8">
        <v>6</v>
      </c>
      <c r="C215" s="8">
        <v>0</v>
      </c>
      <c r="D215" s="3">
        <v>535220229</v>
      </c>
      <c r="E215" s="3" t="s">
        <v>147</v>
      </c>
      <c r="F215" t="s">
        <v>156</v>
      </c>
      <c r="G215" s="25" cm="1">
        <f t="array" ref="G215">IF(AND(A215:C215=S215:U215),IF((F215=Y215),1,0),999)</f>
        <v>999</v>
      </c>
      <c r="H215" s="24"/>
      <c r="K215" s="5">
        <v>0</v>
      </c>
      <c r="L215" s="5">
        <v>2</v>
      </c>
      <c r="M215" s="5">
        <v>0</v>
      </c>
      <c r="N215" s="5" t="s">
        <v>1101</v>
      </c>
      <c r="O215" s="5" t="s">
        <v>390</v>
      </c>
      <c r="P215" s="5" t="s">
        <v>142</v>
      </c>
      <c r="Q215" s="5" t="s">
        <v>169</v>
      </c>
      <c r="S215" s="24">
        <v>0</v>
      </c>
      <c r="T215" s="24">
        <v>2</v>
      </c>
      <c r="U215" s="24">
        <v>0</v>
      </c>
      <c r="V215" s="24" t="str">
        <v>RICKY FERNANDO JF</v>
      </c>
      <c r="W215" s="24" t="str">
        <v>535220059</v>
      </c>
      <c r="X215" s="24" t="str">
        <v>Magang</v>
      </c>
      <c r="Y215" s="24" t="str">
        <v>Prof. Lina, ST, M.Kom., Ph.D.</v>
      </c>
    </row>
    <row r="216" spans="1:25" ht="43.5" customHeight="1" x14ac:dyDescent="0.2">
      <c r="A216" s="8">
        <v>3</v>
      </c>
      <c r="B216" s="8">
        <v>6</v>
      </c>
      <c r="C216" s="8">
        <v>0</v>
      </c>
      <c r="D216" s="3">
        <v>825220022</v>
      </c>
      <c r="E216" s="3" t="s">
        <v>147</v>
      </c>
      <c r="F216" t="s">
        <v>156</v>
      </c>
      <c r="G216" s="25" cm="1">
        <f t="array" ref="G216">IF(AND(A216:C216=S216:U216),IF((F216=Y216),1,0),999)</f>
        <v>999</v>
      </c>
      <c r="H216" s="24"/>
      <c r="K216" s="5">
        <v>0</v>
      </c>
      <c r="L216" s="5">
        <v>2</v>
      </c>
      <c r="M216" s="5">
        <v>0</v>
      </c>
      <c r="N216" s="5" t="s">
        <v>1102</v>
      </c>
      <c r="O216" s="5" t="s">
        <v>391</v>
      </c>
      <c r="P216" s="5" t="s">
        <v>142</v>
      </c>
      <c r="Q216" s="5" t="s">
        <v>169</v>
      </c>
      <c r="S216" s="24">
        <v>0</v>
      </c>
      <c r="T216" s="24">
        <v>2</v>
      </c>
      <c r="U216" s="24">
        <v>0</v>
      </c>
      <c r="V216" s="24" t="str">
        <v xml:space="preserve">NANDA GOAW PUTRA </v>
      </c>
      <c r="W216" s="24" t="str">
        <v>535220069</v>
      </c>
      <c r="X216" s="24" t="str">
        <v>Magang</v>
      </c>
      <c r="Y216" s="24" t="str">
        <v>Prof. Lina, ST, M.Kom., Ph.D.</v>
      </c>
    </row>
    <row r="217" spans="1:25" ht="44.1" customHeight="1" x14ac:dyDescent="0.2">
      <c r="A217" s="8">
        <v>0</v>
      </c>
      <c r="B217" s="8">
        <v>6</v>
      </c>
      <c r="C217" s="8">
        <v>1</v>
      </c>
      <c r="D217" s="3">
        <v>825210038</v>
      </c>
      <c r="E217" s="3" t="s">
        <v>142</v>
      </c>
      <c r="F217" t="s">
        <v>172</v>
      </c>
      <c r="G217" s="25" cm="1">
        <f t="array" ref="G217">IF(AND(A217:C217=S217:U217),IF((F217=Y217),1,0),999)</f>
        <v>999</v>
      </c>
      <c r="H217" s="24"/>
      <c r="K217" s="5">
        <v>0</v>
      </c>
      <c r="L217" s="5">
        <v>2</v>
      </c>
      <c r="M217" s="5">
        <v>1</v>
      </c>
      <c r="N217" s="5" t="s">
        <v>1103</v>
      </c>
      <c r="O217" s="5" t="s">
        <v>392</v>
      </c>
      <c r="P217" s="5" t="s">
        <v>142</v>
      </c>
      <c r="Q217" s="5" t="s">
        <v>164</v>
      </c>
      <c r="S217" s="24">
        <v>1</v>
      </c>
      <c r="T217" s="24">
        <v>2</v>
      </c>
      <c r="U217" s="24">
        <v>0</v>
      </c>
      <c r="V217" s="24" t="str">
        <v>CINDY AURELIA HARDI</v>
      </c>
      <c r="W217" s="24" t="str">
        <v>535220110</v>
      </c>
      <c r="X217" s="24" t="str">
        <v>Magang</v>
      </c>
      <c r="Y217" s="24" t="str">
        <v>Prof. Lina, ST, M.Kom., Ph.D.</v>
      </c>
    </row>
    <row r="218" spans="1:25" ht="42.95" customHeight="1" x14ac:dyDescent="0.2">
      <c r="A218" s="8">
        <v>0</v>
      </c>
      <c r="B218" s="8">
        <v>6</v>
      </c>
      <c r="C218" s="8">
        <v>1</v>
      </c>
      <c r="D218" s="3">
        <v>825220080</v>
      </c>
      <c r="E218" s="3" t="s">
        <v>142</v>
      </c>
      <c r="F218" t="s">
        <v>172</v>
      </c>
      <c r="G218" s="25" cm="1">
        <f t="array" ref="G218">IF(AND(A218:C218=S218:U218),IF((F218=Y218),1,0),999)</f>
        <v>999</v>
      </c>
      <c r="H218" s="24"/>
      <c r="K218" s="5">
        <v>0</v>
      </c>
      <c r="L218" s="5">
        <v>2</v>
      </c>
      <c r="M218" s="5">
        <v>1</v>
      </c>
      <c r="N218" s="5" t="s">
        <v>1104</v>
      </c>
      <c r="O218" s="5" t="s">
        <v>393</v>
      </c>
      <c r="P218" s="5" t="s">
        <v>142</v>
      </c>
      <c r="Q218" s="5" t="s">
        <v>164</v>
      </c>
      <c r="S218" s="24">
        <v>1</v>
      </c>
      <c r="T218" s="24">
        <v>2</v>
      </c>
      <c r="U218" s="24">
        <v>0</v>
      </c>
      <c r="V218" s="24" t="str">
        <v>MATTHEW ALEXANDER TJAHJADI</v>
      </c>
      <c r="W218" s="24" t="str">
        <v>535220117</v>
      </c>
      <c r="X218" s="24" t="str">
        <v>Magang</v>
      </c>
      <c r="Y218" s="24" t="str">
        <v>Prof. Lina, ST, M.Kom., Ph.D.</v>
      </c>
    </row>
    <row r="219" spans="1:25" ht="44.1" customHeight="1" x14ac:dyDescent="0.2">
      <c r="A219" s="8">
        <v>0</v>
      </c>
      <c r="B219" s="8">
        <v>6</v>
      </c>
      <c r="C219" s="8">
        <v>1</v>
      </c>
      <c r="D219" s="3">
        <v>825220082</v>
      </c>
      <c r="E219" s="3" t="s">
        <v>142</v>
      </c>
      <c r="F219" t="s">
        <v>172</v>
      </c>
      <c r="G219" s="25" cm="1">
        <f t="array" ref="G219">IF(AND(A219:C219=S219:U219),IF((F219=Y219),1,0),999)</f>
        <v>999</v>
      </c>
      <c r="H219" s="24"/>
      <c r="K219" s="5">
        <v>0</v>
      </c>
      <c r="L219" s="5">
        <v>2</v>
      </c>
      <c r="M219" s="5">
        <v>1</v>
      </c>
      <c r="N219" s="5" t="s">
        <v>1105</v>
      </c>
      <c r="O219" s="5" t="s">
        <v>394</v>
      </c>
      <c r="P219" s="5" t="s">
        <v>142</v>
      </c>
      <c r="Q219" s="5" t="s">
        <v>164</v>
      </c>
      <c r="S219" s="24">
        <v>1</v>
      </c>
      <c r="T219" s="24">
        <v>2</v>
      </c>
      <c r="U219" s="24">
        <v>0</v>
      </c>
      <c r="V219" s="24" t="str">
        <v>DAFLAH TSANY GUSRA</v>
      </c>
      <c r="W219" s="24" t="str">
        <v>535220177</v>
      </c>
      <c r="X219" s="24" t="str">
        <v>Magang</v>
      </c>
      <c r="Y219" s="24" t="str">
        <v>Prof. Lina, ST, M.Kom., Ph.D.</v>
      </c>
    </row>
    <row r="220" spans="1:25" ht="42.95" customHeight="1" x14ac:dyDescent="0.2">
      <c r="A220" s="8">
        <v>0</v>
      </c>
      <c r="B220" s="8">
        <v>6</v>
      </c>
      <c r="C220" s="8">
        <v>1</v>
      </c>
      <c r="D220" s="3">
        <v>825220085</v>
      </c>
      <c r="E220" s="3" t="s">
        <v>142</v>
      </c>
      <c r="F220" t="s">
        <v>172</v>
      </c>
      <c r="G220" s="25" cm="1">
        <f t="array" ref="G220">IF(AND(A220:C220=S220:U220),IF((F220=Y220),1,0),999)</f>
        <v>999</v>
      </c>
      <c r="H220" s="24"/>
      <c r="K220" s="5">
        <v>0</v>
      </c>
      <c r="L220" s="5">
        <v>2</v>
      </c>
      <c r="M220" s="5">
        <v>1</v>
      </c>
      <c r="N220" s="5" t="s">
        <v>1106</v>
      </c>
      <c r="O220" s="5" t="s">
        <v>395</v>
      </c>
      <c r="P220" s="5" t="s">
        <v>142</v>
      </c>
      <c r="Q220" s="5" t="s">
        <v>164</v>
      </c>
      <c r="S220" s="24">
        <v>1</v>
      </c>
      <c r="T220" s="24">
        <v>2</v>
      </c>
      <c r="U220" s="24">
        <v>0</v>
      </c>
      <c r="V220" s="24" t="str">
        <v>RANDY GUNAWAN</v>
      </c>
      <c r="W220" s="24" t="str">
        <v>535220180</v>
      </c>
      <c r="X220" s="24" t="str">
        <v>Magang</v>
      </c>
      <c r="Y220" s="24" t="str">
        <v>Prof. Lina, ST, M.Kom., Ph.D.</v>
      </c>
    </row>
    <row r="221" spans="1:25" ht="43.7" customHeight="1" x14ac:dyDescent="0.2">
      <c r="A221" s="8">
        <v>0</v>
      </c>
      <c r="B221" s="8">
        <v>6</v>
      </c>
      <c r="C221" s="8">
        <v>1</v>
      </c>
      <c r="D221" s="3">
        <v>825220086</v>
      </c>
      <c r="E221" s="3" t="s">
        <v>142</v>
      </c>
      <c r="F221" t="s">
        <v>172</v>
      </c>
      <c r="G221" s="25" cm="1">
        <f t="array" ref="G221">IF(AND(A221:C221=S221:U221),IF((F221=Y221),1,0),999)</f>
        <v>999</v>
      </c>
      <c r="H221" s="24"/>
      <c r="K221" s="5">
        <v>0</v>
      </c>
      <c r="L221" s="5">
        <v>2</v>
      </c>
      <c r="M221" s="5">
        <v>1</v>
      </c>
      <c r="N221" s="5" t="s">
        <v>1107</v>
      </c>
      <c r="O221" s="5" t="s">
        <v>396</v>
      </c>
      <c r="P221" s="5" t="s">
        <v>142</v>
      </c>
      <c r="Q221" s="5" t="s">
        <v>164</v>
      </c>
      <c r="S221" s="24">
        <v>1</v>
      </c>
      <c r="T221" s="24">
        <v>2</v>
      </c>
      <c r="U221" s="24">
        <v>0</v>
      </c>
      <c r="V221" s="24" t="str">
        <v>RAVELINO RADISSEY</v>
      </c>
      <c r="W221" s="24" t="str">
        <v>535220181</v>
      </c>
      <c r="X221" s="24" t="str">
        <v>Magang</v>
      </c>
      <c r="Y221" s="24" t="str">
        <v>Prof. Lina, ST, M.Kom., Ph.D.</v>
      </c>
    </row>
    <row r="222" spans="1:25" ht="42.6" customHeight="1" x14ac:dyDescent="0.2">
      <c r="A222" s="8">
        <v>1</v>
      </c>
      <c r="B222" s="8">
        <v>6</v>
      </c>
      <c r="C222" s="8">
        <v>1</v>
      </c>
      <c r="D222" s="3">
        <v>825220026</v>
      </c>
      <c r="E222" s="3" t="s">
        <v>142</v>
      </c>
      <c r="F222" t="s">
        <v>174</v>
      </c>
      <c r="G222" s="25" cm="1">
        <f t="array" ref="G222">IF(AND(A222:C222=S222:U222),IF((F222=Y222),1,0),999)</f>
        <v>999</v>
      </c>
      <c r="H222" s="24"/>
      <c r="K222" s="5">
        <v>0</v>
      </c>
      <c r="L222" s="5">
        <v>2</v>
      </c>
      <c r="M222" s="5">
        <v>2</v>
      </c>
      <c r="N222" s="5" t="s">
        <v>1108</v>
      </c>
      <c r="O222" s="5" t="s">
        <v>397</v>
      </c>
      <c r="P222" s="5" t="s">
        <v>145</v>
      </c>
      <c r="Q222" s="5" t="s">
        <v>165</v>
      </c>
      <c r="S222" s="24">
        <v>2</v>
      </c>
      <c r="T222" s="24">
        <v>2</v>
      </c>
      <c r="U222" s="24">
        <v>0</v>
      </c>
      <c r="V222" s="24" t="str">
        <v>MERRY ULI ARTHA MANURUNG</v>
      </c>
      <c r="W222" s="24" t="str">
        <v>535220263</v>
      </c>
      <c r="X222" s="24" t="str">
        <v>Magang</v>
      </c>
      <c r="Y222" s="24" t="str">
        <v>Prof. Lina, ST, M.Kom., Ph.D.</v>
      </c>
    </row>
    <row r="223" spans="1:25" ht="44.1" customHeight="1" x14ac:dyDescent="0.2">
      <c r="A223" s="8">
        <v>1</v>
      </c>
      <c r="B223" s="8">
        <v>6</v>
      </c>
      <c r="C223" s="8">
        <v>1</v>
      </c>
      <c r="D223" s="3">
        <v>825220042</v>
      </c>
      <c r="E223" s="3" t="s">
        <v>142</v>
      </c>
      <c r="F223" t="s">
        <v>174</v>
      </c>
      <c r="G223" s="25" cm="1">
        <f t="array" ref="G223">IF(AND(A223:C223=S223:U223),IF((F223=Y223),1,0),999)</f>
        <v>999</v>
      </c>
      <c r="H223" s="24"/>
      <c r="K223" s="5">
        <v>0</v>
      </c>
      <c r="L223" s="5">
        <v>2</v>
      </c>
      <c r="M223" s="5">
        <v>2</v>
      </c>
      <c r="N223" s="5" t="s">
        <v>1109</v>
      </c>
      <c r="O223" s="5" t="s">
        <v>398</v>
      </c>
      <c r="P223" s="5" t="s">
        <v>142</v>
      </c>
      <c r="Q223" s="5" t="s">
        <v>167</v>
      </c>
      <c r="S223" s="24">
        <v>2</v>
      </c>
      <c r="T223" s="24">
        <v>2</v>
      </c>
      <c r="U223" s="24">
        <v>0</v>
      </c>
      <c r="V223" s="24" t="str">
        <v>ALIYAH ZAHRAH</v>
      </c>
      <c r="W223" s="24" t="str">
        <v>535220243</v>
      </c>
      <c r="X223" s="24" t="str">
        <v>Stupen</v>
      </c>
      <c r="Y223" s="24" t="str">
        <v>Prof. Lina, ST, M.Kom., Ph.D.</v>
      </c>
    </row>
    <row r="224" spans="1:25" ht="42.95" customHeight="1" x14ac:dyDescent="0.2">
      <c r="A224" s="8">
        <v>1</v>
      </c>
      <c r="B224" s="8">
        <v>6</v>
      </c>
      <c r="C224" s="8">
        <v>1</v>
      </c>
      <c r="D224" s="3">
        <v>825220043</v>
      </c>
      <c r="E224" s="3" t="s">
        <v>142</v>
      </c>
      <c r="F224" t="s">
        <v>174</v>
      </c>
      <c r="G224" s="25" cm="1">
        <f t="array" ref="G224">IF(AND(A224:C224=S224:U224),IF((F224=Y224),1,0),999)</f>
        <v>999</v>
      </c>
      <c r="H224" s="24"/>
      <c r="K224" s="5">
        <v>0</v>
      </c>
      <c r="L224" s="5">
        <v>2</v>
      </c>
      <c r="M224" s="5">
        <v>2</v>
      </c>
      <c r="N224" s="5" t="s">
        <v>1110</v>
      </c>
      <c r="O224" s="5" t="s">
        <v>399</v>
      </c>
      <c r="P224" s="5" t="s">
        <v>142</v>
      </c>
      <c r="Q224" s="5" t="s">
        <v>167</v>
      </c>
      <c r="S224" s="24">
        <v>2</v>
      </c>
      <c r="T224" s="24">
        <v>2</v>
      </c>
      <c r="U224" s="24">
        <v>0</v>
      </c>
      <c r="V224" s="24" t="str">
        <v>IQBAL ALFARIDZI BALMAN</v>
      </c>
      <c r="W224" s="24" t="str">
        <v>535220248</v>
      </c>
      <c r="X224" s="24" t="str">
        <v>Stupen</v>
      </c>
      <c r="Y224" s="24" t="str">
        <v>Prof. Lina, ST, M.Kom., Ph.D.</v>
      </c>
    </row>
    <row r="225" spans="1:25" ht="44.1" customHeight="1" x14ac:dyDescent="0.2">
      <c r="A225" s="8">
        <v>1</v>
      </c>
      <c r="B225" s="8">
        <v>6</v>
      </c>
      <c r="C225" s="8">
        <v>1</v>
      </c>
      <c r="D225" s="3">
        <v>825220044</v>
      </c>
      <c r="E225" s="3" t="s">
        <v>142</v>
      </c>
      <c r="F225" t="s">
        <v>174</v>
      </c>
      <c r="G225" s="25" cm="1">
        <f t="array" ref="G225">IF(AND(A225:C225=S225:U225),IF((F225=Y225),1,0),999)</f>
        <v>999</v>
      </c>
      <c r="H225" s="24"/>
      <c r="K225" s="5">
        <v>0</v>
      </c>
      <c r="L225" s="5">
        <v>2</v>
      </c>
      <c r="M225" s="5">
        <v>2</v>
      </c>
      <c r="N225" s="5" t="s">
        <v>1111</v>
      </c>
      <c r="O225" s="5" t="s">
        <v>400</v>
      </c>
      <c r="P225" s="5" t="s">
        <v>142</v>
      </c>
      <c r="Q225" s="5" t="s">
        <v>167</v>
      </c>
      <c r="S225" s="24">
        <v>2</v>
      </c>
      <c r="T225" s="24">
        <v>2</v>
      </c>
      <c r="U225" s="24">
        <v>0</v>
      </c>
      <c r="V225" s="24" t="str">
        <v>NASWA AZAHRA</v>
      </c>
      <c r="W225" s="24" t="str">
        <v>535220252</v>
      </c>
      <c r="X225" s="24" t="str">
        <v>Stupen</v>
      </c>
      <c r="Y225" s="24" t="str">
        <v>Prof. Lina, ST, M.Kom., Ph.D.</v>
      </c>
    </row>
    <row r="226" spans="1:25" ht="44.1" customHeight="1" x14ac:dyDescent="0.2">
      <c r="A226" s="8">
        <v>1</v>
      </c>
      <c r="B226" s="8">
        <v>6</v>
      </c>
      <c r="C226" s="8">
        <v>1</v>
      </c>
      <c r="D226" s="3">
        <v>825220053</v>
      </c>
      <c r="E226" s="3" t="s">
        <v>142</v>
      </c>
      <c r="F226" t="s">
        <v>174</v>
      </c>
      <c r="G226" s="25" cm="1">
        <f t="array" ref="G226">IF(AND(A226:C226=S226:U226),IF((F226=Y226),1,0),999)</f>
        <v>999</v>
      </c>
      <c r="H226" s="24"/>
      <c r="K226" s="5">
        <v>0</v>
      </c>
      <c r="L226" s="5">
        <v>2</v>
      </c>
      <c r="M226" s="5">
        <v>2</v>
      </c>
      <c r="N226" s="5" t="s">
        <v>1112</v>
      </c>
      <c r="O226" s="5" t="s">
        <v>401</v>
      </c>
      <c r="P226" s="5" t="s">
        <v>142</v>
      </c>
      <c r="Q226" s="5" t="s">
        <v>167</v>
      </c>
      <c r="S226" s="24">
        <v>2</v>
      </c>
      <c r="T226" s="24">
        <v>2</v>
      </c>
      <c r="U226" s="24">
        <v>0</v>
      </c>
      <c r="V226" s="24" t="str">
        <v>FERARRY WIJAYA</v>
      </c>
      <c r="W226" s="24" t="str">
        <v>535220254</v>
      </c>
      <c r="X226" s="24" t="str">
        <v>Stupen</v>
      </c>
      <c r="Y226" s="24" t="str">
        <v>Prof. Lina, ST, M.Kom., Ph.D.</v>
      </c>
    </row>
    <row r="227" spans="1:25" ht="43.5" customHeight="1" x14ac:dyDescent="0.2">
      <c r="A227" s="8">
        <v>2</v>
      </c>
      <c r="B227" s="8">
        <v>6</v>
      </c>
      <c r="C227" s="8">
        <v>1</v>
      </c>
      <c r="D227" s="3">
        <v>535220052</v>
      </c>
      <c r="E227" s="3" t="s">
        <v>142</v>
      </c>
      <c r="F227" t="s">
        <v>158</v>
      </c>
      <c r="G227" s="25" cm="1">
        <f t="array" ref="G227">IF(AND(A227:C227=S227:U227),IF((F227=Y227),1,0),999)</f>
        <v>999</v>
      </c>
      <c r="H227" s="24"/>
      <c r="K227" s="5">
        <v>1</v>
      </c>
      <c r="L227" s="5">
        <v>2</v>
      </c>
      <c r="M227" s="5">
        <v>0</v>
      </c>
      <c r="N227" s="5" t="s">
        <v>1113</v>
      </c>
      <c r="O227" s="5" t="s">
        <v>402</v>
      </c>
      <c r="P227" s="5" t="s">
        <v>142</v>
      </c>
      <c r="Q227" s="5" t="s">
        <v>169</v>
      </c>
      <c r="S227" s="24">
        <v>3</v>
      </c>
      <c r="T227" s="24">
        <v>2</v>
      </c>
      <c r="U227" s="24">
        <v>0</v>
      </c>
      <c r="V227" s="24" t="str">
        <v>MICHAEL</v>
      </c>
      <c r="W227" s="24" t="str">
        <v>535220261</v>
      </c>
      <c r="X227" s="24" t="str">
        <v>Stupen</v>
      </c>
      <c r="Y227" s="24" t="str">
        <v>Prof. Lina, ST, M.Kom., Ph.D.</v>
      </c>
    </row>
    <row r="228" spans="1:25" ht="44.1" customHeight="1" x14ac:dyDescent="0.2">
      <c r="A228" s="8">
        <v>2</v>
      </c>
      <c r="B228" s="8">
        <v>6</v>
      </c>
      <c r="C228" s="8">
        <v>1</v>
      </c>
      <c r="D228" s="3">
        <v>535220085</v>
      </c>
      <c r="E228" s="3" t="s">
        <v>142</v>
      </c>
      <c r="F228" t="s">
        <v>158</v>
      </c>
      <c r="G228" s="25" cm="1">
        <f t="array" ref="G228">IF(AND(A228:C228=S228:U228),IF((F228=Y228),1,0),999)</f>
        <v>999</v>
      </c>
      <c r="H228" s="24"/>
      <c r="K228" s="5">
        <v>1</v>
      </c>
      <c r="L228" s="5">
        <v>2</v>
      </c>
      <c r="M228" s="5">
        <v>0</v>
      </c>
      <c r="N228" s="5" t="s">
        <v>1114</v>
      </c>
      <c r="O228" s="5" t="s">
        <v>403</v>
      </c>
      <c r="P228" s="5" t="s">
        <v>142</v>
      </c>
      <c r="Q228" s="5" t="s">
        <v>169</v>
      </c>
      <c r="S228" s="24">
        <v>3</v>
      </c>
      <c r="T228" s="24">
        <v>2</v>
      </c>
      <c r="U228" s="24">
        <v>0</v>
      </c>
      <c r="V228" s="24" t="str">
        <v>AHMAD RORY</v>
      </c>
      <c r="W228" s="24" t="str">
        <v>825220167</v>
      </c>
      <c r="X228" s="24" t="str">
        <v>Stupen</v>
      </c>
      <c r="Y228" s="24" t="str">
        <v>Tony, S.Kom., M.Kom., Ph.D.</v>
      </c>
    </row>
    <row r="229" spans="1:25" ht="42.95" customHeight="1" x14ac:dyDescent="0.2">
      <c r="A229" s="8">
        <v>2</v>
      </c>
      <c r="B229" s="8">
        <v>6</v>
      </c>
      <c r="C229" s="8">
        <v>1</v>
      </c>
      <c r="D229" s="3">
        <v>535220087</v>
      </c>
      <c r="E229" s="3" t="s">
        <v>142</v>
      </c>
      <c r="F229" t="s">
        <v>158</v>
      </c>
      <c r="G229" s="25" cm="1">
        <f t="array" ref="G229">IF(AND(A229:C229=S229:U229),IF((F229=Y229),1,0),999)</f>
        <v>999</v>
      </c>
      <c r="H229" s="24"/>
      <c r="K229" s="5">
        <v>1</v>
      </c>
      <c r="L229" s="5">
        <v>2</v>
      </c>
      <c r="M229" s="5">
        <v>0</v>
      </c>
      <c r="N229" s="5" t="s">
        <v>1115</v>
      </c>
      <c r="O229" s="5" t="s">
        <v>404</v>
      </c>
      <c r="P229" s="5" t="s">
        <v>142</v>
      </c>
      <c r="Q229" s="5" t="s">
        <v>169</v>
      </c>
      <c r="S229" s="24">
        <v>3</v>
      </c>
      <c r="T229" s="24">
        <v>2</v>
      </c>
      <c r="U229" s="24">
        <v>0</v>
      </c>
      <c r="V229" s="24" t="str">
        <v>MICHAEL CHAN</v>
      </c>
      <c r="W229" s="24" t="str">
        <v>535220079</v>
      </c>
      <c r="X229" s="24" t="str">
        <v>Penelitian</v>
      </c>
      <c r="Y229" s="24" t="str">
        <v>Tony, S.Kom., M.Kom., Ph.D.</v>
      </c>
    </row>
    <row r="230" spans="1:25" ht="44.1" customHeight="1" x14ac:dyDescent="0.2">
      <c r="A230" s="8">
        <v>2</v>
      </c>
      <c r="B230" s="8">
        <v>6</v>
      </c>
      <c r="C230" s="8">
        <v>1</v>
      </c>
      <c r="D230" s="3">
        <v>535220089</v>
      </c>
      <c r="E230" s="3" t="s">
        <v>142</v>
      </c>
      <c r="F230" t="s">
        <v>158</v>
      </c>
      <c r="G230" s="25" cm="1">
        <f t="array" ref="G230">IF(AND(A230:C230=S230:U230),IF((F230=Y230),1,0),999)</f>
        <v>999</v>
      </c>
      <c r="H230" s="24"/>
      <c r="K230" s="5">
        <v>1</v>
      </c>
      <c r="L230" s="5">
        <v>2</v>
      </c>
      <c r="M230" s="5">
        <v>0</v>
      </c>
      <c r="N230" s="5" t="s">
        <v>1116</v>
      </c>
      <c r="O230" s="5" t="s">
        <v>405</v>
      </c>
      <c r="P230" s="5" t="s">
        <v>142</v>
      </c>
      <c r="Q230" s="5" t="s">
        <v>169</v>
      </c>
      <c r="S230" s="24">
        <v>0</v>
      </c>
      <c r="T230" s="24">
        <v>2</v>
      </c>
      <c r="U230" s="24">
        <v>1</v>
      </c>
      <c r="V230" s="24" t="str">
        <v>NATHANIEL ROWEN</v>
      </c>
      <c r="W230" s="24" t="str">
        <v>535220082</v>
      </c>
      <c r="X230" s="24" t="str">
        <v>Magang</v>
      </c>
      <c r="Y230" s="24" t="str">
        <v>Irvan Lewenusa, S.Kom., M.Kom.</v>
      </c>
    </row>
    <row r="231" spans="1:25" ht="43.5" customHeight="1" x14ac:dyDescent="0.2">
      <c r="A231" s="8">
        <v>2</v>
      </c>
      <c r="B231" s="8">
        <v>6</v>
      </c>
      <c r="C231" s="8">
        <v>1</v>
      </c>
      <c r="D231" s="3">
        <v>535220091</v>
      </c>
      <c r="E231" s="3" t="s">
        <v>142</v>
      </c>
      <c r="F231" t="s">
        <v>158</v>
      </c>
      <c r="G231" s="25" cm="1">
        <f t="array" ref="G231">IF(AND(A231:C231=S231:U231),IF((F231=Y231),1,0),999)</f>
        <v>999</v>
      </c>
      <c r="H231" s="24"/>
      <c r="K231" s="5">
        <v>1</v>
      </c>
      <c r="L231" s="5">
        <v>2</v>
      </c>
      <c r="M231" s="5">
        <v>0</v>
      </c>
      <c r="N231" s="5" t="s">
        <v>1117</v>
      </c>
      <c r="O231" s="5" t="s">
        <v>406</v>
      </c>
      <c r="P231" s="5" t="s">
        <v>142</v>
      </c>
      <c r="Q231" s="5" t="s">
        <v>169</v>
      </c>
      <c r="S231" s="24">
        <v>0</v>
      </c>
      <c r="T231" s="24">
        <v>2</v>
      </c>
      <c r="U231" s="24">
        <v>1</v>
      </c>
      <c r="V231" s="24" t="str">
        <v>NICO THOMAS</v>
      </c>
      <c r="W231" s="24" t="str">
        <v>535220133</v>
      </c>
      <c r="X231" s="24" t="str">
        <v>Magang</v>
      </c>
      <c r="Y231" s="24" t="str">
        <v>Irvan Lewenusa, S.Kom., M.Kom.</v>
      </c>
    </row>
    <row r="232" spans="1:25" ht="43.5" customHeight="1" x14ac:dyDescent="0.2">
      <c r="A232" s="8">
        <v>3</v>
      </c>
      <c r="B232" s="8">
        <v>6</v>
      </c>
      <c r="C232" s="8">
        <v>1</v>
      </c>
      <c r="D232" s="3">
        <v>825220076</v>
      </c>
      <c r="E232" s="3" t="s">
        <v>142</v>
      </c>
      <c r="F232" t="s">
        <v>174</v>
      </c>
      <c r="G232" s="25" cm="1">
        <f t="array" ref="G232">IF(AND(A232:C232=S232:U232),IF((F232=Y232),1,0),999)</f>
        <v>999</v>
      </c>
      <c r="H232" s="24"/>
      <c r="K232" s="5">
        <v>1</v>
      </c>
      <c r="L232" s="5">
        <v>2</v>
      </c>
      <c r="M232" s="5">
        <v>1</v>
      </c>
      <c r="N232" s="5" t="s">
        <v>1118</v>
      </c>
      <c r="O232" s="5" t="s">
        <v>407</v>
      </c>
      <c r="P232" s="5" t="s">
        <v>142</v>
      </c>
      <c r="Q232" s="5" t="s">
        <v>164</v>
      </c>
      <c r="S232" s="24">
        <v>0</v>
      </c>
      <c r="T232" s="24">
        <v>2</v>
      </c>
      <c r="U232" s="24">
        <v>1</v>
      </c>
      <c r="V232" s="24" t="str">
        <v>VINCENT ALEXANDER</v>
      </c>
      <c r="W232" s="24" t="str">
        <v>535220149</v>
      </c>
      <c r="X232" s="24" t="str">
        <v>Magang</v>
      </c>
      <c r="Y232" s="24" t="str">
        <v>Irvan Lewenusa, S.Kom., M.Kom.</v>
      </c>
    </row>
    <row r="233" spans="1:25" ht="42.95" customHeight="1" x14ac:dyDescent="0.2">
      <c r="A233" s="8">
        <v>3</v>
      </c>
      <c r="B233" s="8">
        <v>6</v>
      </c>
      <c r="C233" s="8">
        <v>1</v>
      </c>
      <c r="D233" s="3">
        <v>825220077</v>
      </c>
      <c r="E233" s="3" t="s">
        <v>142</v>
      </c>
      <c r="F233" t="s">
        <v>174</v>
      </c>
      <c r="G233" s="25" cm="1">
        <f t="array" ref="G233">IF(AND(A233:C233=S233:U233),IF((F233=Y233),1,0),999)</f>
        <v>999</v>
      </c>
      <c r="H233" s="24"/>
      <c r="K233" s="5">
        <v>1</v>
      </c>
      <c r="L233" s="5">
        <v>2</v>
      </c>
      <c r="M233" s="5">
        <v>1</v>
      </c>
      <c r="N233" s="5" t="s">
        <v>1119</v>
      </c>
      <c r="O233" s="5" t="s">
        <v>408</v>
      </c>
      <c r="P233" s="5" t="s">
        <v>142</v>
      </c>
      <c r="Q233" s="5" t="s">
        <v>164</v>
      </c>
      <c r="S233" s="24">
        <v>0</v>
      </c>
      <c r="T233" s="24">
        <v>2</v>
      </c>
      <c r="U233" s="24">
        <v>1</v>
      </c>
      <c r="V233" s="24" t="str">
        <v>FU ANDRY PUTRA</v>
      </c>
      <c r="W233" s="24" t="str">
        <v>535220152</v>
      </c>
      <c r="X233" s="24" t="str">
        <v>Magang</v>
      </c>
      <c r="Y233" s="24" t="str">
        <v>Irvan Lewenusa, S.Kom., M.Kom.</v>
      </c>
    </row>
    <row r="234" spans="1:25" ht="44.1" customHeight="1" x14ac:dyDescent="0.2">
      <c r="A234" s="8">
        <v>3</v>
      </c>
      <c r="B234" s="8">
        <v>6</v>
      </c>
      <c r="C234" s="8">
        <v>1</v>
      </c>
      <c r="D234" s="3">
        <v>825220078</v>
      </c>
      <c r="E234" s="3" t="s">
        <v>142</v>
      </c>
      <c r="F234" t="s">
        <v>174</v>
      </c>
      <c r="G234" s="25" cm="1">
        <f t="array" ref="G234">IF(AND(A234:C234=S234:U234),IF((F234=Y234),1,0),999)</f>
        <v>999</v>
      </c>
      <c r="H234" s="24"/>
      <c r="K234" s="5">
        <v>1</v>
      </c>
      <c r="L234" s="5">
        <v>2</v>
      </c>
      <c r="M234" s="5">
        <v>1</v>
      </c>
      <c r="N234" s="5" t="s">
        <v>1120</v>
      </c>
      <c r="O234" s="5" t="s">
        <v>409</v>
      </c>
      <c r="P234" s="5" t="s">
        <v>142</v>
      </c>
      <c r="Q234" s="5" t="s">
        <v>164</v>
      </c>
      <c r="S234" s="24">
        <v>0</v>
      </c>
      <c r="T234" s="24">
        <v>2</v>
      </c>
      <c r="U234" s="24">
        <v>1</v>
      </c>
      <c r="V234" s="24" t="str">
        <v>HENOKH MIKHAEL KRISTIANTAN</v>
      </c>
      <c r="W234" s="24" t="str">
        <v>535220154</v>
      </c>
      <c r="X234" s="24" t="str">
        <v>Magang</v>
      </c>
      <c r="Y234" s="24" t="str">
        <v>Irvan Lewenusa, S.Kom., M.Kom.</v>
      </c>
    </row>
    <row r="235" spans="1:25" ht="44.1" customHeight="1" x14ac:dyDescent="0.2">
      <c r="A235" s="8">
        <v>3</v>
      </c>
      <c r="B235" s="8">
        <v>6</v>
      </c>
      <c r="C235" s="8">
        <v>1</v>
      </c>
      <c r="D235" s="3">
        <v>825220079</v>
      </c>
      <c r="E235" s="3" t="s">
        <v>142</v>
      </c>
      <c r="F235" t="s">
        <v>174</v>
      </c>
      <c r="G235" s="25" cm="1">
        <f t="array" ref="G235">IF(AND(A235:C235=S235:U235),IF((F235=Y235),1,0),999)</f>
        <v>999</v>
      </c>
      <c r="H235" s="24"/>
      <c r="K235" s="5">
        <v>1</v>
      </c>
      <c r="L235" s="5">
        <v>2</v>
      </c>
      <c r="M235" s="5">
        <v>1</v>
      </c>
      <c r="N235" s="5" t="s">
        <v>1121</v>
      </c>
      <c r="O235" s="5" t="s">
        <v>410</v>
      </c>
      <c r="P235" s="5" t="s">
        <v>142</v>
      </c>
      <c r="Q235" s="5" t="s">
        <v>164</v>
      </c>
      <c r="S235" s="24">
        <v>1</v>
      </c>
      <c r="T235" s="24">
        <v>2</v>
      </c>
      <c r="U235" s="24">
        <v>1</v>
      </c>
      <c r="V235" s="24" t="str">
        <v xml:space="preserve">AMOS VALENTINO NABABAN </v>
      </c>
      <c r="W235" s="24" t="str">
        <v>535220191</v>
      </c>
      <c r="X235" s="24" t="str">
        <v>Magang</v>
      </c>
      <c r="Y235" s="24" t="str">
        <v>Irvan Lewenusa, S.Kom., M.Kom.</v>
      </c>
    </row>
    <row r="236" spans="1:25" ht="43.5" customHeight="1" x14ac:dyDescent="0.2">
      <c r="A236" s="8">
        <v>3</v>
      </c>
      <c r="B236" s="8">
        <v>6</v>
      </c>
      <c r="C236" s="8">
        <v>1</v>
      </c>
      <c r="D236" s="3">
        <v>825220127</v>
      </c>
      <c r="E236" s="3" t="s">
        <v>142</v>
      </c>
      <c r="F236" t="s">
        <v>174</v>
      </c>
      <c r="G236" s="25" cm="1">
        <f t="array" ref="G236">IF(AND(A236:C236=S236:U236),IF((F236=Y236),1,0),999)</f>
        <v>999</v>
      </c>
      <c r="H236" s="24"/>
      <c r="K236" s="5">
        <v>1</v>
      </c>
      <c r="L236" s="5">
        <v>2</v>
      </c>
      <c r="M236" s="5">
        <v>1</v>
      </c>
      <c r="N236" s="5" t="s">
        <v>1122</v>
      </c>
      <c r="O236" s="5" t="s">
        <v>411</v>
      </c>
      <c r="P236" s="5" t="s">
        <v>142</v>
      </c>
      <c r="Q236" s="5" t="s">
        <v>164</v>
      </c>
      <c r="S236" s="24">
        <v>1</v>
      </c>
      <c r="T236" s="24">
        <v>2</v>
      </c>
      <c r="U236" s="24">
        <v>1</v>
      </c>
      <c r="V236" s="24" t="str">
        <v>DANIEL HARTONO HONORIS</v>
      </c>
      <c r="W236" s="24" t="str">
        <v>535220206</v>
      </c>
      <c r="X236" s="24" t="str">
        <v>Magang</v>
      </c>
      <c r="Y236" s="24" t="str">
        <v>Irvan Lewenusa, S.Kom., M.Kom.</v>
      </c>
    </row>
    <row r="237" spans="1:25" ht="44.1" customHeight="1" x14ac:dyDescent="0.2">
      <c r="A237" s="8">
        <v>0</v>
      </c>
      <c r="B237" s="8">
        <v>6</v>
      </c>
      <c r="C237" s="8">
        <v>2</v>
      </c>
      <c r="D237" s="3">
        <v>535220039</v>
      </c>
      <c r="E237" s="3" t="s">
        <v>142</v>
      </c>
      <c r="F237" t="s">
        <v>166</v>
      </c>
      <c r="G237" s="25" cm="1">
        <f t="array" ref="G237">IF(AND(A237:C237=S237:U237),IF((F237=Y237),1,0),999)</f>
        <v>999</v>
      </c>
      <c r="H237" s="24"/>
      <c r="K237" s="5">
        <v>1</v>
      </c>
      <c r="L237" s="5">
        <v>2</v>
      </c>
      <c r="M237" s="5">
        <v>2</v>
      </c>
      <c r="N237" s="5" t="s">
        <v>1123</v>
      </c>
      <c r="O237" s="5" t="s">
        <v>412</v>
      </c>
      <c r="P237" s="5" t="s">
        <v>142</v>
      </c>
      <c r="Q237" s="5" t="s">
        <v>168</v>
      </c>
      <c r="S237" s="24">
        <v>1</v>
      </c>
      <c r="T237" s="24">
        <v>2</v>
      </c>
      <c r="U237" s="24">
        <v>1</v>
      </c>
      <c r="V237" s="24" t="str">
        <v>RICKY CANGNIAGO</v>
      </c>
      <c r="W237" s="24" t="str">
        <v>535220210</v>
      </c>
      <c r="X237" s="24" t="str">
        <v>Magang</v>
      </c>
      <c r="Y237" s="24" t="str">
        <v>Irvan Lewenusa, S.Kom., M.Kom.</v>
      </c>
    </row>
    <row r="238" spans="1:25" ht="42.95" customHeight="1" x14ac:dyDescent="0.2">
      <c r="A238" s="8">
        <v>0</v>
      </c>
      <c r="B238" s="8">
        <v>6</v>
      </c>
      <c r="C238" s="8">
        <v>2</v>
      </c>
      <c r="D238" s="3">
        <v>535220041</v>
      </c>
      <c r="E238" s="3" t="s">
        <v>142</v>
      </c>
      <c r="F238" t="s">
        <v>166</v>
      </c>
      <c r="G238" s="25" cm="1">
        <f t="array" ref="G238">IF(AND(A238:C238=S238:U238),IF((F238=Y238),1,0),999)</f>
        <v>999</v>
      </c>
      <c r="H238" s="24"/>
      <c r="K238" s="5">
        <v>1</v>
      </c>
      <c r="L238" s="5">
        <v>2</v>
      </c>
      <c r="M238" s="5">
        <v>2</v>
      </c>
      <c r="N238" s="5" t="s">
        <v>1124</v>
      </c>
      <c r="O238" s="5" t="s">
        <v>413</v>
      </c>
      <c r="P238" s="5" t="s">
        <v>142</v>
      </c>
      <c r="Q238" s="5" t="s">
        <v>168</v>
      </c>
      <c r="S238" s="24">
        <v>1</v>
      </c>
      <c r="T238" s="24">
        <v>2</v>
      </c>
      <c r="U238" s="24">
        <v>1</v>
      </c>
      <c r="V238" s="24" t="str">
        <v>AURELLIUS JEREMIAH THOMAS</v>
      </c>
      <c r="W238" s="24" t="str">
        <v>535220213</v>
      </c>
      <c r="X238" s="24" t="str">
        <v>Magang</v>
      </c>
      <c r="Y238" s="24" t="str">
        <v>Irvan Lewenusa, S.Kom., M.Kom.</v>
      </c>
    </row>
    <row r="239" spans="1:25" ht="44.1" customHeight="1" x14ac:dyDescent="0.2">
      <c r="A239" s="8">
        <v>0</v>
      </c>
      <c r="B239" s="8">
        <v>6</v>
      </c>
      <c r="C239" s="8">
        <v>2</v>
      </c>
      <c r="D239" s="3">
        <v>535220051</v>
      </c>
      <c r="E239" s="3" t="s">
        <v>142</v>
      </c>
      <c r="F239" t="s">
        <v>166</v>
      </c>
      <c r="G239" s="25" cm="1">
        <f t="array" ref="G239">IF(AND(A239:C239=S239:U239),IF((F239=Y239),1,0),999)</f>
        <v>999</v>
      </c>
      <c r="H239" s="24"/>
      <c r="K239" s="5">
        <v>1</v>
      </c>
      <c r="L239" s="5">
        <v>2</v>
      </c>
      <c r="M239" s="5">
        <v>2</v>
      </c>
      <c r="N239" s="5" t="s">
        <v>1125</v>
      </c>
      <c r="O239" s="5" t="s">
        <v>414</v>
      </c>
      <c r="P239" s="5" t="s">
        <v>142</v>
      </c>
      <c r="Q239" s="5" t="s">
        <v>168</v>
      </c>
      <c r="S239" s="24">
        <v>1</v>
      </c>
      <c r="T239" s="24">
        <v>2</v>
      </c>
      <c r="U239" s="24">
        <v>1</v>
      </c>
      <c r="V239" s="24" t="str">
        <v>YOGA RAMADHANI KABAKORA</v>
      </c>
      <c r="W239" s="24" t="str">
        <v>535220247</v>
      </c>
      <c r="X239" s="24" t="str">
        <v>Magang</v>
      </c>
      <c r="Y239" s="24" t="str">
        <v>Irvan Lewenusa, S.Kom., M.Kom.</v>
      </c>
    </row>
    <row r="240" spans="1:25" ht="42.95" customHeight="1" x14ac:dyDescent="0.2">
      <c r="A240" s="8">
        <v>0</v>
      </c>
      <c r="B240" s="8">
        <v>6</v>
      </c>
      <c r="C240" s="8">
        <v>2</v>
      </c>
      <c r="D240" s="3">
        <v>535220146</v>
      </c>
      <c r="E240" s="3" t="s">
        <v>142</v>
      </c>
      <c r="F240" t="s">
        <v>166</v>
      </c>
      <c r="G240" s="25" cm="1">
        <f t="array" ref="G240">IF(AND(A240:C240=S240:U240),IF((F240=Y240),1,0),999)</f>
        <v>999</v>
      </c>
      <c r="H240" s="24"/>
      <c r="K240" s="5">
        <v>1</v>
      </c>
      <c r="L240" s="5">
        <v>2</v>
      </c>
      <c r="M240" s="5">
        <v>2</v>
      </c>
      <c r="N240" s="5" t="s">
        <v>1126</v>
      </c>
      <c r="O240" s="5" t="s">
        <v>415</v>
      </c>
      <c r="P240" s="5" t="s">
        <v>142</v>
      </c>
      <c r="Q240" s="5" t="s">
        <v>168</v>
      </c>
      <c r="S240" s="24">
        <v>2</v>
      </c>
      <c r="T240" s="24">
        <v>2</v>
      </c>
      <c r="U240" s="24">
        <v>1</v>
      </c>
      <c r="V240" s="24" t="str">
        <v xml:space="preserve">LI WEI </v>
      </c>
      <c r="W240" s="24" t="str">
        <v>825220054</v>
      </c>
      <c r="X240" s="24" t="str">
        <v>Magang</v>
      </c>
      <c r="Y240" s="24" t="str">
        <v>Tony, S.Kom., M.Kom., Ph.D.</v>
      </c>
    </row>
    <row r="241" spans="1:25" ht="43.7" customHeight="1" x14ac:dyDescent="0.2">
      <c r="A241" s="8">
        <v>0</v>
      </c>
      <c r="B241" s="8">
        <v>6</v>
      </c>
      <c r="C241" s="8">
        <v>2</v>
      </c>
      <c r="D241" s="3">
        <v>535220151</v>
      </c>
      <c r="E241" s="3" t="s">
        <v>142</v>
      </c>
      <c r="F241" t="s">
        <v>166</v>
      </c>
      <c r="G241" s="25" cm="1">
        <f t="array" ref="G241">IF(AND(A241:C241=S241:U241),IF((F241=Y241),1,0),999)</f>
        <v>999</v>
      </c>
      <c r="H241" s="24"/>
      <c r="K241" s="5">
        <v>1</v>
      </c>
      <c r="L241" s="5">
        <v>2</v>
      </c>
      <c r="M241" s="5">
        <v>2</v>
      </c>
      <c r="N241" s="5" t="s">
        <v>1127</v>
      </c>
      <c r="O241" s="5" t="s">
        <v>416</v>
      </c>
      <c r="P241" s="5" t="s">
        <v>142</v>
      </c>
      <c r="Q241" s="5" t="s">
        <v>168</v>
      </c>
      <c r="S241" s="24">
        <v>2</v>
      </c>
      <c r="T241" s="24">
        <v>2</v>
      </c>
      <c r="U241" s="24">
        <v>1</v>
      </c>
      <c r="V241" s="24" t="str">
        <v>ARMANTA TARIGAN</v>
      </c>
      <c r="W241" s="24" t="str">
        <v>825220129</v>
      </c>
      <c r="X241" s="24" t="str">
        <v>Magang</v>
      </c>
      <c r="Y241" s="24" t="str">
        <v>Tony, S.Kom., M.Kom., Ph.D.</v>
      </c>
    </row>
    <row r="242" spans="1:25" ht="42.6" customHeight="1" x14ac:dyDescent="0.2">
      <c r="A242" s="8">
        <v>1</v>
      </c>
      <c r="B242" s="8">
        <v>6</v>
      </c>
      <c r="C242" s="8">
        <v>2</v>
      </c>
      <c r="D242" s="3">
        <v>535220161</v>
      </c>
      <c r="E242" s="3" t="s">
        <v>142</v>
      </c>
      <c r="F242" t="s">
        <v>166</v>
      </c>
      <c r="G242" s="25" cm="1">
        <f t="array" ref="G242">IF(AND(A242:C242=S242:U242),IF((F242=Y242),1,0),999)</f>
        <v>999</v>
      </c>
      <c r="H242" s="24"/>
      <c r="K242" s="5">
        <v>2</v>
      </c>
      <c r="L242" s="5">
        <v>2</v>
      </c>
      <c r="M242" s="5">
        <v>0</v>
      </c>
      <c r="N242" s="5" t="s">
        <v>1128</v>
      </c>
      <c r="O242" s="5" t="s">
        <v>417</v>
      </c>
      <c r="P242" s="5" t="s">
        <v>142</v>
      </c>
      <c r="Q242" s="5" t="s">
        <v>169</v>
      </c>
      <c r="S242" s="24">
        <v>2</v>
      </c>
      <c r="T242" s="24">
        <v>2</v>
      </c>
      <c r="U242" s="24">
        <v>1</v>
      </c>
      <c r="V242" s="24" t="str">
        <v>GERRANT ENRIQO HIYA</v>
      </c>
      <c r="W242" s="24" t="str">
        <v>825220147</v>
      </c>
      <c r="X242" s="24" t="str">
        <v>Magang</v>
      </c>
      <c r="Y242" s="24" t="str">
        <v>Tony, S.Kom., M.Kom., Ph.D.</v>
      </c>
    </row>
    <row r="243" spans="1:25" ht="44.1" customHeight="1" x14ac:dyDescent="0.2">
      <c r="A243" s="8">
        <v>1</v>
      </c>
      <c r="B243" s="8">
        <v>6</v>
      </c>
      <c r="C243" s="8">
        <v>2</v>
      </c>
      <c r="D243" s="3">
        <v>535220235</v>
      </c>
      <c r="E243" s="3" t="s">
        <v>142</v>
      </c>
      <c r="F243" t="s">
        <v>166</v>
      </c>
      <c r="G243" s="25" cm="1">
        <f t="array" ref="G243">IF(AND(A243:C243=S243:U243),IF((F243=Y243),1,0),999)</f>
        <v>999</v>
      </c>
      <c r="H243" s="24"/>
      <c r="K243" s="5">
        <v>2</v>
      </c>
      <c r="L243" s="5">
        <v>2</v>
      </c>
      <c r="M243" s="5">
        <v>0</v>
      </c>
      <c r="N243" s="5" t="s">
        <v>1129</v>
      </c>
      <c r="O243" s="5" t="s">
        <v>418</v>
      </c>
      <c r="P243" s="5" t="s">
        <v>143</v>
      </c>
      <c r="Q243" s="5" t="s">
        <v>169</v>
      </c>
      <c r="S243" s="24">
        <v>2</v>
      </c>
      <c r="T243" s="24">
        <v>2</v>
      </c>
      <c r="U243" s="24">
        <v>1</v>
      </c>
      <c r="V243" s="24" t="str">
        <v>AMARA THURIDHA</v>
      </c>
      <c r="W243" s="24" t="str">
        <v>825220153</v>
      </c>
      <c r="X243" s="24" t="str">
        <v>Magang</v>
      </c>
      <c r="Y243" s="24" t="str">
        <v>Tony, S.Kom., M.Kom., Ph.D.</v>
      </c>
    </row>
    <row r="244" spans="1:25" ht="42.95" customHeight="1" x14ac:dyDescent="0.2">
      <c r="A244" s="8">
        <v>1</v>
      </c>
      <c r="B244" s="8">
        <v>6</v>
      </c>
      <c r="C244" s="8">
        <v>2</v>
      </c>
      <c r="D244" s="3">
        <v>535220056</v>
      </c>
      <c r="E244" s="3" t="s">
        <v>142</v>
      </c>
      <c r="F244" t="s">
        <v>156</v>
      </c>
      <c r="G244" s="25" cm="1">
        <f t="array" ref="G244">IF(AND(A244:C244=S244:U244),IF((F244=Y244),1,0),999)</f>
        <v>999</v>
      </c>
      <c r="H244" s="24"/>
      <c r="K244" s="5">
        <v>2</v>
      </c>
      <c r="L244" s="5">
        <v>2</v>
      </c>
      <c r="M244" s="5">
        <v>0</v>
      </c>
      <c r="N244" s="5" t="s">
        <v>1130</v>
      </c>
      <c r="O244" s="5" t="s">
        <v>419</v>
      </c>
      <c r="P244" s="5" t="s">
        <v>143</v>
      </c>
      <c r="Q244" s="5" t="s">
        <v>169</v>
      </c>
      <c r="S244" s="24">
        <v>2</v>
      </c>
      <c r="T244" s="24">
        <v>2</v>
      </c>
      <c r="U244" s="24">
        <v>1</v>
      </c>
      <c r="V244" s="24" t="str">
        <v>ANDRI RIZKIKA</v>
      </c>
      <c r="W244" s="24" t="str">
        <v>825220168</v>
      </c>
      <c r="X244" s="24" t="str">
        <v>Magang</v>
      </c>
      <c r="Y244" s="24" t="str">
        <v>Tony, S.Kom., M.Kom., Ph.D.</v>
      </c>
    </row>
    <row r="245" spans="1:25" ht="44.1" customHeight="1" x14ac:dyDescent="0.2">
      <c r="A245" s="8">
        <v>1</v>
      </c>
      <c r="B245" s="8">
        <v>6</v>
      </c>
      <c r="C245" s="8">
        <v>2</v>
      </c>
      <c r="D245" s="3">
        <v>535220057</v>
      </c>
      <c r="E245" s="3" t="s">
        <v>142</v>
      </c>
      <c r="F245" t="s">
        <v>156</v>
      </c>
      <c r="G245" s="25" cm="1">
        <f t="array" ref="G245">IF(AND(A245:C245=S245:U245),IF((F245=Y245),1,0),999)</f>
        <v>999</v>
      </c>
      <c r="H245" s="24"/>
      <c r="K245" s="5">
        <v>2</v>
      </c>
      <c r="L245" s="5">
        <v>2</v>
      </c>
      <c r="M245" s="5">
        <v>0</v>
      </c>
      <c r="N245" s="5" t="s">
        <v>1131</v>
      </c>
      <c r="O245" s="5" t="s">
        <v>420</v>
      </c>
      <c r="P245" s="5" t="s">
        <v>143</v>
      </c>
      <c r="Q245" s="5" t="s">
        <v>169</v>
      </c>
      <c r="S245" s="24">
        <v>0</v>
      </c>
      <c r="T245" s="24">
        <v>2</v>
      </c>
      <c r="U245" s="24">
        <v>2</v>
      </c>
      <c r="V245" s="24" t="str">
        <v>KEVIN SUSANTO DHARMAWAN</v>
      </c>
      <c r="W245" s="24" t="str">
        <v>825220112</v>
      </c>
      <c r="X245" s="24" t="str">
        <v>Mengajar</v>
      </c>
      <c r="Y245" s="24" t="str">
        <v>Darius Andana Haris, S.Kom., MTI</v>
      </c>
    </row>
    <row r="246" spans="1:25" ht="44.1" customHeight="1" x14ac:dyDescent="0.2">
      <c r="A246" s="8">
        <v>1</v>
      </c>
      <c r="B246" s="8">
        <v>6</v>
      </c>
      <c r="C246" s="8">
        <v>2</v>
      </c>
      <c r="D246" s="3">
        <v>535220106</v>
      </c>
      <c r="E246" s="3" t="s">
        <v>142</v>
      </c>
      <c r="F246" t="s">
        <v>156</v>
      </c>
      <c r="G246" s="25" cm="1">
        <f t="array" ref="G246">IF(AND(A246:C246=S246:U246),IF((F246=Y246),1,0),999)</f>
        <v>999</v>
      </c>
      <c r="H246" s="24"/>
      <c r="K246" s="5">
        <v>2</v>
      </c>
      <c r="L246" s="5">
        <v>2</v>
      </c>
      <c r="M246" s="5">
        <v>0</v>
      </c>
      <c r="N246" s="5" t="s">
        <v>1132</v>
      </c>
      <c r="O246" s="5" t="s">
        <v>421</v>
      </c>
      <c r="P246" s="5" t="s">
        <v>143</v>
      </c>
      <c r="Q246" s="5" t="s">
        <v>169</v>
      </c>
      <c r="S246" s="24">
        <v>0</v>
      </c>
      <c r="T246" s="24">
        <v>2</v>
      </c>
      <c r="U246" s="24">
        <v>2</v>
      </c>
      <c r="V246" s="24" t="str">
        <v>FADHEL PUTRA FELMI</v>
      </c>
      <c r="W246" s="24" t="str">
        <v>535220182</v>
      </c>
      <c r="X246" s="24" t="str">
        <v>Magang</v>
      </c>
      <c r="Y246" s="24" t="str">
        <v>Teny Handhayani, S.Kom., M.Kom., Ph.D.</v>
      </c>
    </row>
    <row r="247" spans="1:25" ht="44.1" customHeight="1" x14ac:dyDescent="0.2">
      <c r="A247" s="8">
        <v>2</v>
      </c>
      <c r="B247" s="8">
        <v>6</v>
      </c>
      <c r="C247" s="8">
        <v>2</v>
      </c>
      <c r="D247" s="3">
        <v>535220108</v>
      </c>
      <c r="E247" s="3" t="s">
        <v>142</v>
      </c>
      <c r="F247" t="s">
        <v>156</v>
      </c>
      <c r="G247" s="25" cm="1">
        <f t="array" ref="G247">IF(AND(A247:C247=S247:U247),IF((F247=Y247),1,0),999)</f>
        <v>999</v>
      </c>
      <c r="H247" s="24"/>
      <c r="K247" s="5">
        <v>2</v>
      </c>
      <c r="L247" s="5">
        <v>2</v>
      </c>
      <c r="M247" s="5">
        <v>1</v>
      </c>
      <c r="N247" s="5" t="s">
        <v>1133</v>
      </c>
      <c r="O247" s="5" t="s">
        <v>422</v>
      </c>
      <c r="P247" s="5" t="s">
        <v>142</v>
      </c>
      <c r="Q247" s="5" t="s">
        <v>168</v>
      </c>
      <c r="S247" s="24">
        <v>0</v>
      </c>
      <c r="T247" s="24">
        <v>2</v>
      </c>
      <c r="U247" s="24">
        <v>2</v>
      </c>
      <c r="V247" s="24" t="str">
        <v>KENNETH MARLON TAN</v>
      </c>
      <c r="W247" s="24" t="str">
        <v>535220183</v>
      </c>
      <c r="X247" s="24" t="str">
        <v>Magang</v>
      </c>
      <c r="Y247" s="24" t="str">
        <v>Teny Handhayani, S.Kom., M.Kom., Ph.D.</v>
      </c>
    </row>
    <row r="248" spans="1:25" ht="44.1" customHeight="1" x14ac:dyDescent="0.2">
      <c r="A248" s="8">
        <v>2</v>
      </c>
      <c r="B248" s="8">
        <v>6</v>
      </c>
      <c r="C248" s="8">
        <v>2</v>
      </c>
      <c r="D248" s="3">
        <v>535220109</v>
      </c>
      <c r="E248" s="3" t="s">
        <v>142</v>
      </c>
      <c r="F248" t="s">
        <v>156</v>
      </c>
      <c r="G248" s="25" cm="1">
        <f t="array" ref="G248">IF(AND(A248:C248=S248:U248),IF((F248=Y248),1,0),999)</f>
        <v>999</v>
      </c>
      <c r="H248" s="24"/>
      <c r="K248" s="5">
        <v>2</v>
      </c>
      <c r="L248" s="5">
        <v>2</v>
      </c>
      <c r="M248" s="5">
        <v>1</v>
      </c>
      <c r="N248" s="5" t="s">
        <v>1134</v>
      </c>
      <c r="O248" s="5" t="s">
        <v>423</v>
      </c>
      <c r="P248" s="5" t="s">
        <v>142</v>
      </c>
      <c r="Q248" s="5" t="s">
        <v>168</v>
      </c>
      <c r="S248" s="24">
        <v>0</v>
      </c>
      <c r="T248" s="24">
        <v>2</v>
      </c>
      <c r="U248" s="24">
        <v>2</v>
      </c>
      <c r="V248" s="24" t="str">
        <v>JHONATAN MARIKROS</v>
      </c>
      <c r="W248" s="24" t="str">
        <v>535220189</v>
      </c>
      <c r="X248" s="24" t="str">
        <v>Magang</v>
      </c>
      <c r="Y248" s="24" t="str">
        <v>Teny Handhayani, S.Kom., M.Kom., Ph.D.</v>
      </c>
    </row>
    <row r="249" spans="1:25" ht="42.95" customHeight="1" x14ac:dyDescent="0.2">
      <c r="A249" s="8">
        <v>2</v>
      </c>
      <c r="B249" s="8">
        <v>6</v>
      </c>
      <c r="C249" s="8">
        <v>2</v>
      </c>
      <c r="D249" s="3">
        <v>535220162</v>
      </c>
      <c r="E249" s="3" t="s">
        <v>142</v>
      </c>
      <c r="F249" t="s">
        <v>156</v>
      </c>
      <c r="G249" s="25" cm="1">
        <f t="array" ref="G249">IF(AND(A249:C249=S249:U249),IF((F249=Y249),1,0),999)</f>
        <v>999</v>
      </c>
      <c r="H249" s="24"/>
      <c r="K249" s="5">
        <v>2</v>
      </c>
      <c r="L249" s="5">
        <v>2</v>
      </c>
      <c r="M249" s="5">
        <v>1</v>
      </c>
      <c r="N249" s="5" t="s">
        <v>1135</v>
      </c>
      <c r="O249" s="5" t="s">
        <v>424</v>
      </c>
      <c r="P249" s="5" t="s">
        <v>142</v>
      </c>
      <c r="Q249" s="5" t="s">
        <v>168</v>
      </c>
      <c r="S249" s="24">
        <v>0</v>
      </c>
      <c r="T249" s="24">
        <v>2</v>
      </c>
      <c r="U249" s="24">
        <v>2</v>
      </c>
      <c r="V249" s="24" t="str">
        <v>MUHAMMAD RAFFI HERMAWAN</v>
      </c>
      <c r="W249" s="24" t="str">
        <v>535220259</v>
      </c>
      <c r="X249" s="24" t="str">
        <v>Magang</v>
      </c>
      <c r="Y249" s="24" t="str">
        <v>Teny Handhayani, S.Kom., M.Kom., Ph.D.</v>
      </c>
    </row>
    <row r="250" spans="1:25" ht="44.1" customHeight="1" x14ac:dyDescent="0.2">
      <c r="A250" s="8">
        <v>2</v>
      </c>
      <c r="B250" s="8">
        <v>6</v>
      </c>
      <c r="C250" s="8">
        <v>2</v>
      </c>
      <c r="D250" s="3">
        <v>535220166</v>
      </c>
      <c r="E250" s="3" t="s">
        <v>142</v>
      </c>
      <c r="F250" t="s">
        <v>156</v>
      </c>
      <c r="G250" s="25" cm="1">
        <f t="array" ref="G250">IF(AND(A250:C250=S250:U250),IF((F250=Y250),1,0),999)</f>
        <v>999</v>
      </c>
      <c r="H250" s="24"/>
      <c r="K250" s="5">
        <v>2</v>
      </c>
      <c r="L250" s="5">
        <v>2</v>
      </c>
      <c r="M250" s="5">
        <v>1</v>
      </c>
      <c r="N250" s="5" t="s">
        <v>1136</v>
      </c>
      <c r="O250" s="5" t="s">
        <v>425</v>
      </c>
      <c r="P250" s="5" t="s">
        <v>142</v>
      </c>
      <c r="Q250" s="5" t="s">
        <v>168</v>
      </c>
      <c r="S250" s="24">
        <v>1</v>
      </c>
      <c r="T250" s="24">
        <v>2</v>
      </c>
      <c r="U250" s="24">
        <v>2</v>
      </c>
      <c r="V250" s="24" t="str">
        <v>NOVANDRY APRILIAN</v>
      </c>
      <c r="W250" s="24" t="str">
        <v>535220165</v>
      </c>
      <c r="X250" s="24" t="str">
        <v>Magang</v>
      </c>
      <c r="Y250" s="24" t="str">
        <v>Tony, S.Kom., M.Kom., Ph.D.</v>
      </c>
    </row>
    <row r="251" spans="1:25" ht="43.5" customHeight="1" x14ac:dyDescent="0.2">
      <c r="A251" s="8">
        <v>2</v>
      </c>
      <c r="B251" s="8">
        <v>6</v>
      </c>
      <c r="C251" s="8">
        <v>2</v>
      </c>
      <c r="D251" s="3">
        <v>535220170</v>
      </c>
      <c r="E251" s="3" t="s">
        <v>142</v>
      </c>
      <c r="F251" t="s">
        <v>156</v>
      </c>
      <c r="G251" s="25" cm="1">
        <f t="array" ref="G251">IF(AND(A251:C251=S251:U251),IF((F251=Y251),1,0),999)</f>
        <v>999</v>
      </c>
      <c r="H251" s="24"/>
      <c r="K251" s="5">
        <v>2</v>
      </c>
      <c r="L251" s="5">
        <v>2</v>
      </c>
      <c r="M251" s="5">
        <v>1</v>
      </c>
      <c r="N251" s="5" t="s">
        <v>1137</v>
      </c>
      <c r="O251" s="5" t="s">
        <v>426</v>
      </c>
      <c r="P251" s="5" t="s">
        <v>142</v>
      </c>
      <c r="Q251" s="5" t="s">
        <v>168</v>
      </c>
      <c r="S251" s="24">
        <v>1</v>
      </c>
      <c r="T251" s="24">
        <v>2</v>
      </c>
      <c r="U251" s="24">
        <v>2</v>
      </c>
      <c r="V251" s="24" t="str">
        <v>RUDI HARTARTO</v>
      </c>
      <c r="W251" s="24" t="str">
        <v>535220197</v>
      </c>
      <c r="X251" s="24" t="str">
        <v>Magang</v>
      </c>
      <c r="Y251" s="24" t="str">
        <v>Tony, S.Kom., M.Kom., Ph.D.</v>
      </c>
    </row>
    <row r="252" spans="1:25" ht="44.1" customHeight="1" x14ac:dyDescent="0.2">
      <c r="A252" s="8">
        <v>0</v>
      </c>
      <c r="B252" s="8">
        <v>7</v>
      </c>
      <c r="C252" s="8">
        <v>0</v>
      </c>
      <c r="D252" s="3">
        <v>825220021</v>
      </c>
      <c r="E252" s="3" t="s">
        <v>143</v>
      </c>
      <c r="F252" t="s">
        <v>173</v>
      </c>
      <c r="G252" s="25" cm="1">
        <f t="array" ref="G252">IF(AND(A252:C252=S252:U252),IF((F252=Y252),1,0),999)</f>
        <v>999</v>
      </c>
      <c r="H252" s="24"/>
      <c r="K252" s="5">
        <v>3</v>
      </c>
      <c r="L252" s="5">
        <v>2</v>
      </c>
      <c r="M252" s="5">
        <v>0</v>
      </c>
      <c r="N252" s="5" t="s">
        <v>961</v>
      </c>
      <c r="O252" s="5" t="s">
        <v>427</v>
      </c>
      <c r="P252" s="5" t="s">
        <v>143</v>
      </c>
      <c r="Q252" s="5" t="s">
        <v>169</v>
      </c>
      <c r="S252" s="24">
        <v>1</v>
      </c>
      <c r="T252" s="24">
        <v>2</v>
      </c>
      <c r="U252" s="24">
        <v>2</v>
      </c>
      <c r="V252" s="24" t="str">
        <v>REYNALDO</v>
      </c>
      <c r="W252" s="24" t="str">
        <v>535220201</v>
      </c>
      <c r="X252" s="24" t="str">
        <v>Magang</v>
      </c>
      <c r="Y252" s="24" t="str">
        <v>Tony, S.Kom., M.Kom., Ph.D.</v>
      </c>
    </row>
    <row r="253" spans="1:25" ht="42.95" customHeight="1" x14ac:dyDescent="0.2">
      <c r="A253" s="8">
        <v>0</v>
      </c>
      <c r="B253" s="8">
        <v>7</v>
      </c>
      <c r="C253" s="8">
        <v>0</v>
      </c>
      <c r="D253" s="3">
        <v>825220031</v>
      </c>
      <c r="E253" s="3" t="s">
        <v>143</v>
      </c>
      <c r="F253" t="s">
        <v>173</v>
      </c>
      <c r="G253" s="25" cm="1">
        <f t="array" ref="G253">IF(AND(A253:C253=S253:U253),IF((F253=Y253),1,0),999)</f>
        <v>999</v>
      </c>
      <c r="H253" s="24"/>
      <c r="K253" s="5">
        <v>3</v>
      </c>
      <c r="L253" s="5">
        <v>2</v>
      </c>
      <c r="M253" s="5">
        <v>0</v>
      </c>
      <c r="N253" s="5" t="s">
        <v>1138</v>
      </c>
      <c r="O253" s="5" t="s">
        <v>428</v>
      </c>
      <c r="P253" s="5" t="s">
        <v>143</v>
      </c>
      <c r="Q253" s="5" t="s">
        <v>168</v>
      </c>
      <c r="S253" s="24">
        <v>1</v>
      </c>
      <c r="T253" s="24">
        <v>2</v>
      </c>
      <c r="U253" s="24">
        <v>2</v>
      </c>
      <c r="V253" s="24" t="str">
        <v>GILANG SAMUDRO SUWARJONO</v>
      </c>
      <c r="W253" s="24" t="str">
        <v>535229202</v>
      </c>
      <c r="X253" s="24" t="str">
        <v>Magang</v>
      </c>
      <c r="Y253" s="24" t="str">
        <v>Tony, S.Kom., M.Kom., Ph.D.</v>
      </c>
    </row>
    <row r="254" spans="1:25" ht="44.1" customHeight="1" x14ac:dyDescent="0.2">
      <c r="A254" s="8">
        <v>0</v>
      </c>
      <c r="B254" s="8">
        <v>7</v>
      </c>
      <c r="C254" s="8">
        <v>0</v>
      </c>
      <c r="D254" s="3">
        <v>825220032</v>
      </c>
      <c r="E254" s="3" t="s">
        <v>143</v>
      </c>
      <c r="F254" t="s">
        <v>173</v>
      </c>
      <c r="G254" s="25" cm="1">
        <f t="array" ref="G254">IF(AND(A254:C254=S254:U254),IF((F254=Y254),1,0),999)</f>
        <v>999</v>
      </c>
      <c r="H254" s="24"/>
      <c r="K254" s="5">
        <v>3</v>
      </c>
      <c r="L254" s="5">
        <v>2</v>
      </c>
      <c r="M254" s="5">
        <v>0</v>
      </c>
      <c r="N254" s="5" t="s">
        <v>1139</v>
      </c>
      <c r="O254" s="5" t="s">
        <v>429</v>
      </c>
      <c r="P254" s="5" t="s">
        <v>144</v>
      </c>
      <c r="Q254" s="5" t="s">
        <v>168</v>
      </c>
      <c r="S254" s="24">
        <v>1</v>
      </c>
      <c r="T254" s="24">
        <v>2</v>
      </c>
      <c r="U254" s="24">
        <v>2</v>
      </c>
      <c r="V254" s="24" t="str">
        <v>CHERYL NATHANIA</v>
      </c>
      <c r="W254" s="24" t="str">
        <v>825220051</v>
      </c>
      <c r="X254" s="24" t="str">
        <v>Magang</v>
      </c>
      <c r="Y254" s="24" t="str">
        <v>Tony, S.Kom., M.Kom., Ph.D.</v>
      </c>
    </row>
    <row r="255" spans="1:25" ht="44.1" customHeight="1" x14ac:dyDescent="0.2">
      <c r="A255" s="8">
        <v>0</v>
      </c>
      <c r="B255" s="8">
        <v>7</v>
      </c>
      <c r="C255" s="8">
        <v>0</v>
      </c>
      <c r="D255" s="3">
        <v>825220033</v>
      </c>
      <c r="E255" s="3" t="s">
        <v>143</v>
      </c>
      <c r="F255" t="s">
        <v>173</v>
      </c>
      <c r="G255" s="25" cm="1">
        <f t="array" ref="G255">IF(AND(A255:C255=S255:U255),IF((F255=Y255),1,0),999)</f>
        <v>999</v>
      </c>
      <c r="H255" s="24"/>
      <c r="K255" s="5">
        <v>4</v>
      </c>
      <c r="L255" s="5">
        <v>3</v>
      </c>
      <c r="M255" s="5">
        <v>0</v>
      </c>
      <c r="N255" s="5" t="s">
        <v>1140</v>
      </c>
      <c r="O255" s="5" t="s">
        <v>430</v>
      </c>
      <c r="P255" s="5" t="s">
        <v>142</v>
      </c>
      <c r="Q255" s="5" t="s">
        <v>170</v>
      </c>
      <c r="S255" s="24">
        <v>4</v>
      </c>
      <c r="T255" s="24">
        <v>3</v>
      </c>
      <c r="U255" s="24">
        <v>0</v>
      </c>
      <c r="V255" s="24" t="str">
        <v>JASON PERMANA</v>
      </c>
      <c r="W255" s="24" t="str">
        <v>535220002</v>
      </c>
      <c r="X255" s="24" t="str">
        <v>Magang</v>
      </c>
      <c r="Y255" s="24" t="str">
        <v>Prof. Dr. Ir. Dyah Erny Herwindiati, M.Si.</v>
      </c>
    </row>
    <row r="256" spans="1:25" ht="33" customHeight="1" x14ac:dyDescent="0.2">
      <c r="A256" s="8">
        <v>0</v>
      </c>
      <c r="B256" s="8">
        <v>7</v>
      </c>
      <c r="C256" s="8">
        <v>0</v>
      </c>
      <c r="D256" s="4">
        <v>825220035</v>
      </c>
      <c r="E256" s="3" t="s">
        <v>143</v>
      </c>
      <c r="F256" t="s">
        <v>173</v>
      </c>
      <c r="G256" s="25" cm="1">
        <f t="array" ref="G256">IF(AND(A256:C256=S256:U256),IF((F256=Y256),1,0),999)</f>
        <v>999</v>
      </c>
      <c r="H256" s="24"/>
      <c r="K256" s="5">
        <v>4</v>
      </c>
      <c r="L256" s="5">
        <v>3</v>
      </c>
      <c r="M256" s="5">
        <v>0</v>
      </c>
      <c r="N256" s="5" t="s">
        <v>1141</v>
      </c>
      <c r="O256" s="5" t="s">
        <v>431</v>
      </c>
      <c r="P256" s="5" t="s">
        <v>142</v>
      </c>
      <c r="Q256" s="5" t="s">
        <v>170</v>
      </c>
      <c r="S256" s="24">
        <v>4</v>
      </c>
      <c r="T256" s="24">
        <v>3</v>
      </c>
      <c r="U256" s="24">
        <v>0</v>
      </c>
      <c r="V256" s="24" t="str">
        <v>ARYA WIRA KRISTANTO</v>
      </c>
      <c r="W256" s="24" t="str">
        <v>535220004</v>
      </c>
      <c r="X256" s="24" t="str">
        <v>Magang</v>
      </c>
      <c r="Y256" s="24" t="str">
        <v>Prof. Dr. Ir. Dyah Erny Herwindiati, M.Si.</v>
      </c>
    </row>
    <row r="257" spans="1:25" ht="42.95" customHeight="1" x14ac:dyDescent="0.2">
      <c r="A257" s="8">
        <v>1</v>
      </c>
      <c r="B257" s="8">
        <v>7</v>
      </c>
      <c r="C257" s="8">
        <v>0</v>
      </c>
      <c r="D257" s="3">
        <v>535220160</v>
      </c>
      <c r="E257" s="3" t="s">
        <v>143</v>
      </c>
      <c r="F257" t="s">
        <v>175</v>
      </c>
      <c r="G257" s="25" cm="1">
        <f t="array" ref="G257">IF(AND(A257:C257=S257:U257),IF((F257=Y257),1,0),999)</f>
        <v>999</v>
      </c>
      <c r="H257" s="24"/>
      <c r="K257" s="5">
        <v>4</v>
      </c>
      <c r="L257" s="5">
        <v>3</v>
      </c>
      <c r="M257" s="5">
        <v>0</v>
      </c>
      <c r="N257" s="5" t="s">
        <v>1142</v>
      </c>
      <c r="O257" s="5" t="s">
        <v>432</v>
      </c>
      <c r="P257" s="5" t="s">
        <v>142</v>
      </c>
      <c r="Q257" s="5" t="s">
        <v>170</v>
      </c>
      <c r="S257" s="24">
        <v>4</v>
      </c>
      <c r="T257" s="24">
        <v>3</v>
      </c>
      <c r="U257" s="24">
        <v>0</v>
      </c>
      <c r="V257" s="24" t="str">
        <v>NICHOLAS MARTIN</v>
      </c>
      <c r="W257" s="24" t="str">
        <v>535220027</v>
      </c>
      <c r="X257" s="24" t="str">
        <v>Magang</v>
      </c>
      <c r="Y257" s="24" t="str">
        <v>Prof. Dr. Ir. Dyah Erny Herwindiati, M.Si.</v>
      </c>
    </row>
    <row r="258" spans="1:25" ht="44.1" customHeight="1" x14ac:dyDescent="0.2">
      <c r="A258" s="8">
        <v>1</v>
      </c>
      <c r="B258" s="8">
        <v>7</v>
      </c>
      <c r="C258" s="8">
        <v>0</v>
      </c>
      <c r="D258" s="3">
        <v>535220178</v>
      </c>
      <c r="E258" s="3" t="s">
        <v>143</v>
      </c>
      <c r="F258" t="s">
        <v>175</v>
      </c>
      <c r="G258" s="25" cm="1">
        <f t="array" ref="G258">IF(AND(A258:C258=S258:U258),IF((F258=Y258),1,0),999)</f>
        <v>999</v>
      </c>
      <c r="H258" s="24"/>
      <c r="K258" s="5">
        <v>4</v>
      </c>
      <c r="L258" s="5">
        <v>3</v>
      </c>
      <c r="M258" s="5">
        <v>0</v>
      </c>
      <c r="N258" s="5" t="s">
        <v>1143</v>
      </c>
      <c r="O258" s="5" t="s">
        <v>433</v>
      </c>
      <c r="P258" s="5" t="s">
        <v>142</v>
      </c>
      <c r="Q258" s="5" t="s">
        <v>170</v>
      </c>
      <c r="S258" s="24">
        <v>4</v>
      </c>
      <c r="T258" s="24">
        <v>3</v>
      </c>
      <c r="U258" s="24">
        <v>0</v>
      </c>
      <c r="V258" s="24" t="str">
        <v xml:space="preserve">FINNIA LI </v>
      </c>
      <c r="W258" s="24" t="str">
        <v>535220030</v>
      </c>
      <c r="X258" s="24" t="str">
        <v>Magang</v>
      </c>
      <c r="Y258" s="24" t="str">
        <v>Prof. Dr. Ir. Dyah Erny Herwindiati, M.Si.</v>
      </c>
    </row>
    <row r="259" spans="1:25" ht="42.95" customHeight="1" x14ac:dyDescent="0.2">
      <c r="A259" s="8">
        <v>1</v>
      </c>
      <c r="B259" s="8">
        <v>7</v>
      </c>
      <c r="C259" s="8">
        <v>0</v>
      </c>
      <c r="D259" s="3">
        <v>535220196</v>
      </c>
      <c r="E259" s="3" t="s">
        <v>143</v>
      </c>
      <c r="F259" t="s">
        <v>175</v>
      </c>
      <c r="G259" s="25" cm="1">
        <f t="array" ref="G259">IF(AND(A259:C259=S259:U259),IF((F259=Y259),1,0),999)</f>
        <v>999</v>
      </c>
      <c r="H259" s="24"/>
      <c r="K259" s="5">
        <v>4</v>
      </c>
      <c r="L259" s="5">
        <v>3</v>
      </c>
      <c r="M259" s="5">
        <v>0</v>
      </c>
      <c r="N259" s="5" t="s">
        <v>1144</v>
      </c>
      <c r="O259" s="5" t="s">
        <v>434</v>
      </c>
      <c r="P259" s="5" t="s">
        <v>142</v>
      </c>
      <c r="Q259" s="5" t="s">
        <v>170</v>
      </c>
      <c r="S259" s="24">
        <v>4</v>
      </c>
      <c r="T259" s="24">
        <v>3</v>
      </c>
      <c r="U259" s="24">
        <v>0</v>
      </c>
      <c r="V259" s="24" t="str">
        <v>KEVIN JONATHAN JM</v>
      </c>
      <c r="W259" s="24" t="str">
        <v>535220038</v>
      </c>
      <c r="X259" s="24" t="str">
        <v>Magang</v>
      </c>
      <c r="Y259" s="24" t="str">
        <v>Prof. Dr. Ir. Dyah Erny Herwindiati, M.Si.</v>
      </c>
    </row>
    <row r="260" spans="1:25" ht="44.1" customHeight="1" x14ac:dyDescent="0.2">
      <c r="A260" s="8">
        <v>1</v>
      </c>
      <c r="B260" s="8">
        <v>7</v>
      </c>
      <c r="C260" s="8">
        <v>0</v>
      </c>
      <c r="D260" s="3">
        <v>535220216</v>
      </c>
      <c r="E260" s="3" t="s">
        <v>143</v>
      </c>
      <c r="F260" t="s">
        <v>175</v>
      </c>
      <c r="G260" s="25" cm="1">
        <f t="array" ref="G260">IF(AND(A260:C260=S260:U260),IF((F260=Y260),1,0),999)</f>
        <v>999</v>
      </c>
      <c r="H260" s="24"/>
      <c r="K260" s="5">
        <v>5</v>
      </c>
      <c r="L260" s="5">
        <v>3</v>
      </c>
      <c r="M260" s="5">
        <v>0</v>
      </c>
      <c r="N260" s="5" t="s">
        <v>1145</v>
      </c>
      <c r="O260" s="5" t="s">
        <v>435</v>
      </c>
      <c r="P260" s="5" t="s">
        <v>142</v>
      </c>
      <c r="Q260" s="5" t="s">
        <v>170</v>
      </c>
      <c r="S260" s="24">
        <v>5</v>
      </c>
      <c r="T260" s="24">
        <v>3</v>
      </c>
      <c r="U260" s="24">
        <v>0</v>
      </c>
      <c r="V260" s="24" t="str">
        <v>RICHARD VINCENTIUS</v>
      </c>
      <c r="W260" s="24" t="str">
        <v>535220077</v>
      </c>
      <c r="X260" s="24" t="str">
        <v>Magang</v>
      </c>
      <c r="Y260" s="24" t="str">
        <v>Prof. Dr. Ir. Dyah Erny Herwindiati, M.Si.</v>
      </c>
    </row>
    <row r="261" spans="1:25" ht="42.6" customHeight="1" x14ac:dyDescent="0.2">
      <c r="A261" s="8">
        <v>1</v>
      </c>
      <c r="B261" s="8">
        <v>7</v>
      </c>
      <c r="C261" s="8">
        <v>0</v>
      </c>
      <c r="D261" s="3">
        <v>535220219</v>
      </c>
      <c r="E261" s="3" t="s">
        <v>143</v>
      </c>
      <c r="F261" t="s">
        <v>175</v>
      </c>
      <c r="G261" s="25" cm="1">
        <f t="array" ref="G261">IF(AND(A261:C261=S261:U261),IF((F261=Y261),1,0),999)</f>
        <v>999</v>
      </c>
      <c r="H261" s="24"/>
      <c r="K261" s="5">
        <v>5</v>
      </c>
      <c r="L261" s="5">
        <v>3</v>
      </c>
      <c r="M261" s="5">
        <v>0</v>
      </c>
      <c r="N261" s="5" t="s">
        <v>1146</v>
      </c>
      <c r="O261" s="5" t="s">
        <v>436</v>
      </c>
      <c r="P261" s="5" t="s">
        <v>142</v>
      </c>
      <c r="Q261" s="5" t="s">
        <v>170</v>
      </c>
      <c r="S261" s="24">
        <v>5</v>
      </c>
      <c r="T261" s="24">
        <v>3</v>
      </c>
      <c r="U261" s="24">
        <v>0</v>
      </c>
      <c r="V261" s="24" t="str">
        <v xml:space="preserve">KEVIN NATANAEL </v>
      </c>
      <c r="W261" s="24" t="str">
        <v>535220084</v>
      </c>
      <c r="X261" s="24" t="str">
        <v>Magang</v>
      </c>
      <c r="Y261" s="24" t="str">
        <v>Prof. Dr. Ir. Dyah Erny Herwindiati, M.Si.</v>
      </c>
    </row>
    <row r="262" spans="1:25" ht="44.1" customHeight="1" x14ac:dyDescent="0.2">
      <c r="A262" s="8">
        <v>2</v>
      </c>
      <c r="B262" s="8">
        <v>7</v>
      </c>
      <c r="C262" s="8">
        <v>0</v>
      </c>
      <c r="D262" s="3">
        <v>535220222</v>
      </c>
      <c r="E262" s="3" t="s">
        <v>143</v>
      </c>
      <c r="F262" t="s">
        <v>175</v>
      </c>
      <c r="G262" s="25" cm="1">
        <f t="array" ref="G262">IF(AND(A262:C262=S262:U262),IF((F262=Y262),1,0),999)</f>
        <v>999</v>
      </c>
      <c r="H262" s="24"/>
      <c r="K262" s="5">
        <v>5</v>
      </c>
      <c r="L262" s="5">
        <v>3</v>
      </c>
      <c r="M262" s="5">
        <v>0</v>
      </c>
      <c r="N262" s="5" t="s">
        <v>1147</v>
      </c>
      <c r="O262" s="5" t="s">
        <v>437</v>
      </c>
      <c r="P262" s="5" t="s">
        <v>143</v>
      </c>
      <c r="Q262" s="5" t="s">
        <v>170</v>
      </c>
      <c r="S262" s="24">
        <v>5</v>
      </c>
      <c r="T262" s="24">
        <v>3</v>
      </c>
      <c r="U262" s="24">
        <v>0</v>
      </c>
      <c r="V262" s="24" t="str">
        <v>STEVAN LUKAS SIAHAAN</v>
      </c>
      <c r="W262" s="24" t="str">
        <v>535220053</v>
      </c>
      <c r="X262" s="24" t="str">
        <v>Stupen</v>
      </c>
      <c r="Y262" s="24" t="str">
        <v>Prof. Dr. Ir. Dyah Erny Herwindiati, M.Si.</v>
      </c>
    </row>
    <row r="263" spans="1:25" ht="42.95" customHeight="1" x14ac:dyDescent="0.2">
      <c r="A263" s="8">
        <v>2</v>
      </c>
      <c r="B263" s="8">
        <v>7</v>
      </c>
      <c r="C263" s="8">
        <v>0</v>
      </c>
      <c r="D263" s="3">
        <v>535220226</v>
      </c>
      <c r="E263" s="3" t="s">
        <v>143</v>
      </c>
      <c r="F263" t="s">
        <v>175</v>
      </c>
      <c r="G263" s="25" cm="1">
        <f t="array" ref="G263">IF(AND(A263:C263=S263:U263),IF((F263=Y263),1,0),999)</f>
        <v>999</v>
      </c>
      <c r="H263" s="24"/>
      <c r="K263" s="5">
        <v>0</v>
      </c>
      <c r="L263" s="5">
        <v>5</v>
      </c>
      <c r="M263" s="5">
        <v>0</v>
      </c>
      <c r="N263" s="5" t="s">
        <v>1148</v>
      </c>
      <c r="O263" s="5" t="s">
        <v>438</v>
      </c>
      <c r="P263" s="5" t="s">
        <v>142</v>
      </c>
      <c r="Q263" s="5" t="s">
        <v>172</v>
      </c>
      <c r="S263" s="24">
        <v>0</v>
      </c>
      <c r="T263" s="24">
        <v>5</v>
      </c>
      <c r="U263" s="24">
        <v>0</v>
      </c>
      <c r="V263" s="24" t="str">
        <v>GULIELMUS JASON</v>
      </c>
      <c r="W263" s="24" t="str">
        <v>825210038</v>
      </c>
      <c r="X263" s="24" t="str">
        <v>Magang</v>
      </c>
      <c r="Y263" s="24" t="str">
        <v>Dr. Dedi Trisnawarman, S.Si., M.Kom.</v>
      </c>
    </row>
    <row r="264" spans="1:25" ht="44.1" customHeight="1" x14ac:dyDescent="0.2">
      <c r="A264" s="8">
        <v>2</v>
      </c>
      <c r="B264" s="8">
        <v>7</v>
      </c>
      <c r="C264" s="8">
        <v>0</v>
      </c>
      <c r="D264" s="3">
        <v>535220231</v>
      </c>
      <c r="E264" s="3" t="s">
        <v>143</v>
      </c>
      <c r="F264" t="s">
        <v>175</v>
      </c>
      <c r="G264" s="25" cm="1">
        <f t="array" ref="G264">IF(AND(A264:C264=S264:U264),IF((F264=Y264),1,0),999)</f>
        <v>999</v>
      </c>
      <c r="H264" s="24"/>
      <c r="K264" s="5">
        <v>0</v>
      </c>
      <c r="L264" s="5">
        <v>5</v>
      </c>
      <c r="M264" s="5">
        <v>0</v>
      </c>
      <c r="N264" s="5" t="s">
        <v>1149</v>
      </c>
      <c r="O264" s="5" t="s">
        <v>439</v>
      </c>
      <c r="P264" s="5" t="s">
        <v>142</v>
      </c>
      <c r="Q264" s="5" t="s">
        <v>172</v>
      </c>
      <c r="S264" s="24">
        <v>0</v>
      </c>
      <c r="T264" s="24">
        <v>5</v>
      </c>
      <c r="U264" s="24">
        <v>0</v>
      </c>
      <c r="V264" s="24" t="str">
        <v>RICHWILL RONALDY</v>
      </c>
      <c r="W264" s="24" t="str">
        <v>825220080</v>
      </c>
      <c r="X264" s="24" t="str">
        <v>Magang</v>
      </c>
      <c r="Y264" s="24" t="str">
        <v>Dr. Dedi Trisnawarman, S.Si., M.Kom.</v>
      </c>
    </row>
    <row r="265" spans="1:25" ht="44.1" customHeight="1" x14ac:dyDescent="0.2">
      <c r="A265" s="8">
        <v>2</v>
      </c>
      <c r="B265" s="8">
        <v>7</v>
      </c>
      <c r="C265" s="8">
        <v>0</v>
      </c>
      <c r="D265" s="3">
        <v>535220237</v>
      </c>
      <c r="E265" s="3" t="s">
        <v>143</v>
      </c>
      <c r="F265" t="s">
        <v>175</v>
      </c>
      <c r="G265" s="25" cm="1">
        <f t="array" ref="G265">IF(AND(A265:C265=S265:U265),IF((F265=Y265),1,0),999)</f>
        <v>999</v>
      </c>
      <c r="H265" s="24"/>
      <c r="K265" s="5">
        <v>0</v>
      </c>
      <c r="L265" s="5">
        <v>5</v>
      </c>
      <c r="M265" s="5">
        <v>0</v>
      </c>
      <c r="N265" s="5" t="s">
        <v>1150</v>
      </c>
      <c r="O265" s="5" t="s">
        <v>440</v>
      </c>
      <c r="P265" s="5" t="s">
        <v>142</v>
      </c>
      <c r="Q265" s="5" t="s">
        <v>172</v>
      </c>
      <c r="S265" s="24">
        <v>0</v>
      </c>
      <c r="T265" s="24">
        <v>5</v>
      </c>
      <c r="U265" s="24">
        <v>0</v>
      </c>
      <c r="V265" s="24" t="str">
        <v>DELON CHRISTOPHER TANDY</v>
      </c>
      <c r="W265" s="24" t="str">
        <v>825220082</v>
      </c>
      <c r="X265" s="24" t="str">
        <v>Magang</v>
      </c>
      <c r="Y265" s="24" t="str">
        <v>Dr. Dedi Trisnawarman, S.Si., M.Kom.</v>
      </c>
    </row>
    <row r="266" spans="1:25" ht="43.35" customHeight="1" x14ac:dyDescent="0.2">
      <c r="A266" s="8">
        <v>2</v>
      </c>
      <c r="B266" s="8">
        <v>7</v>
      </c>
      <c r="C266" s="8">
        <v>0</v>
      </c>
      <c r="D266" s="3">
        <v>535220241</v>
      </c>
      <c r="E266" s="3" t="s">
        <v>143</v>
      </c>
      <c r="F266" t="s">
        <v>175</v>
      </c>
      <c r="G266" s="25" cm="1">
        <f t="array" ref="G266">IF(AND(A266:C266=S266:U266),IF((F266=Y266),1,0),999)</f>
        <v>999</v>
      </c>
      <c r="H266" s="24"/>
      <c r="K266" s="5">
        <v>0</v>
      </c>
      <c r="L266" s="5">
        <v>5</v>
      </c>
      <c r="M266" s="5">
        <v>0</v>
      </c>
      <c r="N266" s="5" t="s">
        <v>1151</v>
      </c>
      <c r="O266" s="5" t="s">
        <v>441</v>
      </c>
      <c r="P266" s="5" t="s">
        <v>142</v>
      </c>
      <c r="Q266" s="5" t="s">
        <v>172</v>
      </c>
      <c r="S266" s="24">
        <v>0</v>
      </c>
      <c r="T266" s="24">
        <v>5</v>
      </c>
      <c r="U266" s="24">
        <v>0</v>
      </c>
      <c r="V266" s="24" t="str">
        <v>ONGGO JULIUS SIDDHARTA</v>
      </c>
      <c r="W266" s="24" t="str">
        <v>825220085</v>
      </c>
      <c r="X266" s="24" t="str">
        <v>Magang</v>
      </c>
      <c r="Y266" s="24" t="str">
        <v>Dr. Dedi Trisnawarman, S.Si., M.Kom.</v>
      </c>
    </row>
    <row r="267" spans="1:25" ht="44.1" customHeight="1" x14ac:dyDescent="0.2">
      <c r="A267" s="8">
        <v>3</v>
      </c>
      <c r="B267" s="8">
        <v>7</v>
      </c>
      <c r="C267" s="8">
        <v>0</v>
      </c>
      <c r="D267" s="3">
        <v>535220243</v>
      </c>
      <c r="E267" s="3" t="s">
        <v>143</v>
      </c>
      <c r="F267" t="s">
        <v>169</v>
      </c>
      <c r="G267" s="25" cm="1">
        <f t="array" ref="G267">IF(AND(A267:C267=S267:U267),IF((F267=Y267),1,0),999)</f>
        <v>999</v>
      </c>
      <c r="H267" s="24"/>
      <c r="K267" s="5">
        <v>0</v>
      </c>
      <c r="L267" s="5">
        <v>5</v>
      </c>
      <c r="M267" s="5">
        <v>0</v>
      </c>
      <c r="N267" s="5" t="s">
        <v>1152</v>
      </c>
      <c r="O267" s="5" t="s">
        <v>442</v>
      </c>
      <c r="P267" s="5" t="s">
        <v>142</v>
      </c>
      <c r="Q267" s="5" t="s">
        <v>172</v>
      </c>
      <c r="S267" s="24">
        <v>0</v>
      </c>
      <c r="T267" s="24">
        <v>5</v>
      </c>
      <c r="U267" s="24">
        <v>0</v>
      </c>
      <c r="V267" s="24" t="str">
        <v>JASON TERRENCE</v>
      </c>
      <c r="W267" s="24" t="str">
        <v>825220086</v>
      </c>
      <c r="X267" s="24" t="str">
        <v>Magang</v>
      </c>
      <c r="Y267" s="24" t="str">
        <v>Dr. Dedi Trisnawarman, S.Si., M.Kom.</v>
      </c>
    </row>
    <row r="268" spans="1:25" ht="44.1" customHeight="1" x14ac:dyDescent="0.2">
      <c r="A268" s="8">
        <v>3</v>
      </c>
      <c r="B268" s="8">
        <v>7</v>
      </c>
      <c r="C268" s="8">
        <v>0</v>
      </c>
      <c r="D268" s="3">
        <v>535220248</v>
      </c>
      <c r="E268" s="3" t="s">
        <v>143</v>
      </c>
      <c r="F268" t="s">
        <v>169</v>
      </c>
      <c r="G268" s="25" cm="1">
        <f t="array" ref="G268">IF(AND(A268:C268=S268:U268),IF((F268=Y268),1,0),999)</f>
        <v>999</v>
      </c>
      <c r="H268" s="24"/>
      <c r="K268" s="5">
        <v>0</v>
      </c>
      <c r="L268" s="5">
        <v>5</v>
      </c>
      <c r="M268" s="5">
        <v>1</v>
      </c>
      <c r="N268" s="5" t="s">
        <v>1153</v>
      </c>
      <c r="O268" s="5" t="s">
        <v>443</v>
      </c>
      <c r="P268" s="5" t="s">
        <v>142</v>
      </c>
      <c r="Q268" s="5" t="s">
        <v>158</v>
      </c>
      <c r="S268" s="24">
        <v>1</v>
      </c>
      <c r="T268" s="24">
        <v>5</v>
      </c>
      <c r="U268" s="24">
        <v>0</v>
      </c>
      <c r="V268" s="24" t="str">
        <v>CECILLIA CHERISH MARDJUKI</v>
      </c>
      <c r="W268" s="24" t="str">
        <v>825220090</v>
      </c>
      <c r="X268" s="24" t="str">
        <v>Magang</v>
      </c>
      <c r="Y268" s="24" t="str">
        <v>Dr. Dedi Trisnawarman, S.Si., M.Kom.</v>
      </c>
    </row>
    <row r="269" spans="1:25" ht="42.95" customHeight="1" x14ac:dyDescent="0.2">
      <c r="A269" s="8">
        <v>3</v>
      </c>
      <c r="B269" s="8">
        <v>7</v>
      </c>
      <c r="C269" s="8">
        <v>0</v>
      </c>
      <c r="D269" s="3">
        <v>535220252</v>
      </c>
      <c r="E269" s="3" t="s">
        <v>143</v>
      </c>
      <c r="F269" t="s">
        <v>169</v>
      </c>
      <c r="G269" s="25" cm="1">
        <f t="array" ref="G269">IF(AND(A269:C269=S269:U269),IF((F269=Y269),1,0),999)</f>
        <v>999</v>
      </c>
      <c r="H269" s="24"/>
      <c r="K269" s="5">
        <v>0</v>
      </c>
      <c r="L269" s="5">
        <v>5</v>
      </c>
      <c r="M269" s="5">
        <v>1</v>
      </c>
      <c r="N269" s="5" t="s">
        <v>1154</v>
      </c>
      <c r="O269" s="5" t="s">
        <v>444</v>
      </c>
      <c r="P269" s="5" t="s">
        <v>142</v>
      </c>
      <c r="Q269" s="5" t="s">
        <v>158</v>
      </c>
      <c r="S269" s="24">
        <v>1</v>
      </c>
      <c r="T269" s="24">
        <v>5</v>
      </c>
      <c r="U269" s="24">
        <v>0</v>
      </c>
      <c r="V269" s="24" t="str">
        <v>MATTHEW SHANE WILIE</v>
      </c>
      <c r="W269" s="24" t="str">
        <v>825220091</v>
      </c>
      <c r="X269" s="24" t="str">
        <v>Magang</v>
      </c>
      <c r="Y269" s="24" t="str">
        <v>Dr. Dedi Trisnawarman, S.Si., M.Kom.</v>
      </c>
    </row>
    <row r="270" spans="1:25" ht="44.1" customHeight="1" x14ac:dyDescent="0.2">
      <c r="A270" s="8">
        <v>3</v>
      </c>
      <c r="B270" s="8">
        <v>7</v>
      </c>
      <c r="C270" s="8">
        <v>0</v>
      </c>
      <c r="D270" s="3">
        <v>535220254</v>
      </c>
      <c r="E270" s="3" t="s">
        <v>143</v>
      </c>
      <c r="F270" t="s">
        <v>169</v>
      </c>
      <c r="G270" s="25" cm="1">
        <f t="array" ref="G270">IF(AND(A270:C270=S270:U270),IF((F270=Y270),1,0),999)</f>
        <v>999</v>
      </c>
      <c r="H270" s="24"/>
      <c r="K270" s="5">
        <v>0</v>
      </c>
      <c r="L270" s="5">
        <v>5</v>
      </c>
      <c r="M270" s="5">
        <v>1</v>
      </c>
      <c r="N270" s="5" t="s">
        <v>1155</v>
      </c>
      <c r="O270" s="5" t="s">
        <v>445</v>
      </c>
      <c r="P270" s="5" t="s">
        <v>142</v>
      </c>
      <c r="Q270" s="5" t="s">
        <v>158</v>
      </c>
      <c r="S270" s="24">
        <v>1</v>
      </c>
      <c r="T270" s="24">
        <v>5</v>
      </c>
      <c r="U270" s="24">
        <v>0</v>
      </c>
      <c r="V270" s="24" t="str">
        <v>YESSIKA MAHARANI TANJUNG</v>
      </c>
      <c r="W270" s="24" t="str">
        <v>825220092</v>
      </c>
      <c r="X270" s="24" t="str">
        <v>Magang</v>
      </c>
      <c r="Y270" s="24" t="str">
        <v>Dr. Dedi Trisnawarman, S.Si., M.Kom.</v>
      </c>
    </row>
    <row r="271" spans="1:25" ht="42.6" customHeight="1" x14ac:dyDescent="0.2">
      <c r="A271" s="8">
        <v>3</v>
      </c>
      <c r="B271" s="8">
        <v>7</v>
      </c>
      <c r="C271" s="8">
        <v>0</v>
      </c>
      <c r="D271" s="3">
        <v>535220261</v>
      </c>
      <c r="E271" s="3" t="s">
        <v>143</v>
      </c>
      <c r="F271" t="s">
        <v>169</v>
      </c>
      <c r="G271" s="25" cm="1">
        <f t="array" ref="G271">IF(AND(A271:C271=S271:U271),IF((F271=Y271),1,0),999)</f>
        <v>999</v>
      </c>
      <c r="H271" s="24"/>
      <c r="K271" s="5">
        <v>0</v>
      </c>
      <c r="L271" s="5">
        <v>5</v>
      </c>
      <c r="M271" s="5">
        <v>1</v>
      </c>
      <c r="N271" s="5" t="s">
        <v>1156</v>
      </c>
      <c r="O271" s="5" t="s">
        <v>446</v>
      </c>
      <c r="P271" s="5" t="s">
        <v>142</v>
      </c>
      <c r="Q271" s="5" t="s">
        <v>158</v>
      </c>
      <c r="S271" s="24">
        <v>1</v>
      </c>
      <c r="T271" s="24">
        <v>5</v>
      </c>
      <c r="U271" s="24">
        <v>0</v>
      </c>
      <c r="V271" s="24" t="str">
        <v>REINERIUS SUKMA DIMAS KRISTIANTORO</v>
      </c>
      <c r="W271" s="24" t="str">
        <v>825220097</v>
      </c>
      <c r="X271" s="24" t="str">
        <v>Magang</v>
      </c>
      <c r="Y271" s="24" t="str">
        <v>Dr. Dedi Trisnawarman, S.Si., M.Kom.</v>
      </c>
    </row>
    <row r="272" spans="1:25" ht="44.1" customHeight="1" x14ac:dyDescent="0.2">
      <c r="A272" s="8">
        <v>4</v>
      </c>
      <c r="B272" s="8">
        <v>7</v>
      </c>
      <c r="C272" s="8">
        <v>0</v>
      </c>
      <c r="D272" s="3">
        <v>825220141</v>
      </c>
      <c r="E272" s="3" t="s">
        <v>142</v>
      </c>
      <c r="F272" t="s">
        <v>174</v>
      </c>
      <c r="G272" s="25" cm="1">
        <f t="array" ref="G272">IF(AND(A272:C272=S272:U272),IF((F272=Y272),1,0),999)</f>
        <v>999</v>
      </c>
      <c r="H272" s="24"/>
      <c r="K272" s="5">
        <v>0</v>
      </c>
      <c r="L272" s="5">
        <v>5</v>
      </c>
      <c r="M272" s="5">
        <v>1</v>
      </c>
      <c r="N272" s="5" t="s">
        <v>1157</v>
      </c>
      <c r="O272" s="5" t="s">
        <v>447</v>
      </c>
      <c r="P272" s="5" t="s">
        <v>142</v>
      </c>
      <c r="Q272" s="5" t="s">
        <v>158</v>
      </c>
      <c r="S272" s="24">
        <v>1</v>
      </c>
      <c r="T272" s="24">
        <v>5</v>
      </c>
      <c r="U272" s="24">
        <v>0</v>
      </c>
      <c r="V272" s="24" t="str">
        <v>YUDHISTIRA WIJAYA KESUMA</v>
      </c>
      <c r="W272" s="24" t="str">
        <v>825220098</v>
      </c>
      <c r="X272" s="24" t="str">
        <v>Magang</v>
      </c>
      <c r="Y272" s="24" t="str">
        <v>Dr. Dedi Trisnawarman, S.Si., M.Kom.</v>
      </c>
    </row>
    <row r="273" spans="1:25" ht="42.95" customHeight="1" x14ac:dyDescent="0.2">
      <c r="A273" s="8">
        <v>4</v>
      </c>
      <c r="B273" s="8">
        <v>7</v>
      </c>
      <c r="C273" s="8">
        <v>0</v>
      </c>
      <c r="D273" s="3">
        <v>825220143</v>
      </c>
      <c r="E273" s="3" t="s">
        <v>142</v>
      </c>
      <c r="F273" t="s">
        <v>174</v>
      </c>
      <c r="G273" s="25" cm="1">
        <f t="array" ref="G273">IF(AND(A273:C273=S273:U273),IF((F273=Y273),1,0),999)</f>
        <v>999</v>
      </c>
      <c r="H273" s="24"/>
      <c r="K273" s="5">
        <v>1</v>
      </c>
      <c r="L273" s="5">
        <v>5</v>
      </c>
      <c r="M273" s="5">
        <v>0</v>
      </c>
      <c r="N273" s="5" t="s">
        <v>1158</v>
      </c>
      <c r="O273" s="5" t="s">
        <v>448</v>
      </c>
      <c r="P273" s="5" t="s">
        <v>142</v>
      </c>
      <c r="Q273" s="5" t="s">
        <v>172</v>
      </c>
      <c r="S273" s="24">
        <v>2</v>
      </c>
      <c r="T273" s="24">
        <v>5</v>
      </c>
      <c r="U273" s="24">
        <v>0</v>
      </c>
      <c r="V273" s="24" t="str">
        <v>WHITNEY</v>
      </c>
      <c r="W273" s="24" t="str">
        <v>825220099</v>
      </c>
      <c r="X273" s="24" t="str">
        <v>Magang</v>
      </c>
      <c r="Y273" s="24" t="str">
        <v>Dr. Dedi Trisnawarman, S.Si., M.Kom.</v>
      </c>
    </row>
    <row r="274" spans="1:25" ht="44.1" customHeight="1" x14ac:dyDescent="0.2">
      <c r="A274" s="8">
        <v>4</v>
      </c>
      <c r="B274" s="8">
        <v>7</v>
      </c>
      <c r="C274" s="8">
        <v>0</v>
      </c>
      <c r="D274" s="3">
        <v>825220156</v>
      </c>
      <c r="E274" s="3" t="s">
        <v>142</v>
      </c>
      <c r="F274" t="s">
        <v>174</v>
      </c>
      <c r="G274" s="25" cm="1">
        <f t="array" ref="G274">IF(AND(A274:C274=S274:U274),IF((F274=Y274),1,0),999)</f>
        <v>999</v>
      </c>
      <c r="H274" s="24"/>
      <c r="K274" s="5">
        <v>1</v>
      </c>
      <c r="L274" s="5">
        <v>5</v>
      </c>
      <c r="M274" s="5">
        <v>0</v>
      </c>
      <c r="N274" s="5" t="s">
        <v>1159</v>
      </c>
      <c r="O274" s="5" t="s">
        <v>449</v>
      </c>
      <c r="P274" s="5" t="s">
        <v>142</v>
      </c>
      <c r="Q274" s="5" t="s">
        <v>172</v>
      </c>
      <c r="S274" s="24">
        <v>2</v>
      </c>
      <c r="T274" s="24">
        <v>5</v>
      </c>
      <c r="U274" s="24">
        <v>0</v>
      </c>
      <c r="V274" s="24" t="str">
        <v>NATHASYA KRISTIANTI FERDIANA</v>
      </c>
      <c r="W274" s="24" t="str">
        <v>825220102</v>
      </c>
      <c r="X274" s="24" t="str">
        <v>Magang</v>
      </c>
      <c r="Y274" s="24" t="str">
        <v>Dr. Dedi Trisnawarman, S.Si., M.Kom.</v>
      </c>
    </row>
    <row r="275" spans="1:25" ht="44.1" customHeight="1" x14ac:dyDescent="0.2">
      <c r="A275" s="8">
        <v>4</v>
      </c>
      <c r="B275" s="8">
        <v>7</v>
      </c>
      <c r="C275" s="8">
        <v>0</v>
      </c>
      <c r="D275" s="3">
        <v>825220172</v>
      </c>
      <c r="E275" s="3" t="s">
        <v>142</v>
      </c>
      <c r="F275" t="s">
        <v>174</v>
      </c>
      <c r="G275" s="25" cm="1">
        <f t="array" ref="G275">IF(AND(A275:C275=S275:U275),IF((F275=Y275),1,0),999)</f>
        <v>999</v>
      </c>
      <c r="H275" s="24"/>
      <c r="K275" s="5">
        <v>1</v>
      </c>
      <c r="L275" s="5">
        <v>5</v>
      </c>
      <c r="M275" s="5">
        <v>0</v>
      </c>
      <c r="N275" s="5" t="s">
        <v>1160</v>
      </c>
      <c r="O275" s="5" t="s">
        <v>450</v>
      </c>
      <c r="P275" s="5" t="s">
        <v>142</v>
      </c>
      <c r="Q275" s="5" t="s">
        <v>172</v>
      </c>
      <c r="S275" s="24">
        <v>2</v>
      </c>
      <c r="T275" s="24">
        <v>5</v>
      </c>
      <c r="U275" s="24">
        <v>0</v>
      </c>
      <c r="V275" s="24" t="str">
        <v>SHIFA AZAHRA PUTRI KURNIA</v>
      </c>
      <c r="W275" s="24" t="str">
        <v>825220103</v>
      </c>
      <c r="X275" s="24" t="str">
        <v>Magang</v>
      </c>
      <c r="Y275" s="24" t="str">
        <v>Dr. Dedi Trisnawarman, S.Si., M.Kom.</v>
      </c>
    </row>
    <row r="276" spans="1:25" ht="42.6" customHeight="1" x14ac:dyDescent="0.2">
      <c r="A276" s="8">
        <v>4</v>
      </c>
      <c r="B276" s="8">
        <v>7</v>
      </c>
      <c r="C276" s="8">
        <v>0</v>
      </c>
      <c r="D276" s="3">
        <v>825220173</v>
      </c>
      <c r="E276" s="3" t="s">
        <v>142</v>
      </c>
      <c r="F276" t="s">
        <v>174</v>
      </c>
      <c r="G276" s="25" cm="1">
        <f t="array" ref="G276">IF(AND(A276:C276=S276:U276),IF((F276=Y276),1,0),999)</f>
        <v>999</v>
      </c>
      <c r="H276" s="24"/>
      <c r="K276" s="5">
        <v>1</v>
      </c>
      <c r="L276" s="5">
        <v>5</v>
      </c>
      <c r="M276" s="5">
        <v>0</v>
      </c>
      <c r="N276" s="5" t="s">
        <v>1161</v>
      </c>
      <c r="O276" s="5" t="s">
        <v>451</v>
      </c>
      <c r="P276" s="5" t="s">
        <v>142</v>
      </c>
      <c r="Q276" s="5" t="s">
        <v>172</v>
      </c>
      <c r="S276" s="24">
        <v>2</v>
      </c>
      <c r="T276" s="24">
        <v>5</v>
      </c>
      <c r="U276" s="24">
        <v>0</v>
      </c>
      <c r="V276" s="24" t="str">
        <v xml:space="preserve">CARISSA PUTERI </v>
      </c>
      <c r="W276" s="24" t="str">
        <v>825220110</v>
      </c>
      <c r="X276" s="24" t="str">
        <v>Magang</v>
      </c>
      <c r="Y276" s="24" t="str">
        <v>Dr. Dedi Trisnawarman, S.Si., M.Kom.</v>
      </c>
    </row>
    <row r="277" spans="1:25" ht="60" customHeight="1" x14ac:dyDescent="0.2">
      <c r="A277" s="11">
        <v>5</v>
      </c>
      <c r="B277" s="8">
        <v>7</v>
      </c>
      <c r="C277" s="8">
        <v>0</v>
      </c>
      <c r="D277" s="4">
        <v>825220070</v>
      </c>
      <c r="E277" s="3" t="s">
        <v>142</v>
      </c>
      <c r="F277" t="s">
        <v>174</v>
      </c>
      <c r="G277" s="25" cm="1">
        <f t="array" ref="G277">IF(AND(A277:C277=S277:U277),IF((F277=Y277),1,0),999)</f>
        <v>999</v>
      </c>
      <c r="H277" s="24"/>
      <c r="K277" s="5">
        <v>1</v>
      </c>
      <c r="L277" s="5">
        <v>5</v>
      </c>
      <c r="M277" s="5">
        <v>0</v>
      </c>
      <c r="N277" s="5" t="s">
        <v>1162</v>
      </c>
      <c r="O277" s="5" t="s">
        <v>452</v>
      </c>
      <c r="P277" s="5" t="s">
        <v>142</v>
      </c>
      <c r="Q277" s="5" t="s">
        <v>172</v>
      </c>
      <c r="S277" s="24">
        <v>2</v>
      </c>
      <c r="T277" s="24">
        <v>5</v>
      </c>
      <c r="U277" s="24">
        <v>0</v>
      </c>
      <c r="V277" s="24" t="str">
        <v>DEDE DWI PRANATA PANNAVUDHO</v>
      </c>
      <c r="W277" s="24" t="str">
        <v>825220111</v>
      </c>
      <c r="X277" s="24" t="str">
        <v>Magang</v>
      </c>
      <c r="Y277" s="24" t="str">
        <v>Dr. Dedi Trisnawarman, S.Si., M.Kom.</v>
      </c>
    </row>
    <row r="278" spans="1:25" ht="44.1" customHeight="1" x14ac:dyDescent="0.2">
      <c r="A278" s="11">
        <v>5</v>
      </c>
      <c r="B278" s="8">
        <v>7</v>
      </c>
      <c r="C278" s="8">
        <v>0</v>
      </c>
      <c r="D278" s="3">
        <v>825220090</v>
      </c>
      <c r="E278" s="3" t="s">
        <v>142</v>
      </c>
      <c r="F278" t="s">
        <v>172</v>
      </c>
      <c r="G278" s="25" cm="1">
        <f t="array" ref="G278">IF(AND(A278:C278=S278:U278),IF((F278=Y278),1,0),999)</f>
        <v>999</v>
      </c>
      <c r="H278" s="24"/>
      <c r="K278" s="5">
        <v>1</v>
      </c>
      <c r="L278" s="5">
        <v>5</v>
      </c>
      <c r="M278" s="5">
        <v>1</v>
      </c>
      <c r="N278" s="5" t="s">
        <v>1163</v>
      </c>
      <c r="O278" s="5" t="s">
        <v>453</v>
      </c>
      <c r="P278" s="5" t="s">
        <v>142</v>
      </c>
      <c r="Q278" s="5" t="s">
        <v>158</v>
      </c>
      <c r="S278" s="24">
        <v>3</v>
      </c>
      <c r="T278" s="24">
        <v>5</v>
      </c>
      <c r="U278" s="24">
        <v>0</v>
      </c>
      <c r="V278" s="24" t="str">
        <v>WILLIAM ALEXANDER</v>
      </c>
      <c r="W278" s="24" t="str">
        <v>825220117</v>
      </c>
      <c r="X278" s="24" t="str">
        <v>Magang</v>
      </c>
      <c r="Y278" s="24" t="str">
        <v>Dr. Dedi Trisnawarman, S.Si., M.Kom.</v>
      </c>
    </row>
    <row r="279" spans="1:25" ht="42.95" customHeight="1" x14ac:dyDescent="0.2">
      <c r="A279" s="11">
        <v>5</v>
      </c>
      <c r="B279" s="8">
        <v>7</v>
      </c>
      <c r="C279" s="8">
        <v>0</v>
      </c>
      <c r="D279" s="3">
        <v>825220091</v>
      </c>
      <c r="E279" s="3" t="s">
        <v>142</v>
      </c>
      <c r="F279" t="s">
        <v>172</v>
      </c>
      <c r="G279" s="25" cm="1">
        <f t="array" ref="G279">IF(AND(A279:C279=S279:U279),IF((F279=Y279),1,0),999)</f>
        <v>999</v>
      </c>
      <c r="H279" s="24"/>
      <c r="K279" s="5">
        <v>1</v>
      </c>
      <c r="L279" s="5">
        <v>5</v>
      </c>
      <c r="M279" s="5">
        <v>1</v>
      </c>
      <c r="N279" s="5" t="s">
        <v>1164</v>
      </c>
      <c r="O279" s="5" t="s">
        <v>454</v>
      </c>
      <c r="P279" s="5" t="s">
        <v>142</v>
      </c>
      <c r="Q279" s="5" t="s">
        <v>158</v>
      </c>
      <c r="S279" s="24">
        <v>0</v>
      </c>
      <c r="T279" s="24">
        <v>5</v>
      </c>
      <c r="U279" s="24">
        <v>1</v>
      </c>
      <c r="V279" s="24" t="str">
        <v>STEVE CARINDRA</v>
      </c>
      <c r="W279" s="24" t="str">
        <v>535220094</v>
      </c>
      <c r="X279" s="24" t="str">
        <v>Magang</v>
      </c>
      <c r="Y279" s="24" t="str">
        <v>Herman Tusiadi, S.Kom., MM</v>
      </c>
    </row>
    <row r="280" spans="1:25" ht="44.1" customHeight="1" x14ac:dyDescent="0.2">
      <c r="A280" s="11">
        <v>5</v>
      </c>
      <c r="B280" s="8">
        <v>7</v>
      </c>
      <c r="C280" s="8">
        <v>0</v>
      </c>
      <c r="D280" s="3">
        <v>825220092</v>
      </c>
      <c r="E280" s="3" t="s">
        <v>142</v>
      </c>
      <c r="F280" t="s">
        <v>172</v>
      </c>
      <c r="G280" s="25" cm="1">
        <f t="array" ref="G280">IF(AND(A280:C280=S280:U280),IF((F280=Y280),1,0),999)</f>
        <v>999</v>
      </c>
      <c r="H280" s="24"/>
      <c r="K280" s="5">
        <v>1</v>
      </c>
      <c r="L280" s="5">
        <v>5</v>
      </c>
      <c r="M280" s="5">
        <v>1</v>
      </c>
      <c r="N280" s="5" t="s">
        <v>1165</v>
      </c>
      <c r="O280" s="5" t="s">
        <v>455</v>
      </c>
      <c r="P280" s="5" t="s">
        <v>142</v>
      </c>
      <c r="Q280" s="5" t="s">
        <v>158</v>
      </c>
      <c r="S280" s="24">
        <v>0</v>
      </c>
      <c r="T280" s="24">
        <v>5</v>
      </c>
      <c r="U280" s="24">
        <v>1</v>
      </c>
      <c r="V280" s="24" t="str">
        <v>HANVIN ADITYA</v>
      </c>
      <c r="W280" s="24" t="str">
        <v>535220098</v>
      </c>
      <c r="X280" s="24" t="str">
        <v>Magang</v>
      </c>
      <c r="Y280" s="24" t="str">
        <v>Herman Tusiadi, S.Kom., MM</v>
      </c>
    </row>
    <row r="281" spans="1:25" ht="43.5" customHeight="1" x14ac:dyDescent="0.2">
      <c r="A281" s="11">
        <v>5</v>
      </c>
      <c r="B281" s="8">
        <v>7</v>
      </c>
      <c r="C281" s="8">
        <v>0</v>
      </c>
      <c r="D281" s="3">
        <v>825220097</v>
      </c>
      <c r="E281" s="3" t="s">
        <v>142</v>
      </c>
      <c r="F281" t="s">
        <v>172</v>
      </c>
      <c r="G281" s="25" cm="1">
        <f t="array" ref="G281">IF(AND(A281:C281=S281:U281),IF((F281=Y281),1,0),999)</f>
        <v>999</v>
      </c>
      <c r="H281" s="24"/>
      <c r="K281" s="5">
        <v>1</v>
      </c>
      <c r="L281" s="5">
        <v>5</v>
      </c>
      <c r="M281" s="5">
        <v>1</v>
      </c>
      <c r="N281" s="5" t="s">
        <v>1166</v>
      </c>
      <c r="O281" s="5" t="s">
        <v>456</v>
      </c>
      <c r="P281" s="5" t="s">
        <v>142</v>
      </c>
      <c r="Q281" s="5" t="s">
        <v>158</v>
      </c>
      <c r="S281" s="24">
        <v>0</v>
      </c>
      <c r="T281" s="24">
        <v>5</v>
      </c>
      <c r="U281" s="24">
        <v>1</v>
      </c>
      <c r="V281" s="24" t="str">
        <v>NICHOLAS EUGENE SUPARDI</v>
      </c>
      <c r="W281" s="24" t="str">
        <v>535220102</v>
      </c>
      <c r="X281" s="24" t="str">
        <v>Magang</v>
      </c>
      <c r="Y281" s="24" t="str">
        <v>Herman Tusiadi, S.Kom., MM</v>
      </c>
    </row>
    <row r="282" spans="1:25" ht="43.5" customHeight="1" x14ac:dyDescent="0.2">
      <c r="A282" s="8">
        <v>6</v>
      </c>
      <c r="B282" s="8">
        <v>7</v>
      </c>
      <c r="C282" s="8">
        <v>0</v>
      </c>
      <c r="D282" s="3">
        <v>535220094</v>
      </c>
      <c r="E282" s="3" t="s">
        <v>142</v>
      </c>
      <c r="F282" t="s">
        <v>158</v>
      </c>
      <c r="G282" s="25" cm="1">
        <f t="array" ref="G282">IF(AND(A282:C282=S282:U282),IF((F282=Y282),1,0),999)</f>
        <v>999</v>
      </c>
      <c r="H282" s="24"/>
      <c r="K282" s="5">
        <v>1</v>
      </c>
      <c r="L282" s="5">
        <v>5</v>
      </c>
      <c r="M282" s="5">
        <v>1</v>
      </c>
      <c r="N282" s="5" t="s">
        <v>1167</v>
      </c>
      <c r="O282" s="5" t="s">
        <v>457</v>
      </c>
      <c r="P282" s="5" t="s">
        <v>142</v>
      </c>
      <c r="Q282" s="5" t="s">
        <v>158</v>
      </c>
      <c r="S282" s="24">
        <v>0</v>
      </c>
      <c r="T282" s="24">
        <v>5</v>
      </c>
      <c r="U282" s="24">
        <v>1</v>
      </c>
      <c r="V282" s="24" t="str">
        <v>HANS NATHANAEL TEDJA</v>
      </c>
      <c r="W282" s="24" t="str">
        <v>535220155</v>
      </c>
      <c r="X282" s="24" t="str">
        <v>Magang</v>
      </c>
      <c r="Y282" s="24" t="str">
        <v>Herman Tusiadi, S.Kom., MM</v>
      </c>
    </row>
    <row r="283" spans="1:25" ht="42.95" customHeight="1" x14ac:dyDescent="0.2">
      <c r="A283" s="8">
        <v>6</v>
      </c>
      <c r="B283" s="8">
        <v>7</v>
      </c>
      <c r="C283" s="8">
        <v>0</v>
      </c>
      <c r="D283" s="3">
        <v>535220098</v>
      </c>
      <c r="E283" s="3" t="s">
        <v>142</v>
      </c>
      <c r="F283" t="s">
        <v>158</v>
      </c>
      <c r="G283" s="25" cm="1">
        <f t="array" ref="G283">IF(AND(A283:C283=S283:U283),IF((F283=Y283),1,0),999)</f>
        <v>999</v>
      </c>
      <c r="H283" s="24"/>
      <c r="K283" s="5">
        <v>2</v>
      </c>
      <c r="L283" s="5">
        <v>5</v>
      </c>
      <c r="M283" s="5">
        <v>0</v>
      </c>
      <c r="N283" s="5" t="s">
        <v>1168</v>
      </c>
      <c r="O283" s="5" t="s">
        <v>458</v>
      </c>
      <c r="P283" s="5" t="s">
        <v>142</v>
      </c>
      <c r="Q283" s="5" t="s">
        <v>172</v>
      </c>
      <c r="S283" s="24">
        <v>0</v>
      </c>
      <c r="T283" s="24">
        <v>5</v>
      </c>
      <c r="U283" s="24">
        <v>1</v>
      </c>
      <c r="V283" s="24" t="str">
        <v>CARLOUIS FERNANDO HARIYADI</v>
      </c>
      <c r="W283" s="24" t="str">
        <v>535220156</v>
      </c>
      <c r="X283" s="24" t="str">
        <v>Magang</v>
      </c>
      <c r="Y283" s="24" t="str">
        <v>Herman Tusiadi, S.Kom., MM</v>
      </c>
    </row>
    <row r="284" spans="1:25" ht="44.1" customHeight="1" x14ac:dyDescent="0.2">
      <c r="A284" s="8">
        <v>6</v>
      </c>
      <c r="B284" s="8">
        <v>7</v>
      </c>
      <c r="C284" s="8">
        <v>0</v>
      </c>
      <c r="D284" s="3">
        <v>535220102</v>
      </c>
      <c r="E284" s="3" t="s">
        <v>142</v>
      </c>
      <c r="F284" t="s">
        <v>158</v>
      </c>
      <c r="G284" s="25" cm="1">
        <f t="array" ref="G284">IF(AND(A284:C284=S284:U284),IF((F284=Y284),1,0),999)</f>
        <v>999</v>
      </c>
      <c r="H284" s="24"/>
      <c r="K284" s="5">
        <v>2</v>
      </c>
      <c r="L284" s="5">
        <v>5</v>
      </c>
      <c r="M284" s="5">
        <v>0</v>
      </c>
      <c r="N284" s="5" t="s">
        <v>1169</v>
      </c>
      <c r="O284" s="5" t="s">
        <v>459</v>
      </c>
      <c r="P284" s="5" t="s">
        <v>142</v>
      </c>
      <c r="Q284" s="5" t="s">
        <v>172</v>
      </c>
      <c r="S284" s="24">
        <v>1</v>
      </c>
      <c r="T284" s="24">
        <v>5</v>
      </c>
      <c r="U284" s="24">
        <v>1</v>
      </c>
      <c r="V284" s="24" t="str">
        <v>DUSTIN JOSHUA ARMANDO WELLIKEN</v>
      </c>
      <c r="W284" s="24" t="str">
        <v>535220157</v>
      </c>
      <c r="X284" s="24" t="str">
        <v>Magang</v>
      </c>
      <c r="Y284" s="24" t="str">
        <v>Herman Tusiadi, S.Kom., MM</v>
      </c>
    </row>
    <row r="285" spans="1:25" ht="44.1" customHeight="1" x14ac:dyDescent="0.2">
      <c r="A285" s="8">
        <v>6</v>
      </c>
      <c r="B285" s="8">
        <v>7</v>
      </c>
      <c r="C285" s="8">
        <v>0</v>
      </c>
      <c r="D285" s="3">
        <v>535220155</v>
      </c>
      <c r="E285" s="3" t="s">
        <v>142</v>
      </c>
      <c r="F285" t="s">
        <v>158</v>
      </c>
      <c r="G285" s="25" cm="1">
        <f t="array" ref="G285">IF(AND(A285:C285=S285:U285),IF((F285=Y285),1,0),999)</f>
        <v>999</v>
      </c>
      <c r="H285" s="24"/>
      <c r="K285" s="5">
        <v>2</v>
      </c>
      <c r="L285" s="5">
        <v>5</v>
      </c>
      <c r="M285" s="5">
        <v>0</v>
      </c>
      <c r="N285" s="5" t="s">
        <v>1170</v>
      </c>
      <c r="O285" s="5" t="s">
        <v>460</v>
      </c>
      <c r="P285" s="5" t="s">
        <v>142</v>
      </c>
      <c r="Q285" s="5" t="s">
        <v>172</v>
      </c>
      <c r="S285" s="24">
        <v>1</v>
      </c>
      <c r="T285" s="24">
        <v>5</v>
      </c>
      <c r="U285" s="24">
        <v>1</v>
      </c>
      <c r="V285" s="24" t="str">
        <v xml:space="preserve">HANS CHRISTIAN HANDOTO </v>
      </c>
      <c r="W285" s="24" t="str">
        <v>535220159</v>
      </c>
      <c r="X285" s="24" t="str">
        <v>Magang</v>
      </c>
      <c r="Y285" s="24" t="str">
        <v>Herman Tusiadi, S.Kom., MM</v>
      </c>
    </row>
    <row r="286" spans="1:25" ht="43.5" customHeight="1" x14ac:dyDescent="0.2">
      <c r="A286" s="8">
        <v>6</v>
      </c>
      <c r="B286" s="8">
        <v>7</v>
      </c>
      <c r="C286" s="8">
        <v>0</v>
      </c>
      <c r="D286" s="3">
        <v>535220156</v>
      </c>
      <c r="E286" s="3" t="s">
        <v>142</v>
      </c>
      <c r="F286" t="s">
        <v>158</v>
      </c>
      <c r="G286" s="25" cm="1">
        <f t="array" ref="G286">IF(AND(A286:C286=S286:U286),IF((F286=Y286),1,0),999)</f>
        <v>999</v>
      </c>
      <c r="H286" s="24"/>
      <c r="K286" s="5">
        <v>2</v>
      </c>
      <c r="L286" s="5">
        <v>5</v>
      </c>
      <c r="M286" s="5">
        <v>0</v>
      </c>
      <c r="N286" s="5" t="s">
        <v>1171</v>
      </c>
      <c r="O286" s="5" t="s">
        <v>461</v>
      </c>
      <c r="P286" s="5" t="s">
        <v>142</v>
      </c>
      <c r="Q286" s="5" t="s">
        <v>172</v>
      </c>
      <c r="S286" s="24">
        <v>1</v>
      </c>
      <c r="T286" s="24">
        <v>5</v>
      </c>
      <c r="U286" s="24">
        <v>1</v>
      </c>
      <c r="V286" s="24" t="str">
        <v>NASHWA SAWITRI DEWAYANI</v>
      </c>
      <c r="W286" s="24" t="str">
        <v>535220220</v>
      </c>
      <c r="X286" s="24" t="str">
        <v>Magang</v>
      </c>
      <c r="Y286" s="24" t="str">
        <v>Herman Tusiadi, S.Kom., MM</v>
      </c>
    </row>
    <row r="287" spans="1:25" ht="44.1" customHeight="1" x14ac:dyDescent="0.2">
      <c r="A287" s="8">
        <v>0</v>
      </c>
      <c r="B287" s="8">
        <v>7</v>
      </c>
      <c r="C287" s="8">
        <v>1</v>
      </c>
      <c r="D287" s="3">
        <v>825220098</v>
      </c>
      <c r="E287" s="3" t="s">
        <v>142</v>
      </c>
      <c r="F287" t="s">
        <v>172</v>
      </c>
      <c r="G287" s="25" cm="1">
        <f t="array" ref="G287">IF(AND(A287:C287=S287:U287),IF((F287=Y287),1,0),999)</f>
        <v>999</v>
      </c>
      <c r="H287" s="24"/>
      <c r="K287" s="5">
        <v>2</v>
      </c>
      <c r="L287" s="5">
        <v>5</v>
      </c>
      <c r="M287" s="5">
        <v>0</v>
      </c>
      <c r="N287" s="5" t="s">
        <v>1172</v>
      </c>
      <c r="O287" s="5" t="s">
        <v>462</v>
      </c>
      <c r="P287" s="5" t="s">
        <v>142</v>
      </c>
      <c r="Q287" s="5" t="s">
        <v>172</v>
      </c>
      <c r="S287" s="24">
        <v>1</v>
      </c>
      <c r="T287" s="24">
        <v>5</v>
      </c>
      <c r="U287" s="24">
        <v>1</v>
      </c>
      <c r="V287" s="24" t="str">
        <v>GERRY DOMINIKI SINAGA</v>
      </c>
      <c r="W287" s="24" t="str">
        <v>535220225</v>
      </c>
      <c r="X287" s="24" t="str">
        <v>Magang</v>
      </c>
      <c r="Y287" s="24" t="str">
        <v>Herman Tusiadi, S.Kom., MM</v>
      </c>
    </row>
    <row r="288" spans="1:25" ht="44.1" customHeight="1" x14ac:dyDescent="0.2">
      <c r="A288" s="8">
        <v>0</v>
      </c>
      <c r="B288" s="8">
        <v>7</v>
      </c>
      <c r="C288" s="8">
        <v>1</v>
      </c>
      <c r="D288" s="3">
        <v>825220099</v>
      </c>
      <c r="E288" s="3" t="s">
        <v>142</v>
      </c>
      <c r="F288" t="s">
        <v>172</v>
      </c>
      <c r="G288" s="25" cm="1">
        <f t="array" ref="G288">IF(AND(A288:C288=S288:U288),IF((F288=Y288),1,0),999)</f>
        <v>999</v>
      </c>
      <c r="H288" s="24"/>
      <c r="K288" s="5">
        <v>2</v>
      </c>
      <c r="L288" s="5">
        <v>5</v>
      </c>
      <c r="M288" s="5">
        <v>1</v>
      </c>
      <c r="N288" s="5" t="s">
        <v>1173</v>
      </c>
      <c r="O288" s="5" t="s">
        <v>463</v>
      </c>
      <c r="P288" s="5" t="s">
        <v>142</v>
      </c>
      <c r="Q288" s="5" t="s">
        <v>158</v>
      </c>
      <c r="S288" s="24">
        <v>1</v>
      </c>
      <c r="T288" s="24">
        <v>5</v>
      </c>
      <c r="U288" s="24">
        <v>1</v>
      </c>
      <c r="V288" s="24" t="str">
        <v>MICHAEL ANGELO JORDAN</v>
      </c>
      <c r="W288" s="24" t="str">
        <v>535220246</v>
      </c>
      <c r="X288" s="24" t="str">
        <v>Magang</v>
      </c>
      <c r="Y288" s="24" t="str">
        <v>Herman Tusiadi, S.Kom., MM</v>
      </c>
    </row>
    <row r="289" spans="1:25" ht="42.95" customHeight="1" x14ac:dyDescent="0.2">
      <c r="A289" s="8">
        <v>0</v>
      </c>
      <c r="B289" s="8">
        <v>7</v>
      </c>
      <c r="C289" s="8">
        <v>1</v>
      </c>
      <c r="D289" s="3">
        <v>825220102</v>
      </c>
      <c r="E289" s="3" t="s">
        <v>142</v>
      </c>
      <c r="F289" t="s">
        <v>172</v>
      </c>
      <c r="G289" s="25" cm="1">
        <f t="array" ref="G289">IF(AND(A289:C289=S289:U289),IF((F289=Y289),1,0),999)</f>
        <v>999</v>
      </c>
      <c r="H289" s="24"/>
      <c r="K289" s="5">
        <v>3</v>
      </c>
      <c r="L289" s="5">
        <v>5</v>
      </c>
      <c r="M289" s="5">
        <v>0</v>
      </c>
      <c r="N289" s="5" t="s">
        <v>1174</v>
      </c>
      <c r="O289" s="5" t="s">
        <v>464</v>
      </c>
      <c r="P289" s="5" t="s">
        <v>142</v>
      </c>
      <c r="Q289" s="5" t="s">
        <v>172</v>
      </c>
      <c r="S289" s="24">
        <v>2</v>
      </c>
      <c r="T289" s="24">
        <v>5</v>
      </c>
      <c r="U289" s="24">
        <v>1</v>
      </c>
      <c r="V289" s="24" t="str">
        <v>WENLY RUSLI</v>
      </c>
      <c r="W289" s="24" t="str">
        <v>535220258</v>
      </c>
      <c r="X289" s="24" t="str">
        <v>Magang</v>
      </c>
      <c r="Y289" s="24" t="str">
        <v>Herman Tusiadi, S.Kom., MM</v>
      </c>
    </row>
    <row r="290" spans="1:25" ht="44.1" customHeight="1" x14ac:dyDescent="0.2">
      <c r="A290" s="8">
        <v>0</v>
      </c>
      <c r="B290" s="8">
        <v>7</v>
      </c>
      <c r="C290" s="8">
        <v>1</v>
      </c>
      <c r="D290" s="3">
        <v>825220103</v>
      </c>
      <c r="E290" s="3" t="s">
        <v>142</v>
      </c>
      <c r="F290" t="s">
        <v>172</v>
      </c>
      <c r="G290" s="25" cm="1">
        <f t="array" ref="G290">IF(AND(A290:C290=S290:U290),IF((F290=Y290),1,0),999)</f>
        <v>999</v>
      </c>
      <c r="H290" s="24"/>
      <c r="K290" s="5">
        <v>0</v>
      </c>
      <c r="L290" s="5">
        <v>6</v>
      </c>
      <c r="M290" s="5">
        <v>0</v>
      </c>
      <c r="N290" s="5" t="s">
        <v>1175</v>
      </c>
      <c r="O290" s="5" t="s">
        <v>465</v>
      </c>
      <c r="P290" s="5" t="s">
        <v>143</v>
      </c>
      <c r="Q290" s="5" t="s">
        <v>173</v>
      </c>
      <c r="S290" s="24">
        <v>0</v>
      </c>
      <c r="T290" s="24">
        <v>6</v>
      </c>
      <c r="U290" s="24">
        <v>0</v>
      </c>
      <c r="V290" s="24" t="str">
        <v>ASTON WILLIAM</v>
      </c>
      <c r="W290" s="24" t="str">
        <v>825220005</v>
      </c>
      <c r="X290" s="24" t="str">
        <v>Stupen</v>
      </c>
      <c r="Y290" s="24" t="str">
        <v>Novario Jaya Perdana, S.Kom., MT</v>
      </c>
    </row>
    <row r="291" spans="1:25" ht="42.6" customHeight="1" x14ac:dyDescent="0.2">
      <c r="A291" s="8">
        <v>0</v>
      </c>
      <c r="B291" s="8">
        <v>7</v>
      </c>
      <c r="C291" s="8">
        <v>1</v>
      </c>
      <c r="D291" s="3">
        <v>825220110</v>
      </c>
      <c r="E291" s="3" t="s">
        <v>142</v>
      </c>
      <c r="F291" t="s">
        <v>172</v>
      </c>
      <c r="G291" s="25" cm="1">
        <f t="array" ref="G291">IF(AND(A291:C291=S291:U291),IF((F291=Y291),1,0),999)</f>
        <v>999</v>
      </c>
      <c r="H291" s="24"/>
      <c r="K291" s="5">
        <v>0</v>
      </c>
      <c r="L291" s="5">
        <v>6</v>
      </c>
      <c r="M291" s="5">
        <v>0</v>
      </c>
      <c r="N291" s="5" t="s">
        <v>1176</v>
      </c>
      <c r="O291" s="5" t="s">
        <v>466</v>
      </c>
      <c r="P291" s="5" t="s">
        <v>143</v>
      </c>
      <c r="Q291" s="5" t="s">
        <v>173</v>
      </c>
      <c r="S291" s="24">
        <v>0</v>
      </c>
      <c r="T291" s="24">
        <v>6</v>
      </c>
      <c r="U291" s="24">
        <v>0</v>
      </c>
      <c r="V291" s="24" t="str">
        <v>ADRIANNUS JUSTIN SETIAWAN</v>
      </c>
      <c r="W291" s="24" t="str">
        <v>825220007</v>
      </c>
      <c r="X291" s="24" t="str">
        <v>Stupen</v>
      </c>
      <c r="Y291" s="24" t="str">
        <v>Novario Jaya Perdana, S.Kom., MT</v>
      </c>
    </row>
    <row r="292" spans="1:25" ht="44.1" customHeight="1" x14ac:dyDescent="0.2">
      <c r="A292" s="8">
        <v>1</v>
      </c>
      <c r="B292" s="8">
        <v>7</v>
      </c>
      <c r="C292" s="8">
        <v>1</v>
      </c>
      <c r="D292" s="3">
        <v>825220111</v>
      </c>
      <c r="E292" s="3" t="s">
        <v>142</v>
      </c>
      <c r="F292" t="s">
        <v>172</v>
      </c>
      <c r="G292" s="25" cm="1">
        <f t="array" ref="G292">IF(AND(A292:C292=S292:U292),IF((F292=Y292),1,0),999)</f>
        <v>999</v>
      </c>
      <c r="H292" s="24"/>
      <c r="K292" s="5">
        <v>0</v>
      </c>
      <c r="L292" s="5">
        <v>6</v>
      </c>
      <c r="M292" s="5">
        <v>0</v>
      </c>
      <c r="N292" s="5" t="s">
        <v>1177</v>
      </c>
      <c r="O292" s="5" t="s">
        <v>467</v>
      </c>
      <c r="P292" s="5" t="s">
        <v>143</v>
      </c>
      <c r="Q292" s="5" t="s">
        <v>173</v>
      </c>
      <c r="S292" s="24">
        <v>0</v>
      </c>
      <c r="T292" s="24">
        <v>6</v>
      </c>
      <c r="U292" s="24">
        <v>0</v>
      </c>
      <c r="V292" s="24" t="str">
        <v>LUISSANDRO HERMAWAN</v>
      </c>
      <c r="W292" s="24" t="str">
        <v>825220015</v>
      </c>
      <c r="X292" s="24" t="str">
        <v>Stupen</v>
      </c>
      <c r="Y292" s="24" t="str">
        <v>Novario Jaya Perdana, S.Kom., MT</v>
      </c>
    </row>
    <row r="293" spans="1:25" ht="42.95" customHeight="1" x14ac:dyDescent="0.2">
      <c r="A293" s="8">
        <v>1</v>
      </c>
      <c r="B293" s="8">
        <v>7</v>
      </c>
      <c r="C293" s="8">
        <v>1</v>
      </c>
      <c r="D293" s="3">
        <v>825220117</v>
      </c>
      <c r="E293" s="3" t="s">
        <v>142</v>
      </c>
      <c r="F293" t="s">
        <v>172</v>
      </c>
      <c r="G293" s="25" cm="1">
        <f t="array" ref="G293">IF(AND(A293:C293=S293:U293),IF((F293=Y293),1,0),999)</f>
        <v>999</v>
      </c>
      <c r="H293" s="24"/>
      <c r="K293" s="5">
        <v>0</v>
      </c>
      <c r="L293" s="5">
        <v>6</v>
      </c>
      <c r="M293" s="5">
        <v>0</v>
      </c>
      <c r="N293" s="5" t="s">
        <v>1178</v>
      </c>
      <c r="O293" s="5" t="s">
        <v>468</v>
      </c>
      <c r="P293" s="5" t="s">
        <v>143</v>
      </c>
      <c r="Q293" s="5" t="s">
        <v>173</v>
      </c>
      <c r="S293" s="24">
        <v>0</v>
      </c>
      <c r="T293" s="24">
        <v>6</v>
      </c>
      <c r="U293" s="24">
        <v>0</v>
      </c>
      <c r="V293" s="24" t="str">
        <v>DANIEL OKTAVIANUS</v>
      </c>
      <c r="W293" s="24" t="str">
        <v>825220017</v>
      </c>
      <c r="X293" s="24" t="str">
        <v>Stupen</v>
      </c>
      <c r="Y293" s="24" t="str">
        <v>Novario Jaya Perdana, S.Kom., MT</v>
      </c>
    </row>
    <row r="294" spans="1:25" ht="44.1" customHeight="1" x14ac:dyDescent="0.2">
      <c r="A294" s="8">
        <v>1</v>
      </c>
      <c r="B294" s="8">
        <v>7</v>
      </c>
      <c r="C294" s="8">
        <v>1</v>
      </c>
      <c r="D294" s="3">
        <v>535220157</v>
      </c>
      <c r="E294" s="3" t="s">
        <v>142</v>
      </c>
      <c r="F294" t="s">
        <v>158</v>
      </c>
      <c r="G294" s="25" cm="1">
        <f t="array" ref="G294">IF(AND(A294:C294=S294:U294),IF((F294=Y294),1,0),999)</f>
        <v>999</v>
      </c>
      <c r="H294" s="24"/>
      <c r="K294" s="5">
        <v>0</v>
      </c>
      <c r="L294" s="5">
        <v>6</v>
      </c>
      <c r="M294" s="5">
        <v>0</v>
      </c>
      <c r="N294" s="5" t="s">
        <v>1179</v>
      </c>
      <c r="O294" s="5" t="s">
        <v>469</v>
      </c>
      <c r="P294" s="5" t="s">
        <v>143</v>
      </c>
      <c r="Q294" s="5" t="s">
        <v>173</v>
      </c>
      <c r="S294" s="24">
        <v>0</v>
      </c>
      <c r="T294" s="24">
        <v>6</v>
      </c>
      <c r="U294" s="24">
        <v>0</v>
      </c>
      <c r="V294" s="24" t="str">
        <v>MARCELLINO FREDERICK WIJAYA</v>
      </c>
      <c r="W294" s="24" t="str">
        <v>825220021</v>
      </c>
      <c r="X294" s="24" t="str">
        <v>Stupen</v>
      </c>
      <c r="Y294" s="24" t="str">
        <v>Novario Jaya Perdana, S.Kom., MT</v>
      </c>
    </row>
    <row r="295" spans="1:25" ht="44.1" customHeight="1" x14ac:dyDescent="0.2">
      <c r="A295" s="8">
        <v>1</v>
      </c>
      <c r="B295" s="8">
        <v>7</v>
      </c>
      <c r="C295" s="8">
        <v>1</v>
      </c>
      <c r="D295" s="3">
        <v>535220159</v>
      </c>
      <c r="E295" s="3" t="s">
        <v>142</v>
      </c>
      <c r="F295" t="s">
        <v>158</v>
      </c>
      <c r="G295" s="25" cm="1">
        <f t="array" ref="G295">IF(AND(A295:C295=S295:U295),IF((F295=Y295),1,0),999)</f>
        <v>999</v>
      </c>
      <c r="H295" s="24"/>
      <c r="K295" s="5">
        <v>0</v>
      </c>
      <c r="L295" s="5">
        <v>6</v>
      </c>
      <c r="M295" s="5">
        <v>1</v>
      </c>
      <c r="N295" s="5" t="s">
        <v>1180</v>
      </c>
      <c r="O295" s="5" t="s">
        <v>470</v>
      </c>
      <c r="P295" s="5" t="s">
        <v>142</v>
      </c>
      <c r="Q295" s="5" t="s">
        <v>174</v>
      </c>
      <c r="S295" s="24">
        <v>1</v>
      </c>
      <c r="T295" s="24">
        <v>6</v>
      </c>
      <c r="U295" s="24">
        <v>0</v>
      </c>
      <c r="V295" s="24" t="str">
        <v>MARCELLINUS ANTHONY</v>
      </c>
      <c r="W295" s="24" t="str">
        <v>825220031</v>
      </c>
      <c r="X295" s="24" t="str">
        <v>Stupen</v>
      </c>
      <c r="Y295" s="24" t="str">
        <v>Novario Jaya Perdana, S.Kom., MT</v>
      </c>
    </row>
    <row r="296" spans="1:25" ht="42.6" customHeight="1" x14ac:dyDescent="0.2">
      <c r="A296" s="8">
        <v>1</v>
      </c>
      <c r="B296" s="8">
        <v>7</v>
      </c>
      <c r="C296" s="8">
        <v>1</v>
      </c>
      <c r="D296" s="3">
        <v>535220220</v>
      </c>
      <c r="E296" s="3" t="s">
        <v>142</v>
      </c>
      <c r="F296" t="s">
        <v>158</v>
      </c>
      <c r="G296" s="25" cm="1">
        <f t="array" ref="G296">IF(AND(A296:C296=S296:U296),IF((F296=Y296),1,0),999)</f>
        <v>999</v>
      </c>
      <c r="H296" s="24"/>
      <c r="K296" s="5">
        <v>0</v>
      </c>
      <c r="L296" s="5">
        <v>6</v>
      </c>
      <c r="M296" s="5">
        <v>1</v>
      </c>
      <c r="N296" s="5" t="s">
        <v>1181</v>
      </c>
      <c r="O296" s="5" t="s">
        <v>471</v>
      </c>
      <c r="P296" s="5" t="s">
        <v>142</v>
      </c>
      <c r="Q296" s="5" t="s">
        <v>174</v>
      </c>
      <c r="S296" s="24">
        <v>1</v>
      </c>
      <c r="T296" s="24">
        <v>6</v>
      </c>
      <c r="U296" s="24">
        <v>0</v>
      </c>
      <c r="V296" s="24" t="str">
        <v>YANSEN</v>
      </c>
      <c r="W296" s="24" t="str">
        <v>825220032</v>
      </c>
      <c r="X296" s="24" t="str">
        <v>Stupen</v>
      </c>
      <c r="Y296" s="24" t="str">
        <v>Novario Jaya Perdana, S.Kom., MT</v>
      </c>
    </row>
    <row r="297" spans="1:25" ht="56.25" customHeight="1" x14ac:dyDescent="0.2">
      <c r="A297" s="11">
        <v>2</v>
      </c>
      <c r="B297" s="8">
        <v>7</v>
      </c>
      <c r="C297" s="8">
        <v>1</v>
      </c>
      <c r="D297" s="4">
        <v>535220225</v>
      </c>
      <c r="E297" s="3" t="s">
        <v>142</v>
      </c>
      <c r="F297" t="s">
        <v>158</v>
      </c>
      <c r="G297" s="25" cm="1">
        <f t="array" ref="G297">IF(AND(A297:C297=S297:U297),IF((F297=Y297),1,0),999)</f>
        <v>999</v>
      </c>
      <c r="H297" s="24"/>
      <c r="K297" s="5">
        <v>0</v>
      </c>
      <c r="L297" s="5">
        <v>6</v>
      </c>
      <c r="M297" s="5">
        <v>1</v>
      </c>
      <c r="N297" s="5" t="s">
        <v>1182</v>
      </c>
      <c r="O297" s="5" t="s">
        <v>472</v>
      </c>
      <c r="P297" s="5" t="s">
        <v>142</v>
      </c>
      <c r="Q297" s="5" t="s">
        <v>174</v>
      </c>
      <c r="S297" s="24">
        <v>1</v>
      </c>
      <c r="T297" s="24">
        <v>6</v>
      </c>
      <c r="U297" s="24">
        <v>0</v>
      </c>
      <c r="V297" s="24" t="str">
        <v>WILSON FELIANO JUSEL</v>
      </c>
      <c r="W297" s="24" t="str">
        <v>825220033</v>
      </c>
      <c r="X297" s="24" t="str">
        <v>Stupen</v>
      </c>
      <c r="Y297" s="24" t="str">
        <v>Novario Jaya Perdana, S.Kom., MT</v>
      </c>
    </row>
    <row r="298" spans="1:25" ht="44.1" customHeight="1" x14ac:dyDescent="0.2">
      <c r="A298" s="11">
        <v>2</v>
      </c>
      <c r="B298" s="8">
        <v>7</v>
      </c>
      <c r="C298" s="8">
        <v>1</v>
      </c>
      <c r="D298" s="3">
        <v>535220246</v>
      </c>
      <c r="E298" s="3" t="s">
        <v>142</v>
      </c>
      <c r="F298" t="s">
        <v>158</v>
      </c>
      <c r="G298" s="25" cm="1">
        <f t="array" ref="G298">IF(AND(A298:C298=S298:U298),IF((F298=Y298),1,0),999)</f>
        <v>999</v>
      </c>
      <c r="H298" s="24"/>
      <c r="K298" s="5">
        <v>0</v>
      </c>
      <c r="L298" s="5">
        <v>6</v>
      </c>
      <c r="M298" s="5">
        <v>1</v>
      </c>
      <c r="N298" s="5" t="s">
        <v>1183</v>
      </c>
      <c r="O298" s="5" t="s">
        <v>473</v>
      </c>
      <c r="P298" s="5" t="s">
        <v>142</v>
      </c>
      <c r="Q298" s="5" t="s">
        <v>174</v>
      </c>
      <c r="S298" s="24">
        <v>1</v>
      </c>
      <c r="T298" s="24">
        <v>6</v>
      </c>
      <c r="U298" s="24">
        <v>0</v>
      </c>
      <c r="V298" s="24" t="str">
        <v>VINCENT</v>
      </c>
      <c r="W298" s="24" t="str">
        <v>825220035</v>
      </c>
      <c r="X298" s="24" t="str">
        <v>Stupen</v>
      </c>
      <c r="Y298" s="24" t="str">
        <v>Novario Jaya Perdana, S.Kom., MT</v>
      </c>
    </row>
    <row r="299" spans="1:25" ht="42.95" customHeight="1" x14ac:dyDescent="0.2">
      <c r="A299" s="11">
        <v>2</v>
      </c>
      <c r="B299" s="8">
        <v>7</v>
      </c>
      <c r="C299" s="8">
        <v>1</v>
      </c>
      <c r="D299" s="3">
        <v>535220258</v>
      </c>
      <c r="E299" s="3" t="s">
        <v>142</v>
      </c>
      <c r="F299" t="s">
        <v>158</v>
      </c>
      <c r="G299" s="25" cm="1">
        <f t="array" ref="G299">IF(AND(A299:C299=S299:U299),IF((F299=Y299),1,0),999)</f>
        <v>999</v>
      </c>
      <c r="H299" s="24"/>
      <c r="K299" s="5">
        <v>0</v>
      </c>
      <c r="L299" s="5">
        <v>6</v>
      </c>
      <c r="M299" s="5">
        <v>1</v>
      </c>
      <c r="N299" s="5" t="s">
        <v>1184</v>
      </c>
      <c r="O299" s="5" t="s">
        <v>474</v>
      </c>
      <c r="P299" s="5" t="s">
        <v>142</v>
      </c>
      <c r="Q299" s="5" t="s">
        <v>174</v>
      </c>
      <c r="S299" s="24">
        <v>1</v>
      </c>
      <c r="T299" s="24">
        <v>6</v>
      </c>
      <c r="U299" s="24">
        <v>0</v>
      </c>
      <c r="V299" s="24" t="str">
        <v>RAFAEL RASHEL RUNTU</v>
      </c>
      <c r="W299" s="24" t="str">
        <v>825220039</v>
      </c>
      <c r="X299" s="24" t="str">
        <v>Stupen</v>
      </c>
      <c r="Y299" s="24" t="str">
        <v>Novario Jaya Perdana, S.Kom., MT</v>
      </c>
    </row>
    <row r="300" spans="1:25" ht="44.1" customHeight="1" x14ac:dyDescent="0.2">
      <c r="A300" s="11">
        <v>2</v>
      </c>
      <c r="B300" s="8">
        <v>7</v>
      </c>
      <c r="C300" s="8">
        <v>1</v>
      </c>
      <c r="D300" s="3">
        <v>535220042</v>
      </c>
      <c r="E300" s="3" t="s">
        <v>142</v>
      </c>
      <c r="F300" t="s">
        <v>164</v>
      </c>
      <c r="G300" s="25" cm="1">
        <f t="array" ref="G300">IF(AND(A300:C300=S300:U300),IF((F300=Y300),1,0),999)</f>
        <v>999</v>
      </c>
      <c r="H300" s="24"/>
      <c r="K300" s="5">
        <v>0</v>
      </c>
      <c r="L300" s="5">
        <v>6</v>
      </c>
      <c r="M300" s="5">
        <v>2</v>
      </c>
      <c r="N300" s="5" t="s">
        <v>1185</v>
      </c>
      <c r="O300" s="5" t="s">
        <v>475</v>
      </c>
      <c r="P300" s="5" t="s">
        <v>143</v>
      </c>
      <c r="Q300" s="5" t="s">
        <v>175</v>
      </c>
      <c r="S300" s="24">
        <v>2</v>
      </c>
      <c r="T300" s="24">
        <v>6</v>
      </c>
      <c r="U300" s="24">
        <v>0</v>
      </c>
      <c r="V300" s="24" t="str">
        <v>GABRIELLA ADELINE HALIM</v>
      </c>
      <c r="W300" s="24" t="str">
        <v>825220050</v>
      </c>
      <c r="X300" s="24" t="str">
        <v>Stupen</v>
      </c>
      <c r="Y300" s="24" t="str">
        <v>Novario Jaya Perdana, S.Kom., MT</v>
      </c>
    </row>
    <row r="301" spans="1:25" ht="43.5" customHeight="1" x14ac:dyDescent="0.2">
      <c r="A301" s="11">
        <v>2</v>
      </c>
      <c r="B301" s="8">
        <v>7</v>
      </c>
      <c r="C301" s="8">
        <v>1</v>
      </c>
      <c r="D301" s="3">
        <v>535220043</v>
      </c>
      <c r="E301" s="3" t="s">
        <v>142</v>
      </c>
      <c r="F301" t="s">
        <v>164</v>
      </c>
      <c r="G301" s="25" cm="1">
        <f t="array" ref="G301">IF(AND(A301:C301=S301:U301),IF((F301=Y301),1,0),999)</f>
        <v>999</v>
      </c>
      <c r="H301" s="24"/>
      <c r="K301" s="5">
        <v>0</v>
      </c>
      <c r="L301" s="5">
        <v>6</v>
      </c>
      <c r="M301" s="5">
        <v>2</v>
      </c>
      <c r="N301" s="5" t="s">
        <v>1186</v>
      </c>
      <c r="O301" s="5" t="s">
        <v>476</v>
      </c>
      <c r="P301" s="5" t="s">
        <v>143</v>
      </c>
      <c r="Q301" s="5" t="s">
        <v>175</v>
      </c>
      <c r="S301" s="24">
        <v>2</v>
      </c>
      <c r="T301" s="24">
        <v>6</v>
      </c>
      <c r="U301" s="24">
        <v>0</v>
      </c>
      <c r="V301" s="24" t="str">
        <v>GRACE CAKRA</v>
      </c>
      <c r="W301" s="24" t="str">
        <v>825220052</v>
      </c>
      <c r="X301" s="24" t="str">
        <v>Stupen</v>
      </c>
      <c r="Y301" s="24" t="str">
        <v>Novario Jaya Perdana, S.Kom., MT</v>
      </c>
    </row>
    <row r="302" spans="1:25" ht="43.5" customHeight="1" x14ac:dyDescent="0.2">
      <c r="A302" s="8">
        <v>3</v>
      </c>
      <c r="B302" s="8">
        <v>7</v>
      </c>
      <c r="C302" s="8">
        <v>1</v>
      </c>
      <c r="D302" s="3">
        <v>535220048</v>
      </c>
      <c r="E302" s="3" t="s">
        <v>142</v>
      </c>
      <c r="F302" t="s">
        <v>164</v>
      </c>
      <c r="G302" s="25" cm="1">
        <f t="array" ref="G302">IF(AND(A302:C302=S302:U302),IF((F302=Y302),1,0),999)</f>
        <v>999</v>
      </c>
      <c r="H302" s="24"/>
      <c r="K302" s="5">
        <v>0</v>
      </c>
      <c r="L302" s="5">
        <v>6</v>
      </c>
      <c r="M302" s="5">
        <v>2</v>
      </c>
      <c r="N302" s="5" t="s">
        <v>1187</v>
      </c>
      <c r="O302" s="5" t="s">
        <v>477</v>
      </c>
      <c r="P302" s="5" t="s">
        <v>143</v>
      </c>
      <c r="Q302" s="5" t="s">
        <v>175</v>
      </c>
      <c r="S302" s="24">
        <v>2</v>
      </c>
      <c r="T302" s="24">
        <v>6</v>
      </c>
      <c r="U302" s="24">
        <v>0</v>
      </c>
      <c r="V302" s="24" t="str">
        <v xml:space="preserve">ALIF FAZJRUL CAESAR IFMAINI </v>
      </c>
      <c r="W302" s="24" t="str">
        <v>825220066</v>
      </c>
      <c r="X302" s="24" t="str">
        <v>Stupen</v>
      </c>
      <c r="Y302" s="24" t="str">
        <v>Novario Jaya Perdana, S.Kom., MT</v>
      </c>
    </row>
    <row r="303" spans="1:25" ht="42.95" customHeight="1" x14ac:dyDescent="0.2">
      <c r="A303" s="8">
        <v>3</v>
      </c>
      <c r="B303" s="8">
        <v>7</v>
      </c>
      <c r="C303" s="8">
        <v>1</v>
      </c>
      <c r="D303" s="3">
        <v>535220049</v>
      </c>
      <c r="E303" s="3" t="s">
        <v>142</v>
      </c>
      <c r="F303" t="s">
        <v>164</v>
      </c>
      <c r="G303" s="25" cm="1">
        <f t="array" ref="G303">IF(AND(A303:C303=S303:U303),IF((F303=Y303),1,0),999)</f>
        <v>999</v>
      </c>
      <c r="H303" s="24"/>
      <c r="K303" s="5">
        <v>0</v>
      </c>
      <c r="L303" s="5">
        <v>6</v>
      </c>
      <c r="M303" s="5">
        <v>2</v>
      </c>
      <c r="N303" s="5" t="s">
        <v>1188</v>
      </c>
      <c r="O303" s="5" t="s">
        <v>478</v>
      </c>
      <c r="P303" s="5" t="s">
        <v>143</v>
      </c>
      <c r="Q303" s="5" t="s">
        <v>175</v>
      </c>
      <c r="S303" s="24">
        <v>2</v>
      </c>
      <c r="T303" s="24">
        <v>6</v>
      </c>
      <c r="U303" s="24">
        <v>0</v>
      </c>
      <c r="V303" s="24" t="str">
        <v>MUHAMAD AKBAR MAULANA</v>
      </c>
      <c r="W303" s="24" t="str">
        <v>825220170</v>
      </c>
      <c r="X303" s="24" t="str">
        <v>Stupen</v>
      </c>
      <c r="Y303" s="24" t="str">
        <v>Novario Jaya Perdana, S.Kom., MT</v>
      </c>
    </row>
    <row r="304" spans="1:25" ht="44.1" customHeight="1" x14ac:dyDescent="0.2">
      <c r="A304" s="8">
        <v>3</v>
      </c>
      <c r="B304" s="8">
        <v>7</v>
      </c>
      <c r="C304" s="8">
        <v>1</v>
      </c>
      <c r="D304" s="3">
        <v>535220073</v>
      </c>
      <c r="E304" s="3" t="s">
        <v>142</v>
      </c>
      <c r="F304" t="s">
        <v>164</v>
      </c>
      <c r="G304" s="25" cm="1">
        <f t="array" ref="G304">IF(AND(A304:C304=S304:U304),IF((F304=Y304),1,0),999)</f>
        <v>999</v>
      </c>
      <c r="H304" s="24"/>
      <c r="K304" s="5">
        <v>0</v>
      </c>
      <c r="L304" s="5">
        <v>6</v>
      </c>
      <c r="M304" s="5">
        <v>2</v>
      </c>
      <c r="N304" s="5" t="s">
        <v>1189</v>
      </c>
      <c r="O304" s="5" t="s">
        <v>479</v>
      </c>
      <c r="P304" s="5" t="s">
        <v>143</v>
      </c>
      <c r="Q304" s="5" t="s">
        <v>175</v>
      </c>
      <c r="S304" s="24">
        <v>2</v>
      </c>
      <c r="T304" s="24">
        <v>6</v>
      </c>
      <c r="U304" s="24">
        <v>0</v>
      </c>
      <c r="V304" s="24" t="str">
        <v>KALIS JOVIAL TELAUMBANUA</v>
      </c>
      <c r="W304" s="24" t="str">
        <v>825200094</v>
      </c>
      <c r="X304" s="24" t="str">
        <v>KKN</v>
      </c>
      <c r="Y304" s="24" t="str">
        <v>Novario Jaya Perdana, S.Kom., MT</v>
      </c>
    </row>
    <row r="305" spans="1:25" ht="44.1" customHeight="1" x14ac:dyDescent="0.2">
      <c r="A305" s="8">
        <v>3</v>
      </c>
      <c r="B305" s="8">
        <v>7</v>
      </c>
      <c r="C305" s="8">
        <v>1</v>
      </c>
      <c r="D305" s="3">
        <v>535220074</v>
      </c>
      <c r="E305" s="3" t="s">
        <v>142</v>
      </c>
      <c r="F305" t="s">
        <v>164</v>
      </c>
      <c r="G305" s="25" cm="1">
        <f t="array" ref="G305">IF(AND(A305:C305=S305:U305),IF((F305=Y305),1,0),999)</f>
        <v>999</v>
      </c>
      <c r="H305" s="24"/>
      <c r="K305" s="5">
        <v>1</v>
      </c>
      <c r="L305" s="5">
        <v>6</v>
      </c>
      <c r="M305" s="5">
        <v>0</v>
      </c>
      <c r="N305" s="5" t="s">
        <v>1190</v>
      </c>
      <c r="O305" s="5" t="s">
        <v>480</v>
      </c>
      <c r="P305" s="5" t="s">
        <v>143</v>
      </c>
      <c r="Q305" s="5" t="s">
        <v>173</v>
      </c>
      <c r="S305" s="24">
        <v>3</v>
      </c>
      <c r="T305" s="24">
        <v>6</v>
      </c>
      <c r="U305" s="24">
        <v>0</v>
      </c>
      <c r="V305" s="24" t="str">
        <v>RENSHI YEHEZKIEL</v>
      </c>
      <c r="W305" s="24" t="str">
        <v>825220096</v>
      </c>
      <c r="X305" s="24" t="str">
        <v>KKN</v>
      </c>
      <c r="Y305" s="24" t="str">
        <v>Novario Jaya Perdana, S.Kom., MT</v>
      </c>
    </row>
    <row r="306" spans="1:25" ht="43.5" customHeight="1" x14ac:dyDescent="0.2">
      <c r="A306" s="8">
        <v>3</v>
      </c>
      <c r="B306" s="8">
        <v>7</v>
      </c>
      <c r="C306" s="8">
        <v>1</v>
      </c>
      <c r="D306" s="3">
        <v>535220081</v>
      </c>
      <c r="E306" s="3" t="s">
        <v>142</v>
      </c>
      <c r="F306" t="s">
        <v>164</v>
      </c>
      <c r="G306" s="25" cm="1">
        <f t="array" ref="G306">IF(AND(A306:C306=S306:U306),IF((F306=Y306),1,0),999)</f>
        <v>999</v>
      </c>
      <c r="H306" s="24"/>
      <c r="K306" s="5">
        <v>1</v>
      </c>
      <c r="L306" s="5">
        <v>6</v>
      </c>
      <c r="M306" s="5">
        <v>0</v>
      </c>
      <c r="N306" s="5" t="s">
        <v>1191</v>
      </c>
      <c r="O306" s="5" t="s">
        <v>481</v>
      </c>
      <c r="P306" s="5" t="s">
        <v>143</v>
      </c>
      <c r="Q306" s="5" t="s">
        <v>173</v>
      </c>
      <c r="S306" s="24">
        <v>3</v>
      </c>
      <c r="T306" s="24">
        <v>6</v>
      </c>
      <c r="U306" s="24">
        <v>0</v>
      </c>
      <c r="V306" s="24" t="str">
        <v>SRI BINTANG PRATOMO</v>
      </c>
      <c r="W306" s="24" t="str">
        <v>825220070</v>
      </c>
      <c r="X306" s="24" t="str">
        <v>Magang</v>
      </c>
      <c r="Y306" s="24" t="str">
        <v>Bagus Mulyawan, S.Kom., MM</v>
      </c>
    </row>
    <row r="307" spans="1:25" ht="44.1" customHeight="1" x14ac:dyDescent="0.2">
      <c r="A307" s="8">
        <v>0</v>
      </c>
      <c r="B307" s="8">
        <v>8</v>
      </c>
      <c r="C307" s="8">
        <v>0</v>
      </c>
      <c r="D307" s="3">
        <v>825220094</v>
      </c>
      <c r="E307" s="3" t="s">
        <v>143</v>
      </c>
      <c r="F307" t="s">
        <v>162</v>
      </c>
      <c r="G307" s="25" cm="1">
        <f t="array" ref="G307">IF(AND(A307:C307=S307:U307),IF((F307=Y307),1,0),999)</f>
        <v>999</v>
      </c>
      <c r="H307" s="24"/>
      <c r="K307" s="5">
        <v>1</v>
      </c>
      <c r="L307" s="5">
        <v>6</v>
      </c>
      <c r="M307" s="5">
        <v>0</v>
      </c>
      <c r="N307" s="5" t="s">
        <v>1192</v>
      </c>
      <c r="O307" s="5" t="s">
        <v>482</v>
      </c>
      <c r="P307" s="5" t="s">
        <v>143</v>
      </c>
      <c r="Q307" s="5" t="s">
        <v>173</v>
      </c>
      <c r="S307" s="24">
        <v>0</v>
      </c>
      <c r="T307" s="24">
        <v>6</v>
      </c>
      <c r="U307" s="24">
        <v>1</v>
      </c>
      <c r="V307" s="24" t="str">
        <v xml:space="preserve">ANDRES MALVIN JIU </v>
      </c>
      <c r="W307" s="24" t="str">
        <v>825220026</v>
      </c>
      <c r="X307" s="24" t="str">
        <v>Magang</v>
      </c>
      <c r="Y307" s="24" t="str">
        <v>Bagus Mulyawan, S.Kom., MM</v>
      </c>
    </row>
    <row r="308" spans="1:25" ht="44.1" customHeight="1" x14ac:dyDescent="0.2">
      <c r="A308" s="8">
        <v>0</v>
      </c>
      <c r="B308" s="8">
        <v>8</v>
      </c>
      <c r="C308" s="8">
        <v>0</v>
      </c>
      <c r="D308" s="3">
        <v>825220095</v>
      </c>
      <c r="E308" s="3" t="s">
        <v>143</v>
      </c>
      <c r="F308" t="s">
        <v>162</v>
      </c>
      <c r="G308" s="25" cm="1">
        <f t="array" ref="G308">IF(AND(A308:C308=S308:U308),IF((F308=Y308),1,0),999)</f>
        <v>999</v>
      </c>
      <c r="H308" s="24"/>
      <c r="K308" s="5">
        <v>1</v>
      </c>
      <c r="L308" s="5">
        <v>6</v>
      </c>
      <c r="M308" s="5">
        <v>0</v>
      </c>
      <c r="N308" s="5" t="s">
        <v>1193</v>
      </c>
      <c r="O308" s="5" t="s">
        <v>483</v>
      </c>
      <c r="P308" s="5" t="s">
        <v>143</v>
      </c>
      <c r="Q308" s="5" t="s">
        <v>173</v>
      </c>
      <c r="S308" s="24">
        <v>0</v>
      </c>
      <c r="T308" s="24">
        <v>6</v>
      </c>
      <c r="U308" s="24">
        <v>1</v>
      </c>
      <c r="V308" s="24" t="str">
        <v>DAVID HARIADI</v>
      </c>
      <c r="W308" s="24" t="str">
        <v>825220042</v>
      </c>
      <c r="X308" s="24" t="str">
        <v>Magang</v>
      </c>
      <c r="Y308" s="24" t="str">
        <v>Bagus Mulyawan, S.Kom., MM</v>
      </c>
    </row>
    <row r="309" spans="1:25" ht="42.95" customHeight="1" x14ac:dyDescent="0.2">
      <c r="A309" s="8">
        <v>0</v>
      </c>
      <c r="B309" s="8">
        <v>8</v>
      </c>
      <c r="C309" s="8">
        <v>0</v>
      </c>
      <c r="D309" s="3">
        <v>825220105</v>
      </c>
      <c r="E309" s="3" t="s">
        <v>143</v>
      </c>
      <c r="F309" t="s">
        <v>162</v>
      </c>
      <c r="G309" s="25" cm="1">
        <f t="array" ref="G309">IF(AND(A309:C309=S309:U309),IF((F309=Y309),1,0),999)</f>
        <v>999</v>
      </c>
      <c r="H309" s="24"/>
      <c r="K309" s="5">
        <v>1</v>
      </c>
      <c r="L309" s="5">
        <v>6</v>
      </c>
      <c r="M309" s="5">
        <v>0</v>
      </c>
      <c r="N309" s="5" t="s">
        <v>1194</v>
      </c>
      <c r="O309" s="5" t="s">
        <v>484</v>
      </c>
      <c r="P309" s="5" t="s">
        <v>143</v>
      </c>
      <c r="Q309" s="5" t="s">
        <v>173</v>
      </c>
      <c r="S309" s="24">
        <v>0</v>
      </c>
      <c r="T309" s="24">
        <v>6</v>
      </c>
      <c r="U309" s="24">
        <v>1</v>
      </c>
      <c r="V309" s="24" t="str">
        <v>MALVIN ALFREDO</v>
      </c>
      <c r="W309" s="24" t="str">
        <v>825220043</v>
      </c>
      <c r="X309" s="24" t="str">
        <v>Magang</v>
      </c>
      <c r="Y309" s="24" t="str">
        <v>Bagus Mulyawan, S.Kom., MM</v>
      </c>
    </row>
    <row r="310" spans="1:25" ht="44.1" customHeight="1" x14ac:dyDescent="0.2">
      <c r="A310" s="8">
        <v>0</v>
      </c>
      <c r="B310" s="8">
        <v>8</v>
      </c>
      <c r="C310" s="8">
        <v>0</v>
      </c>
      <c r="D310" s="3">
        <v>825220113</v>
      </c>
      <c r="E310" s="3" t="s">
        <v>143</v>
      </c>
      <c r="F310" t="s">
        <v>162</v>
      </c>
      <c r="G310" s="25" cm="1">
        <f t="array" ref="G310">IF(AND(A310:C310=S310:U310),IF((F310=Y310),1,0),999)</f>
        <v>999</v>
      </c>
      <c r="H310" s="24"/>
      <c r="K310" s="5">
        <v>1</v>
      </c>
      <c r="L310" s="5">
        <v>6</v>
      </c>
      <c r="M310" s="5">
        <v>1</v>
      </c>
      <c r="N310" s="5" t="s">
        <v>1195</v>
      </c>
      <c r="O310" s="5" t="s">
        <v>485</v>
      </c>
      <c r="P310" s="5" t="s">
        <v>142</v>
      </c>
      <c r="Q310" s="5" t="s">
        <v>174</v>
      </c>
      <c r="S310" s="24">
        <v>0</v>
      </c>
      <c r="T310" s="24">
        <v>6</v>
      </c>
      <c r="U310" s="24">
        <v>1</v>
      </c>
      <c r="V310" s="24" t="str">
        <v>FABIO SANTOSO</v>
      </c>
      <c r="W310" s="24" t="str">
        <v>825220044</v>
      </c>
      <c r="X310" s="24" t="str">
        <v>Magang</v>
      </c>
      <c r="Y310" s="24" t="str">
        <v>Bagus Mulyawan, S.Kom., MM</v>
      </c>
    </row>
    <row r="311" spans="1:25" ht="42.6" customHeight="1" x14ac:dyDescent="0.2">
      <c r="A311" s="8">
        <v>0</v>
      </c>
      <c r="B311" s="8">
        <v>8</v>
      </c>
      <c r="C311" s="8">
        <v>0</v>
      </c>
      <c r="D311" s="3">
        <v>825220114</v>
      </c>
      <c r="E311" s="3" t="s">
        <v>143</v>
      </c>
      <c r="F311" t="s">
        <v>162</v>
      </c>
      <c r="G311" s="25" cm="1">
        <f t="array" ref="G311">IF(AND(A311:C311=S311:U311),IF((F311=Y311),1,0),999)</f>
        <v>999</v>
      </c>
      <c r="H311" s="24"/>
      <c r="K311" s="5">
        <v>1</v>
      </c>
      <c r="L311" s="5">
        <v>6</v>
      </c>
      <c r="M311" s="5">
        <v>1</v>
      </c>
      <c r="N311" s="5" t="s">
        <v>1196</v>
      </c>
      <c r="O311" s="5" t="s">
        <v>486</v>
      </c>
      <c r="P311" s="5" t="s">
        <v>142</v>
      </c>
      <c r="Q311" s="5" t="s">
        <v>174</v>
      </c>
      <c r="S311" s="24">
        <v>0</v>
      </c>
      <c r="T311" s="24">
        <v>6</v>
      </c>
      <c r="U311" s="24">
        <v>1</v>
      </c>
      <c r="V311" s="24" t="str">
        <v>FEDRIKO ARTYA RUVI</v>
      </c>
      <c r="W311" s="24" t="str">
        <v>825220053</v>
      </c>
      <c r="X311" s="24" t="str">
        <v>Magang</v>
      </c>
      <c r="Y311" s="24" t="str">
        <v>Bagus Mulyawan, S.Kom., MM</v>
      </c>
    </row>
    <row r="312" spans="1:25" ht="44.1" customHeight="1" x14ac:dyDescent="0.2">
      <c r="A312" s="8">
        <v>1</v>
      </c>
      <c r="B312" s="8">
        <v>8</v>
      </c>
      <c r="C312" s="8">
        <v>0</v>
      </c>
      <c r="D312" s="3">
        <v>825220115</v>
      </c>
      <c r="E312" s="3" t="s">
        <v>143</v>
      </c>
      <c r="F312" t="s">
        <v>162</v>
      </c>
      <c r="G312" s="25" cm="1">
        <f t="array" ref="G312">IF(AND(A312:C312=S312:U312),IF((F312=Y312),1,0),999)</f>
        <v>999</v>
      </c>
      <c r="H312" s="24"/>
      <c r="K312" s="5">
        <v>1</v>
      </c>
      <c r="L312" s="5">
        <v>6</v>
      </c>
      <c r="M312" s="5">
        <v>1</v>
      </c>
      <c r="N312" s="5" t="s">
        <v>1197</v>
      </c>
      <c r="O312" s="5" t="s">
        <v>487</v>
      </c>
      <c r="P312" s="5" t="s">
        <v>142</v>
      </c>
      <c r="Q312" s="5" t="s">
        <v>174</v>
      </c>
      <c r="S312" s="24">
        <v>1</v>
      </c>
      <c r="T312" s="24">
        <v>6</v>
      </c>
      <c r="U312" s="24">
        <v>1</v>
      </c>
      <c r="V312" s="24" t="str">
        <v>LOUIS FRANCIS TALI</v>
      </c>
      <c r="W312" s="24" t="str">
        <v>825220076</v>
      </c>
      <c r="X312" s="24" t="str">
        <v>Magang</v>
      </c>
      <c r="Y312" s="24" t="str">
        <v>Bagus Mulyawan, S.Kom., MM</v>
      </c>
    </row>
    <row r="313" spans="1:25" ht="42.95" customHeight="1" x14ac:dyDescent="0.2">
      <c r="A313" s="8">
        <v>1</v>
      </c>
      <c r="B313" s="8">
        <v>8</v>
      </c>
      <c r="C313" s="8">
        <v>0</v>
      </c>
      <c r="D313" s="3">
        <v>825220121</v>
      </c>
      <c r="E313" s="3" t="s">
        <v>143</v>
      </c>
      <c r="F313" t="s">
        <v>162</v>
      </c>
      <c r="G313" s="25" cm="1">
        <f t="array" ref="G313">IF(AND(A313:C313=S313:U313),IF((F313=Y313),1,0),999)</f>
        <v>999</v>
      </c>
      <c r="H313" s="24"/>
      <c r="K313" s="5">
        <v>1</v>
      </c>
      <c r="L313" s="5">
        <v>6</v>
      </c>
      <c r="M313" s="5">
        <v>1</v>
      </c>
      <c r="N313" s="5" t="s">
        <v>1198</v>
      </c>
      <c r="O313" s="5" t="s">
        <v>488</v>
      </c>
      <c r="P313" s="5" t="s">
        <v>142</v>
      </c>
      <c r="Q313" s="5" t="s">
        <v>174</v>
      </c>
      <c r="S313" s="24">
        <v>1</v>
      </c>
      <c r="T313" s="24">
        <v>6</v>
      </c>
      <c r="U313" s="24">
        <v>1</v>
      </c>
      <c r="V313" s="24" t="str">
        <v>CHRISTINA ANGELICA</v>
      </c>
      <c r="W313" s="24" t="str">
        <v>825220077</v>
      </c>
      <c r="X313" s="24" t="str">
        <v>Magang</v>
      </c>
      <c r="Y313" s="24" t="str">
        <v>Bagus Mulyawan, S.Kom., MM</v>
      </c>
    </row>
    <row r="314" spans="1:25" ht="44.1" customHeight="1" x14ac:dyDescent="0.2">
      <c r="A314" s="8">
        <v>1</v>
      </c>
      <c r="B314" s="8">
        <v>8</v>
      </c>
      <c r="C314" s="8">
        <v>0</v>
      </c>
      <c r="D314" s="3">
        <v>825220124</v>
      </c>
      <c r="E314" s="3" t="s">
        <v>143</v>
      </c>
      <c r="F314" t="s">
        <v>162</v>
      </c>
      <c r="G314" s="25" cm="1">
        <f t="array" ref="G314">IF(AND(A314:C314=S314:U314),IF((F314=Y314),1,0),999)</f>
        <v>999</v>
      </c>
      <c r="H314" s="24"/>
      <c r="K314" s="5">
        <v>1</v>
      </c>
      <c r="L314" s="5">
        <v>6</v>
      </c>
      <c r="M314" s="5">
        <v>1</v>
      </c>
      <c r="N314" s="5" t="s">
        <v>1199</v>
      </c>
      <c r="O314" s="5" t="s">
        <v>489</v>
      </c>
      <c r="P314" s="5" t="s">
        <v>142</v>
      </c>
      <c r="Q314" s="5" t="s">
        <v>174</v>
      </c>
      <c r="S314" s="24">
        <v>1</v>
      </c>
      <c r="T314" s="24">
        <v>6</v>
      </c>
      <c r="U314" s="24">
        <v>1</v>
      </c>
      <c r="V314" s="24" t="str">
        <v>KHANIA LUIZA CAHYA TULUSWATI</v>
      </c>
      <c r="W314" s="24" t="str">
        <v>825220078</v>
      </c>
      <c r="X314" s="24" t="str">
        <v>Magang</v>
      </c>
      <c r="Y314" s="24" t="str">
        <v>Bagus Mulyawan, S.Kom., MM</v>
      </c>
    </row>
    <row r="315" spans="1:25" ht="44.1" customHeight="1" x14ac:dyDescent="0.2">
      <c r="A315" s="8">
        <v>1</v>
      </c>
      <c r="B315" s="8">
        <v>8</v>
      </c>
      <c r="C315" s="8">
        <v>0</v>
      </c>
      <c r="D315" s="3">
        <v>825220131</v>
      </c>
      <c r="E315" s="3" t="s">
        <v>143</v>
      </c>
      <c r="F315" t="s">
        <v>162</v>
      </c>
      <c r="G315" s="25" cm="1">
        <f t="array" ref="G315">IF(AND(A315:C315=S315:U315),IF((F315=Y315),1,0),999)</f>
        <v>999</v>
      </c>
      <c r="H315" s="24"/>
      <c r="K315" s="5">
        <v>1</v>
      </c>
      <c r="L315" s="5">
        <v>6</v>
      </c>
      <c r="M315" s="5">
        <v>2</v>
      </c>
      <c r="N315" s="5" t="s">
        <v>1200</v>
      </c>
      <c r="O315" s="5" t="s">
        <v>490</v>
      </c>
      <c r="P315" s="5" t="s">
        <v>143</v>
      </c>
      <c r="Q315" s="5" t="s">
        <v>175</v>
      </c>
      <c r="S315" s="24">
        <v>1</v>
      </c>
      <c r="T315" s="24">
        <v>6</v>
      </c>
      <c r="U315" s="24">
        <v>1</v>
      </c>
      <c r="V315" s="24" t="str">
        <v>ZICHO OCTOZEUS TAN</v>
      </c>
      <c r="W315" s="24" t="str">
        <v>825220079</v>
      </c>
      <c r="X315" s="24" t="str">
        <v>Magang</v>
      </c>
      <c r="Y315" s="24" t="str">
        <v>Bagus Mulyawan, S.Kom., MM</v>
      </c>
    </row>
    <row r="316" spans="1:25" ht="42.6" customHeight="1" x14ac:dyDescent="0.2">
      <c r="A316" s="8">
        <v>1</v>
      </c>
      <c r="B316" s="8">
        <v>8</v>
      </c>
      <c r="C316" s="8">
        <v>0</v>
      </c>
      <c r="D316" s="3">
        <v>825220133</v>
      </c>
      <c r="E316" s="3" t="s">
        <v>143</v>
      </c>
      <c r="F316" t="s">
        <v>162</v>
      </c>
      <c r="G316" s="25" cm="1">
        <f t="array" ref="G316">IF(AND(A316:C316=S316:U316),IF((F316=Y316),1,0),999)</f>
        <v>999</v>
      </c>
      <c r="H316" s="24"/>
      <c r="K316" s="5">
        <v>1</v>
      </c>
      <c r="L316" s="5">
        <v>6</v>
      </c>
      <c r="M316" s="5">
        <v>2</v>
      </c>
      <c r="N316" s="5" t="s">
        <v>1201</v>
      </c>
      <c r="O316" s="5" t="s">
        <v>491</v>
      </c>
      <c r="P316" s="5" t="s">
        <v>143</v>
      </c>
      <c r="Q316" s="5" t="s">
        <v>175</v>
      </c>
      <c r="S316" s="24">
        <v>1</v>
      </c>
      <c r="T316" s="24">
        <v>6</v>
      </c>
      <c r="U316" s="24">
        <v>1</v>
      </c>
      <c r="V316" s="24" t="str">
        <v>ANTHONY BERNARD</v>
      </c>
      <c r="W316" s="24" t="str">
        <v>825220127</v>
      </c>
      <c r="X316" s="24" t="str">
        <v>Magang</v>
      </c>
      <c r="Y316" s="24" t="str">
        <v>Bagus Mulyawan, S.Kom., MM</v>
      </c>
    </row>
    <row r="317" spans="1:25" ht="61.5" customHeight="1" x14ac:dyDescent="0.2">
      <c r="A317" s="11">
        <v>2</v>
      </c>
      <c r="B317" s="8">
        <v>8</v>
      </c>
      <c r="C317" s="8">
        <v>0</v>
      </c>
      <c r="D317" s="4">
        <v>825220137</v>
      </c>
      <c r="E317" s="3" t="s">
        <v>143</v>
      </c>
      <c r="F317" t="s">
        <v>162</v>
      </c>
      <c r="G317" s="25" cm="1">
        <f t="array" ref="G317">IF(AND(A317:C317=S317:U317),IF((F317=Y317),1,0),999)</f>
        <v>999</v>
      </c>
      <c r="H317" s="24"/>
      <c r="K317" s="5">
        <v>1</v>
      </c>
      <c r="L317" s="5">
        <v>6</v>
      </c>
      <c r="M317" s="5">
        <v>2</v>
      </c>
      <c r="N317" s="5" t="s">
        <v>1202</v>
      </c>
      <c r="O317" s="5" t="s">
        <v>492</v>
      </c>
      <c r="P317" s="5" t="s">
        <v>143</v>
      </c>
      <c r="Q317" s="5" t="s">
        <v>175</v>
      </c>
      <c r="S317" s="24">
        <v>2</v>
      </c>
      <c r="T317" s="24">
        <v>6</v>
      </c>
      <c r="U317" s="24">
        <v>1</v>
      </c>
      <c r="V317" s="24" t="str">
        <v>JANE SYAHWALINA KAPRICA SANDRA</v>
      </c>
      <c r="W317" s="24" t="str">
        <v>825220141</v>
      </c>
      <c r="X317" s="24" t="str">
        <v>Magang</v>
      </c>
      <c r="Y317" s="24" t="str">
        <v>Bagus Mulyawan, S.Kom., MM</v>
      </c>
    </row>
    <row r="318" spans="1:25" ht="44.1" customHeight="1" x14ac:dyDescent="0.2">
      <c r="A318" s="11">
        <v>2</v>
      </c>
      <c r="B318" s="8">
        <v>8</v>
      </c>
      <c r="C318" s="8">
        <v>0</v>
      </c>
      <c r="D318" s="3">
        <v>825220005</v>
      </c>
      <c r="E318" s="3" t="s">
        <v>143</v>
      </c>
      <c r="F318" t="s">
        <v>173</v>
      </c>
      <c r="G318" s="25" cm="1">
        <f t="array" ref="G318">IF(AND(A318:C318=S318:U318),IF((F318=Y318),1,0),999)</f>
        <v>999</v>
      </c>
      <c r="H318" s="24"/>
      <c r="K318" s="5">
        <v>1</v>
      </c>
      <c r="L318" s="5">
        <v>6</v>
      </c>
      <c r="M318" s="5">
        <v>2</v>
      </c>
      <c r="N318" s="5" t="s">
        <v>1203</v>
      </c>
      <c r="O318" s="5" t="s">
        <v>493</v>
      </c>
      <c r="P318" s="5" t="s">
        <v>143</v>
      </c>
      <c r="Q318" s="5" t="s">
        <v>175</v>
      </c>
      <c r="S318" s="24">
        <v>2</v>
      </c>
      <c r="T318" s="24">
        <v>6</v>
      </c>
      <c r="U318" s="24">
        <v>1</v>
      </c>
      <c r="V318" s="24" t="str">
        <v>ANDREW GUNAWAN</v>
      </c>
      <c r="W318" s="24" t="str">
        <v>825220143</v>
      </c>
      <c r="X318" s="24" t="str">
        <v>Magang</v>
      </c>
      <c r="Y318" s="24" t="str">
        <v>Bagus Mulyawan, S.Kom., MM</v>
      </c>
    </row>
    <row r="319" spans="1:25" ht="42.95" customHeight="1" x14ac:dyDescent="0.2">
      <c r="A319" s="11">
        <v>2</v>
      </c>
      <c r="B319" s="8">
        <v>8</v>
      </c>
      <c r="C319" s="8">
        <v>0</v>
      </c>
      <c r="D319" s="3">
        <v>825220007</v>
      </c>
      <c r="E319" s="3" t="s">
        <v>143</v>
      </c>
      <c r="F319" t="s">
        <v>173</v>
      </c>
      <c r="G319" s="25" cm="1">
        <f t="array" ref="G319">IF(AND(A319:C319=S319:U319),IF((F319=Y319),1,0),999)</f>
        <v>999</v>
      </c>
      <c r="H319" s="24"/>
      <c r="K319" s="5">
        <v>1</v>
      </c>
      <c r="L319" s="5">
        <v>6</v>
      </c>
      <c r="M319" s="5">
        <v>2</v>
      </c>
      <c r="N319" s="5" t="s">
        <v>1204</v>
      </c>
      <c r="O319" s="5" t="s">
        <v>494</v>
      </c>
      <c r="P319" s="5" t="s">
        <v>143</v>
      </c>
      <c r="Q319" s="5" t="s">
        <v>175</v>
      </c>
      <c r="S319" s="24">
        <v>2</v>
      </c>
      <c r="T319" s="24">
        <v>6</v>
      </c>
      <c r="U319" s="24">
        <v>1</v>
      </c>
      <c r="V319" s="24" t="str">
        <v>NOVIA SYAHFITRI</v>
      </c>
      <c r="W319" s="24" t="str">
        <v>825220156</v>
      </c>
      <c r="X319" s="24" t="str">
        <v>Magang</v>
      </c>
      <c r="Y319" s="24" t="str">
        <v>Bagus Mulyawan, S.Kom., MM</v>
      </c>
    </row>
    <row r="320" spans="1:25" ht="44.1" customHeight="1" x14ac:dyDescent="0.2">
      <c r="A320" s="11">
        <v>2</v>
      </c>
      <c r="B320" s="8">
        <v>8</v>
      </c>
      <c r="C320" s="8">
        <v>0</v>
      </c>
      <c r="D320" s="3">
        <v>825220015</v>
      </c>
      <c r="E320" s="3" t="s">
        <v>143</v>
      </c>
      <c r="F320" t="s">
        <v>173</v>
      </c>
      <c r="G320" s="25" cm="1">
        <f t="array" ref="G320">IF(AND(A320:C320=S320:U320),IF((F320=Y320),1,0),999)</f>
        <v>999</v>
      </c>
      <c r="H320" s="24"/>
      <c r="K320" s="5">
        <v>2</v>
      </c>
      <c r="L320" s="5">
        <v>6</v>
      </c>
      <c r="M320" s="5">
        <v>0</v>
      </c>
      <c r="N320" s="5" t="s">
        <v>1205</v>
      </c>
      <c r="O320" s="5" t="s">
        <v>495</v>
      </c>
      <c r="P320" s="5" t="s">
        <v>143</v>
      </c>
      <c r="Q320" s="5" t="s">
        <v>173</v>
      </c>
      <c r="S320" s="24">
        <v>2</v>
      </c>
      <c r="T320" s="24">
        <v>6</v>
      </c>
      <c r="U320" s="24">
        <v>1</v>
      </c>
      <c r="V320" s="24" t="str">
        <v>CAESHA RACHMA DHANI</v>
      </c>
      <c r="W320" s="24" t="str">
        <v>825220172</v>
      </c>
      <c r="X320" s="24" t="str">
        <v>Magang</v>
      </c>
      <c r="Y320" s="24" t="str">
        <v>Bagus Mulyawan, S.Kom., MM</v>
      </c>
    </row>
    <row r="321" spans="1:25" ht="42.6" customHeight="1" x14ac:dyDescent="0.2">
      <c r="A321" s="11">
        <v>2</v>
      </c>
      <c r="B321" s="8">
        <v>8</v>
      </c>
      <c r="C321" s="8">
        <v>0</v>
      </c>
      <c r="D321" s="3">
        <v>825220017</v>
      </c>
      <c r="E321" s="3" t="s">
        <v>143</v>
      </c>
      <c r="F321" t="s">
        <v>173</v>
      </c>
      <c r="G321" s="25" cm="1">
        <f t="array" ref="G321">IF(AND(A321:C321=S321:U321),IF((F321=Y321),1,0),999)</f>
        <v>999</v>
      </c>
      <c r="H321" s="24"/>
      <c r="K321" s="5">
        <v>2</v>
      </c>
      <c r="L321" s="5">
        <v>6</v>
      </c>
      <c r="M321" s="5">
        <v>0</v>
      </c>
      <c r="N321" s="5" t="s">
        <v>1206</v>
      </c>
      <c r="O321" s="5" t="s">
        <v>496</v>
      </c>
      <c r="P321" s="5" t="s">
        <v>143</v>
      </c>
      <c r="Q321" s="5" t="s">
        <v>173</v>
      </c>
      <c r="S321" s="24">
        <v>2</v>
      </c>
      <c r="T321" s="24">
        <v>6</v>
      </c>
      <c r="U321" s="24">
        <v>1</v>
      </c>
      <c r="V321" s="24" t="str">
        <v>MIKHAEL EDO SINAMBELA</v>
      </c>
      <c r="W321" s="24" t="str">
        <v>825220173</v>
      </c>
      <c r="X321" s="24" t="str">
        <v>Magang</v>
      </c>
      <c r="Y321" s="24" t="str">
        <v>Bagus Mulyawan, S.Kom., MM</v>
      </c>
    </row>
    <row r="322" spans="1:25" ht="44.1" customHeight="1" x14ac:dyDescent="0.2">
      <c r="A322" s="8">
        <v>3</v>
      </c>
      <c r="B322" s="8">
        <v>8</v>
      </c>
      <c r="C322" s="8">
        <v>0</v>
      </c>
      <c r="D322" s="3">
        <v>825220087</v>
      </c>
      <c r="E322" s="3" t="s">
        <v>143</v>
      </c>
      <c r="F322" t="s">
        <v>162</v>
      </c>
      <c r="G322" s="25" cm="1">
        <f t="array" ref="G322">IF(AND(A322:C322=S322:U322),IF((F322=Y322),1,0),999)</f>
        <v>999</v>
      </c>
      <c r="H322" s="24"/>
      <c r="K322" s="5">
        <v>2</v>
      </c>
      <c r="L322" s="5">
        <v>6</v>
      </c>
      <c r="M322" s="5">
        <v>0</v>
      </c>
      <c r="N322" s="5" t="s">
        <v>1207</v>
      </c>
      <c r="O322" s="5" t="s">
        <v>497</v>
      </c>
      <c r="P322" s="5" t="s">
        <v>143</v>
      </c>
      <c r="Q322" s="5" t="s">
        <v>173</v>
      </c>
      <c r="S322" s="24">
        <v>0</v>
      </c>
      <c r="T322" s="24">
        <v>6</v>
      </c>
      <c r="U322" s="24">
        <v>2</v>
      </c>
      <c r="V322" s="24" t="str">
        <v>WILLIAM GUNAWAN</v>
      </c>
      <c r="W322" s="24" t="str">
        <v>535220092</v>
      </c>
      <c r="X322" s="24" t="str">
        <v>Stupen</v>
      </c>
      <c r="Y322" s="24" t="str">
        <v>Dr. Ing. Agus Budi Dharmawan, S.Kom., MT, M.Sc.</v>
      </c>
    </row>
    <row r="323" spans="1:25" ht="42.95" customHeight="1" x14ac:dyDescent="0.2">
      <c r="A323" s="8">
        <v>3</v>
      </c>
      <c r="B323" s="8">
        <v>8</v>
      </c>
      <c r="C323" s="8">
        <v>0</v>
      </c>
      <c r="D323" s="3">
        <v>825220088</v>
      </c>
      <c r="E323" s="3" t="s">
        <v>143</v>
      </c>
      <c r="F323" t="s">
        <v>162</v>
      </c>
      <c r="G323" s="25" cm="1">
        <f t="array" ref="G323">IF(AND(A323:C323=S323:U323),IF((F323=Y323),1,0),999)</f>
        <v>999</v>
      </c>
      <c r="H323" s="24"/>
      <c r="K323" s="5">
        <v>2</v>
      </c>
      <c r="L323" s="5">
        <v>6</v>
      </c>
      <c r="M323" s="5">
        <v>0</v>
      </c>
      <c r="N323" s="5" t="s">
        <v>1208</v>
      </c>
      <c r="O323" s="5" t="s">
        <v>498</v>
      </c>
      <c r="P323" s="5" t="s">
        <v>143</v>
      </c>
      <c r="Q323" s="5" t="s">
        <v>173</v>
      </c>
      <c r="S323" s="24">
        <v>0</v>
      </c>
      <c r="T323" s="24">
        <v>6</v>
      </c>
      <c r="U323" s="24">
        <v>2</v>
      </c>
      <c r="V323" s="24" t="str">
        <v>ALFIAN INDRAJAYA</v>
      </c>
      <c r="W323" s="24" t="str">
        <v>535220136</v>
      </c>
      <c r="X323" s="24" t="str">
        <v>Stupen</v>
      </c>
      <c r="Y323" s="24" t="str">
        <v>Dr. Ing. Agus Budi Dharmawan, S.Kom., MT, M.Sc.</v>
      </c>
    </row>
    <row r="324" spans="1:25" ht="44.1" customHeight="1" x14ac:dyDescent="0.2">
      <c r="A324" s="8">
        <v>3</v>
      </c>
      <c r="B324" s="8">
        <v>8</v>
      </c>
      <c r="C324" s="8">
        <v>0</v>
      </c>
      <c r="D324" s="3">
        <v>825220093</v>
      </c>
      <c r="E324" s="3" t="s">
        <v>143</v>
      </c>
      <c r="F324" t="s">
        <v>162</v>
      </c>
      <c r="G324" s="25" cm="1">
        <f t="array" ref="G324">IF(AND(A324:C324=S324:U324),IF((F324=Y324),1,0),999)</f>
        <v>999</v>
      </c>
      <c r="H324" s="24"/>
      <c r="K324" s="5">
        <v>2</v>
      </c>
      <c r="L324" s="5">
        <v>6</v>
      </c>
      <c r="M324" s="5">
        <v>0</v>
      </c>
      <c r="N324" s="5" t="s">
        <v>1209</v>
      </c>
      <c r="O324" s="5" t="s">
        <v>499</v>
      </c>
      <c r="P324" s="5" t="s">
        <v>146</v>
      </c>
      <c r="Q324" s="5" t="s">
        <v>173</v>
      </c>
      <c r="S324" s="24">
        <v>0</v>
      </c>
      <c r="T324" s="24">
        <v>6</v>
      </c>
      <c r="U324" s="24">
        <v>2</v>
      </c>
      <c r="V324" s="24" t="str">
        <v>KEVIN SAPUTRA</v>
      </c>
      <c r="W324" s="24" t="str">
        <v>535220139</v>
      </c>
      <c r="X324" s="24" t="str">
        <v>Stupen</v>
      </c>
      <c r="Y324" s="24" t="str">
        <v>Dr. Ing. Agus Budi Dharmawan, S.Kom., MT, M.Sc.</v>
      </c>
    </row>
    <row r="325" spans="1:25" ht="44.1" customHeight="1" x14ac:dyDescent="0.2">
      <c r="A325" s="8">
        <v>3</v>
      </c>
      <c r="B325" s="8">
        <v>8</v>
      </c>
      <c r="C325" s="8">
        <v>0</v>
      </c>
      <c r="D325" s="3">
        <v>825220075</v>
      </c>
      <c r="E325" s="3" t="s">
        <v>142</v>
      </c>
      <c r="F325" t="s">
        <v>162</v>
      </c>
      <c r="G325" s="25" cm="1">
        <f t="array" ref="G325">IF(AND(A325:C325=S325:U325),IF((F325=Y325),1,0),999)</f>
        <v>999</v>
      </c>
      <c r="H325" s="24"/>
      <c r="K325" s="5">
        <v>2</v>
      </c>
      <c r="L325" s="5">
        <v>6</v>
      </c>
      <c r="M325" s="5">
        <v>1</v>
      </c>
      <c r="N325" s="5" t="s">
        <v>1210</v>
      </c>
      <c r="O325" s="5" t="s">
        <v>500</v>
      </c>
      <c r="P325" s="5" t="s">
        <v>142</v>
      </c>
      <c r="Q325" s="5" t="s">
        <v>174</v>
      </c>
      <c r="S325" s="24">
        <v>0</v>
      </c>
      <c r="T325" s="24">
        <v>6</v>
      </c>
      <c r="U325" s="24">
        <v>2</v>
      </c>
      <c r="V325" s="24" t="str">
        <v>GABRIEL NATHANAEL IRAWAN</v>
      </c>
      <c r="W325" s="24" t="str">
        <v>535220142</v>
      </c>
      <c r="X325" s="24" t="str">
        <v>Stupen</v>
      </c>
      <c r="Y325" s="24" t="str">
        <v>Dr. Ing. Agus Budi Dharmawan, S.Kom., MT, M.Sc.</v>
      </c>
    </row>
    <row r="326" spans="1:25" ht="42.6" customHeight="1" x14ac:dyDescent="0.2">
      <c r="A326" s="8">
        <v>3</v>
      </c>
      <c r="B326" s="8">
        <v>8</v>
      </c>
      <c r="C326" s="8">
        <v>0</v>
      </c>
      <c r="D326" s="3">
        <v>825220084</v>
      </c>
      <c r="E326" s="3" t="s">
        <v>142</v>
      </c>
      <c r="F326" t="s">
        <v>162</v>
      </c>
      <c r="G326" s="25" cm="1">
        <f t="array" ref="G326">IF(AND(A326:C326=S326:U326),IF((F326=Y326),1,0),999)</f>
        <v>999</v>
      </c>
      <c r="H326" s="24"/>
      <c r="K326" s="5">
        <v>2</v>
      </c>
      <c r="L326" s="5">
        <v>6</v>
      </c>
      <c r="M326" s="5">
        <v>1</v>
      </c>
      <c r="N326" s="5" t="s">
        <v>1211</v>
      </c>
      <c r="O326" s="5" t="s">
        <v>501</v>
      </c>
      <c r="P326" s="5" t="s">
        <v>142</v>
      </c>
      <c r="Q326" s="5" t="s">
        <v>174</v>
      </c>
      <c r="S326" s="24">
        <v>0</v>
      </c>
      <c r="T326" s="24">
        <v>6</v>
      </c>
      <c r="U326" s="24">
        <v>2</v>
      </c>
      <c r="V326" s="24" t="str">
        <v xml:space="preserve">GIVEN PUTRA </v>
      </c>
      <c r="W326" s="24" t="str">
        <v>535220143</v>
      </c>
      <c r="X326" s="24" t="str">
        <v>Stupen</v>
      </c>
      <c r="Y326" s="24" t="str">
        <v>Dr. Ing. Agus Budi Dharmawan, S.Kom., MT, M.Sc.</v>
      </c>
    </row>
    <row r="327" spans="1:25" ht="43.7" customHeight="1" x14ac:dyDescent="0.2">
      <c r="A327" s="8">
        <v>4</v>
      </c>
      <c r="B327" s="8">
        <v>8</v>
      </c>
      <c r="C327" s="8">
        <v>0</v>
      </c>
      <c r="D327" s="3">
        <v>535220092</v>
      </c>
      <c r="E327" s="3" t="s">
        <v>143</v>
      </c>
      <c r="F327" t="s">
        <v>175</v>
      </c>
      <c r="G327" s="25" cm="1">
        <f t="array" ref="G327">IF(AND(A327:C327=S327:U327),IF((F327=Y327),1,0),999)</f>
        <v>999</v>
      </c>
      <c r="H327" s="24"/>
      <c r="K327" s="5">
        <v>2</v>
      </c>
      <c r="L327" s="5">
        <v>6</v>
      </c>
      <c r="M327" s="5">
        <v>1</v>
      </c>
      <c r="N327" s="5" t="s">
        <v>1212</v>
      </c>
      <c r="O327" s="5" t="s">
        <v>502</v>
      </c>
      <c r="P327" s="5" t="s">
        <v>142</v>
      </c>
      <c r="Q327" s="5" t="s">
        <v>174</v>
      </c>
      <c r="S327" s="24">
        <v>1</v>
      </c>
      <c r="T327" s="24">
        <v>6</v>
      </c>
      <c r="U327" s="24">
        <v>2</v>
      </c>
      <c r="V327" s="24" t="str">
        <v>ADHITYA INDRA RAHARJA</v>
      </c>
      <c r="W327" s="24" t="str">
        <v>535220160</v>
      </c>
      <c r="X327" s="24" t="str">
        <v>Stupen</v>
      </c>
      <c r="Y327" s="24" t="str">
        <v>Dr. Ing. Agus Budi Dharmawan, S.Kom., MT, M.Sc.</v>
      </c>
    </row>
    <row r="328" spans="1:25" ht="44.1" customHeight="1" x14ac:dyDescent="0.2">
      <c r="A328" s="8">
        <v>4</v>
      </c>
      <c r="B328" s="8">
        <v>8</v>
      </c>
      <c r="C328" s="8">
        <v>0</v>
      </c>
      <c r="D328" s="3">
        <v>535220136</v>
      </c>
      <c r="E328" s="3" t="s">
        <v>143</v>
      </c>
      <c r="F328" t="s">
        <v>175</v>
      </c>
      <c r="G328" s="25" cm="1">
        <f t="array" ref="G328">IF(AND(A328:C328=S328:U328),IF((F328=Y328),1,0),999)</f>
        <v>999</v>
      </c>
      <c r="H328" s="24"/>
      <c r="K328" s="5">
        <v>2</v>
      </c>
      <c r="L328" s="5">
        <v>6</v>
      </c>
      <c r="M328" s="5">
        <v>1</v>
      </c>
      <c r="N328" s="5" t="s">
        <v>1213</v>
      </c>
      <c r="O328" s="5" t="s">
        <v>503</v>
      </c>
      <c r="P328" s="5" t="s">
        <v>142</v>
      </c>
      <c r="Q328" s="5" t="s">
        <v>174</v>
      </c>
      <c r="S328" s="24">
        <v>1</v>
      </c>
      <c r="T328" s="24">
        <v>6</v>
      </c>
      <c r="U328" s="24">
        <v>2</v>
      </c>
      <c r="V328" s="24" t="str">
        <v>AULIA DWI YULIANTI</v>
      </c>
      <c r="W328" s="24" t="str">
        <v>535220178</v>
      </c>
      <c r="X328" s="24" t="str">
        <v>Stupen</v>
      </c>
      <c r="Y328" s="24" t="str">
        <v>Dr. Ing. Agus Budi Dharmawan, S.Kom., MT, M.Sc.</v>
      </c>
    </row>
    <row r="329" spans="1:25" ht="42.95" customHeight="1" x14ac:dyDescent="0.2">
      <c r="A329" s="8">
        <v>4</v>
      </c>
      <c r="B329" s="8">
        <v>8</v>
      </c>
      <c r="C329" s="8">
        <v>0</v>
      </c>
      <c r="D329" s="3">
        <v>535220139</v>
      </c>
      <c r="E329" s="3" t="s">
        <v>143</v>
      </c>
      <c r="F329" t="s">
        <v>175</v>
      </c>
      <c r="G329" s="25" cm="1">
        <f t="array" ref="G329">IF(AND(A329:C329=S329:U329),IF((F329=Y329),1,0),999)</f>
        <v>999</v>
      </c>
      <c r="H329" s="24"/>
      <c r="K329" s="5">
        <v>2</v>
      </c>
      <c r="L329" s="5">
        <v>6</v>
      </c>
      <c r="M329" s="5">
        <v>1</v>
      </c>
      <c r="N329" s="5" t="s">
        <v>1214</v>
      </c>
      <c r="O329" s="5" t="s">
        <v>504</v>
      </c>
      <c r="P329" s="5" t="s">
        <v>142</v>
      </c>
      <c r="Q329" s="5" t="s">
        <v>174</v>
      </c>
      <c r="S329" s="24">
        <v>1</v>
      </c>
      <c r="T329" s="24">
        <v>6</v>
      </c>
      <c r="U329" s="24">
        <v>2</v>
      </c>
      <c r="V329" s="24" t="str">
        <v>CHRIST THADDEUS</v>
      </c>
      <c r="W329" s="24" t="str">
        <v>535220196</v>
      </c>
      <c r="X329" s="24" t="str">
        <v>Stupen</v>
      </c>
      <c r="Y329" s="24" t="str">
        <v>Dr. Ing. Agus Budi Dharmawan, S.Kom., MT, M.Sc.</v>
      </c>
    </row>
    <row r="330" spans="1:25" ht="44.1" customHeight="1" x14ac:dyDescent="0.2">
      <c r="A330" s="8">
        <v>4</v>
      </c>
      <c r="B330" s="8">
        <v>8</v>
      </c>
      <c r="C330" s="8">
        <v>0</v>
      </c>
      <c r="D330" s="3">
        <v>535220142</v>
      </c>
      <c r="E330" s="3" t="s">
        <v>143</v>
      </c>
      <c r="F330" t="s">
        <v>175</v>
      </c>
      <c r="G330" s="25" cm="1">
        <f t="array" ref="G330">IF(AND(A330:C330=S330:U330),IF((F330=Y330),1,0),999)</f>
        <v>999</v>
      </c>
      <c r="H330" s="24"/>
      <c r="K330" s="5">
        <v>2</v>
      </c>
      <c r="L330" s="5">
        <v>6</v>
      </c>
      <c r="M330" s="5">
        <v>2</v>
      </c>
      <c r="N330" s="5" t="s">
        <v>1215</v>
      </c>
      <c r="O330" s="5" t="s">
        <v>505</v>
      </c>
      <c r="P330" s="5" t="s">
        <v>143</v>
      </c>
      <c r="Q330" s="5" t="s">
        <v>175</v>
      </c>
      <c r="S330" s="24">
        <v>1</v>
      </c>
      <c r="T330" s="24">
        <v>6</v>
      </c>
      <c r="U330" s="24">
        <v>2</v>
      </c>
      <c r="V330" s="24" t="str">
        <v>WILLY MICHAEL</v>
      </c>
      <c r="W330" s="24" t="str">
        <v>535220216</v>
      </c>
      <c r="X330" s="24" t="str">
        <v>Stupen</v>
      </c>
      <c r="Y330" s="24" t="str">
        <v>Dr. Ing. Agus Budi Dharmawan, S.Kom., MT, M.Sc.</v>
      </c>
    </row>
    <row r="331" spans="1:25" ht="42.6" customHeight="1" x14ac:dyDescent="0.2">
      <c r="A331" s="8">
        <v>4</v>
      </c>
      <c r="B331" s="8">
        <v>8</v>
      </c>
      <c r="C331" s="8">
        <v>0</v>
      </c>
      <c r="D331" s="3">
        <v>535220143</v>
      </c>
      <c r="E331" s="3" t="s">
        <v>143</v>
      </c>
      <c r="F331" t="s">
        <v>175</v>
      </c>
      <c r="G331" s="25" cm="1">
        <f t="array" ref="G331">IF(AND(A331:C331=S331:U331),IF((F331=Y331),1,0),999)</f>
        <v>999</v>
      </c>
      <c r="H331" s="24"/>
      <c r="K331" s="5">
        <v>2</v>
      </c>
      <c r="L331" s="5">
        <v>6</v>
      </c>
      <c r="M331" s="5">
        <v>2</v>
      </c>
      <c r="N331" s="5" t="s">
        <v>1216</v>
      </c>
      <c r="O331" s="5" t="s">
        <v>506</v>
      </c>
      <c r="P331" s="5" t="s">
        <v>143</v>
      </c>
      <c r="Q331" s="5" t="s">
        <v>175</v>
      </c>
      <c r="S331" s="24">
        <v>1</v>
      </c>
      <c r="T331" s="24">
        <v>6</v>
      </c>
      <c r="U331" s="24">
        <v>2</v>
      </c>
      <c r="V331" s="24" t="str">
        <v>WILSON ALFANDO</v>
      </c>
      <c r="W331" s="24" t="str">
        <v>535220219</v>
      </c>
      <c r="X331" s="24" t="str">
        <v>Stupen</v>
      </c>
      <c r="Y331" s="24" t="str">
        <v>Dr. Ing. Agus Budi Dharmawan, S.Kom., MT, M.Sc.</v>
      </c>
    </row>
    <row r="332" spans="1:25" ht="44.1" customHeight="1" x14ac:dyDescent="0.2">
      <c r="A332" s="8">
        <v>5</v>
      </c>
      <c r="B332" s="8">
        <v>8</v>
      </c>
      <c r="C332" s="8">
        <v>0</v>
      </c>
      <c r="D332" s="3">
        <v>825220054</v>
      </c>
      <c r="E332" s="3" t="s">
        <v>142</v>
      </c>
      <c r="F332" t="s">
        <v>168</v>
      </c>
      <c r="G332" s="25" cm="1">
        <f t="array" ref="G332">IF(AND(A332:C332=S332:U332),IF((F332=Y332),1,0),999)</f>
        <v>999</v>
      </c>
      <c r="H332" s="24"/>
      <c r="K332" s="5">
        <v>2</v>
      </c>
      <c r="L332" s="5">
        <v>6</v>
      </c>
      <c r="M332" s="5">
        <v>2</v>
      </c>
      <c r="N332" s="5" t="s">
        <v>1217</v>
      </c>
      <c r="O332" s="5" t="s">
        <v>507</v>
      </c>
      <c r="P332" s="5" t="s">
        <v>143</v>
      </c>
      <c r="Q332" s="5" t="s">
        <v>175</v>
      </c>
      <c r="S332" s="24">
        <v>2</v>
      </c>
      <c r="T332" s="24">
        <v>6</v>
      </c>
      <c r="U332" s="24">
        <v>2</v>
      </c>
      <c r="V332" s="24" t="str">
        <v>BENEVITO KEVIN SEBASTIAN HARIANDJA</v>
      </c>
      <c r="W332" s="24" t="str">
        <v>535220222</v>
      </c>
      <c r="X332" s="24" t="str">
        <v>Stupen</v>
      </c>
      <c r="Y332" s="24" t="str">
        <v>Dr. Ing. Agus Budi Dharmawan, S.Kom., MT, M.Sc.</v>
      </c>
    </row>
    <row r="333" spans="1:25" ht="42.95" customHeight="1" x14ac:dyDescent="0.2">
      <c r="A333" s="8">
        <v>5</v>
      </c>
      <c r="B333" s="8">
        <v>8</v>
      </c>
      <c r="C333" s="8">
        <v>0</v>
      </c>
      <c r="D333" s="3">
        <v>825220129</v>
      </c>
      <c r="E333" s="3" t="s">
        <v>142</v>
      </c>
      <c r="F333" t="s">
        <v>168</v>
      </c>
      <c r="G333" s="25" cm="1">
        <f t="array" ref="G333">IF(AND(A333:C333=S333:U333),IF((F333=Y333),1,0),999)</f>
        <v>999</v>
      </c>
      <c r="H333" s="24"/>
      <c r="K333" s="5">
        <v>2</v>
      </c>
      <c r="L333" s="5">
        <v>6</v>
      </c>
      <c r="M333" s="5">
        <v>2</v>
      </c>
      <c r="N333" s="5" t="s">
        <v>1218</v>
      </c>
      <c r="O333" s="5" t="s">
        <v>508</v>
      </c>
      <c r="P333" s="5" t="s">
        <v>143</v>
      </c>
      <c r="Q333" s="5" t="s">
        <v>175</v>
      </c>
      <c r="S333" s="24">
        <v>2</v>
      </c>
      <c r="T333" s="24">
        <v>6</v>
      </c>
      <c r="U333" s="24">
        <v>2</v>
      </c>
      <c r="V333" s="24" t="str">
        <v>PARVEEN UZMA HABIDIN</v>
      </c>
      <c r="W333" s="24" t="str">
        <v>535220226</v>
      </c>
      <c r="X333" s="24" t="str">
        <v>Stupen</v>
      </c>
      <c r="Y333" s="24" t="str">
        <v>Dr. Ing. Agus Budi Dharmawan, S.Kom., MT, M.Sc.</v>
      </c>
    </row>
    <row r="334" spans="1:25" ht="44.1" customHeight="1" x14ac:dyDescent="0.2">
      <c r="A334" s="8">
        <v>5</v>
      </c>
      <c r="B334" s="8">
        <v>8</v>
      </c>
      <c r="C334" s="8">
        <v>0</v>
      </c>
      <c r="D334" s="3">
        <v>825220147</v>
      </c>
      <c r="E334" s="3" t="s">
        <v>142</v>
      </c>
      <c r="F334" t="s">
        <v>168</v>
      </c>
      <c r="G334" s="25" cm="1">
        <f t="array" ref="G334">IF(AND(A334:C334=S334:U334),IF((F334=Y334),1,0),999)</f>
        <v>999</v>
      </c>
      <c r="H334" s="24"/>
      <c r="K334" s="5">
        <v>2</v>
      </c>
      <c r="L334" s="5">
        <v>6</v>
      </c>
      <c r="M334" s="5">
        <v>2</v>
      </c>
      <c r="N334" s="5" t="s">
        <v>1219</v>
      </c>
      <c r="O334" s="5" t="s">
        <v>509</v>
      </c>
      <c r="P334" s="5" t="s">
        <v>143</v>
      </c>
      <c r="Q334" s="5" t="s">
        <v>175</v>
      </c>
      <c r="S334" s="24">
        <v>2</v>
      </c>
      <c r="T334" s="24">
        <v>6</v>
      </c>
      <c r="U334" s="24">
        <v>2</v>
      </c>
      <c r="V334" s="24" t="str">
        <v>ANGGA RIZKI RAMADHAN</v>
      </c>
      <c r="W334" s="24" t="str">
        <v>535220231</v>
      </c>
      <c r="X334" s="24" t="str">
        <v>Stupen</v>
      </c>
      <c r="Y334" s="24" t="str">
        <v>Dr. Ing. Agus Budi Dharmawan, S.Kom., MT, M.Sc.</v>
      </c>
    </row>
    <row r="335" spans="1:25" ht="42.95" customHeight="1" x14ac:dyDescent="0.2">
      <c r="A335" s="8">
        <v>5</v>
      </c>
      <c r="B335" s="8">
        <v>8</v>
      </c>
      <c r="C335" s="8">
        <v>0</v>
      </c>
      <c r="D335" s="3">
        <v>825220153</v>
      </c>
      <c r="E335" s="3" t="s">
        <v>142</v>
      </c>
      <c r="F335" t="s">
        <v>168</v>
      </c>
      <c r="G335" s="25" cm="1">
        <f t="array" ref="G335">IF(AND(A335:C335=S335:U335),IF((F335=Y335),1,0),999)</f>
        <v>999</v>
      </c>
      <c r="H335" s="24"/>
      <c r="K335" s="5">
        <v>3</v>
      </c>
      <c r="L335" s="5">
        <v>6</v>
      </c>
      <c r="M335" s="5">
        <v>0</v>
      </c>
      <c r="N335" s="5" t="s">
        <v>1220</v>
      </c>
      <c r="O335" s="5" t="s">
        <v>510</v>
      </c>
      <c r="P335" s="5" t="s">
        <v>146</v>
      </c>
      <c r="Q335" s="5" t="s">
        <v>173</v>
      </c>
      <c r="S335" s="24">
        <v>2</v>
      </c>
      <c r="T335" s="24">
        <v>6</v>
      </c>
      <c r="U335" s="24">
        <v>2</v>
      </c>
      <c r="V335" s="24" t="str">
        <v>JUVENTIA AGNECIA</v>
      </c>
      <c r="W335" s="24" t="str">
        <v>535220237</v>
      </c>
      <c r="X335" s="24" t="str">
        <v>Stupen</v>
      </c>
      <c r="Y335" s="24" t="str">
        <v>Dr. Ing. Agus Budi Dharmawan, S.Kom., MT, M.Sc.</v>
      </c>
    </row>
    <row r="336" spans="1:25" ht="44.1" customHeight="1" x14ac:dyDescent="0.2">
      <c r="A336" s="8">
        <v>5</v>
      </c>
      <c r="B336" s="8">
        <v>8</v>
      </c>
      <c r="C336" s="8">
        <v>0</v>
      </c>
      <c r="D336" s="3">
        <v>825220168</v>
      </c>
      <c r="E336" s="3" t="s">
        <v>142</v>
      </c>
      <c r="F336" s="28" t="s">
        <v>168</v>
      </c>
      <c r="G336" s="25" cm="1">
        <f t="array" ref="G336">IF(AND(A336:C336=S336:U336),IF((F336=Y336),1,0),999)</f>
        <v>999</v>
      </c>
      <c r="H336" s="24"/>
      <c r="K336" s="5">
        <v>3</v>
      </c>
      <c r="L336" s="5">
        <v>6</v>
      </c>
      <c r="M336" s="5">
        <v>0</v>
      </c>
      <c r="N336" s="5" t="s">
        <v>1221</v>
      </c>
      <c r="O336" s="5" t="s">
        <v>511</v>
      </c>
      <c r="P336" s="5" t="s">
        <v>142</v>
      </c>
      <c r="Q336" s="5" t="s">
        <v>174</v>
      </c>
      <c r="S336" s="24">
        <v>2</v>
      </c>
      <c r="T336" s="24">
        <v>6</v>
      </c>
      <c r="U336" s="24">
        <v>2</v>
      </c>
      <c r="V336" s="24" t="str">
        <v>KHANSA MARITZA AR-RAHMAH</v>
      </c>
      <c r="W336" s="24" t="str">
        <v>535220241</v>
      </c>
      <c r="X336" s="24" t="str">
        <v>Stupen</v>
      </c>
      <c r="Y336" s="24" t="str">
        <v>Dr. Ing. Agus Budi Dharmawan, S.Kom., MT, M.Sc.</v>
      </c>
    </row>
    <row r="337" spans="7:7" x14ac:dyDescent="0.2">
      <c r="G337" s="29"/>
    </row>
    <row r="338" spans="7:7" x14ac:dyDescent="0.2">
      <c r="G338" s="1"/>
    </row>
    <row r="339" spans="7:7" x14ac:dyDescent="0.2">
      <c r="G339" s="1"/>
    </row>
  </sheetData>
  <conditionalFormatting sqref="A1:A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:B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" priority="8" operator="equal">
      <formula>2</formula>
    </cfRule>
    <cfRule type="cellIs" dxfId="16" priority="9" operator="equal">
      <formula>1</formula>
    </cfRule>
    <cfRule type="cellIs" dxfId="15" priority="10" operator="equal">
      <formula>0</formula>
    </cfRule>
  </conditionalFormatting>
  <conditionalFormatting sqref="S1:S104857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:T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:U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" priority="11" operator="equal">
      <formula>2</formula>
    </cfRule>
    <cfRule type="cellIs" dxfId="13" priority="12" operator="equal">
      <formula>1</formula>
    </cfRule>
    <cfRule type="cellIs" dxfId="12" priority="13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86655-F4BF-4366-B265-C01157E4FA73}">
  <dimension ref="A1:AI339"/>
  <sheetViews>
    <sheetView tabSelected="1" topLeftCell="C1" zoomScaleNormal="100" workbookViewId="0">
      <pane ySplit="1" topLeftCell="A2" activePane="bottomLeft" state="frozen"/>
      <selection pane="bottomLeft" activeCell="J21" sqref="J21"/>
    </sheetView>
  </sheetViews>
  <sheetFormatPr defaultRowHeight="12.75" x14ac:dyDescent="0.2"/>
  <cols>
    <col min="1" max="1" width="4.6640625" customWidth="1"/>
    <col min="2" max="2" width="7.5" customWidth="1"/>
    <col min="3" max="3" width="12.6640625" customWidth="1"/>
    <col min="4" max="4" width="15.1640625" customWidth="1"/>
    <col min="5" max="5" width="12" bestFit="1" customWidth="1"/>
    <col min="6" max="6" width="20.33203125" customWidth="1"/>
    <col min="7" max="7" width="25.33203125" customWidth="1"/>
    <col min="8" max="8" width="25.33203125" style="35" customWidth="1"/>
    <col min="9" max="9" width="19.6640625" customWidth="1"/>
    <col min="11" max="16" width="0" style="5" hidden="1" customWidth="1"/>
    <col min="17" max="17" width="49.5" style="5" hidden="1" customWidth="1"/>
    <col min="18" max="18" width="18.6640625" customWidth="1"/>
    <col min="19" max="21" width="9.33203125" style="24"/>
    <col min="22" max="22" width="12.33203125" style="24" hidden="1" customWidth="1"/>
    <col min="23" max="23" width="9.33203125" style="24"/>
    <col min="24" max="24" width="18.33203125" style="24" customWidth="1"/>
    <col min="25" max="25" width="9.33203125" style="24"/>
    <col min="34" max="34" width="9.33203125" style="24"/>
    <col min="35" max="35" width="9.33203125" style="31"/>
  </cols>
  <sheetData>
    <row r="1" spans="1:35" x14ac:dyDescent="0.2">
      <c r="A1" t="s">
        <v>878</v>
      </c>
      <c r="B1" t="s">
        <v>879</v>
      </c>
      <c r="C1" t="s">
        <v>880</v>
      </c>
      <c r="D1" s="30" t="s">
        <v>176</v>
      </c>
      <c r="E1" t="s">
        <v>151</v>
      </c>
      <c r="F1" s="30" t="s">
        <v>152</v>
      </c>
      <c r="G1" s="27" t="s">
        <v>886</v>
      </c>
      <c r="I1" s="26" t="s">
        <v>885</v>
      </c>
      <c r="K1" s="5" t="s">
        <v>149</v>
      </c>
      <c r="L1" s="5" t="s">
        <v>148</v>
      </c>
      <c r="M1" s="5" t="s">
        <v>150</v>
      </c>
      <c r="N1" s="5" t="s">
        <v>887</v>
      </c>
      <c r="O1" s="5" t="s">
        <v>176</v>
      </c>
      <c r="P1" s="5" t="s">
        <v>151</v>
      </c>
      <c r="Q1" s="5" t="s">
        <v>152</v>
      </c>
      <c r="R1" s="26" t="s">
        <v>1222</v>
      </c>
      <c r="S1" s="24" t="s">
        <v>149</v>
      </c>
      <c r="T1" s="24" t="s">
        <v>148</v>
      </c>
      <c r="U1" s="24" t="s">
        <v>150</v>
      </c>
      <c r="W1" s="24" t="s">
        <v>176</v>
      </c>
      <c r="X1" s="24" t="s">
        <v>151</v>
      </c>
      <c r="Y1" s="24" t="s">
        <v>152</v>
      </c>
      <c r="AE1" t="s">
        <v>1223</v>
      </c>
      <c r="AF1" t="s">
        <v>1224</v>
      </c>
      <c r="AG1" t="s">
        <v>1225</v>
      </c>
      <c r="AH1" s="24" t="s">
        <v>1226</v>
      </c>
      <c r="AI1" s="31" t="s">
        <v>1227</v>
      </c>
    </row>
    <row r="2" spans="1:35" ht="15" x14ac:dyDescent="0.2">
      <c r="A2" s="8">
        <v>0</v>
      </c>
      <c r="B2" s="8">
        <v>0</v>
      </c>
      <c r="C2" s="8">
        <v>0</v>
      </c>
      <c r="D2" s="3">
        <v>825220024</v>
      </c>
      <c r="E2" s="3" t="s">
        <v>142</v>
      </c>
      <c r="F2" t="s">
        <v>160</v>
      </c>
      <c r="G2" s="25" cm="1">
        <f t="array" ref="G2">IF(AND(A2:C2=S2:U2),IF((F2=Y2),1,0),999)</f>
        <v>0</v>
      </c>
      <c r="K2" s="5">
        <v>0</v>
      </c>
      <c r="L2" s="5">
        <v>0</v>
      </c>
      <c r="M2" s="5">
        <v>0</v>
      </c>
      <c r="N2" s="5" t="s">
        <v>888</v>
      </c>
      <c r="O2" s="5" t="s">
        <v>177</v>
      </c>
      <c r="P2" s="5" t="s">
        <v>142</v>
      </c>
      <c r="Q2" s="5" t="s">
        <v>153</v>
      </c>
      <c r="S2" s="24" cm="1">
        <f t="array" ref="S2:Y336">_xlfn._xlws.SORT(K2:Q336,{2,3,1},{1,1,1})</f>
        <v>0</v>
      </c>
      <c r="T2" s="24">
        <v>0</v>
      </c>
      <c r="U2" s="24">
        <v>0</v>
      </c>
      <c r="V2" s="24" t="str">
        <v>JONATHAN FERDINAND</v>
      </c>
      <c r="W2" s="24" t="str">
        <v>825220046</v>
      </c>
      <c r="X2" s="24" t="str">
        <v>Magang</v>
      </c>
      <c r="Y2" s="24" t="str">
        <v>Dra. Ery Dewayani, MMSI</v>
      </c>
      <c r="AE2">
        <v>0</v>
      </c>
      <c r="AF2">
        <v>0</v>
      </c>
      <c r="AG2">
        <v>0</v>
      </c>
      <c r="AH2" s="25">
        <f t="shared" ref="AH2:AH22" si="0">COUNTIFS(A:A,AG2,B:B,AE2,C:C,AF2)</f>
        <v>5</v>
      </c>
      <c r="AI2" s="32">
        <f t="shared" ref="AI2:AI22" si="1">COUNTIFS(S:S,AG2,T:T,AE2,U:U,AF2)</f>
        <v>5</v>
      </c>
    </row>
    <row r="3" spans="1:35" ht="15" x14ac:dyDescent="0.2">
      <c r="A3" s="8">
        <v>0</v>
      </c>
      <c r="B3" s="8">
        <v>0</v>
      </c>
      <c r="C3" s="8">
        <v>0</v>
      </c>
      <c r="D3" s="3">
        <v>825220040</v>
      </c>
      <c r="E3" s="3" t="s">
        <v>142</v>
      </c>
      <c r="F3" t="s">
        <v>160</v>
      </c>
      <c r="G3" s="25" cm="1">
        <f t="array" ref="G3">IF(AND(A3:C3=S3:U3),IF((F3=Y3),1,0),999)</f>
        <v>0</v>
      </c>
      <c r="K3" s="5">
        <v>0</v>
      </c>
      <c r="L3" s="5">
        <v>0</v>
      </c>
      <c r="M3" s="5">
        <v>0</v>
      </c>
      <c r="N3" s="5" t="s">
        <v>889</v>
      </c>
      <c r="O3" s="5" t="s">
        <v>178</v>
      </c>
      <c r="P3" s="5" t="s">
        <v>142</v>
      </c>
      <c r="Q3" s="5" t="s">
        <v>153</v>
      </c>
      <c r="S3" s="24">
        <v>0</v>
      </c>
      <c r="T3" s="24">
        <v>0</v>
      </c>
      <c r="U3" s="24">
        <v>0</v>
      </c>
      <c r="V3" s="24" t="str">
        <v>JUSTIN BRUNELT LAUWDE</v>
      </c>
      <c r="W3" s="24" t="str">
        <v>825220048</v>
      </c>
      <c r="X3" s="24" t="str">
        <v>Magang</v>
      </c>
      <c r="Y3" s="24" t="str">
        <v>Dra. Ery Dewayani, MMSI</v>
      </c>
      <c r="AE3">
        <v>0</v>
      </c>
      <c r="AF3">
        <v>0</v>
      </c>
      <c r="AG3">
        <v>1</v>
      </c>
      <c r="AH3" s="25">
        <f t="shared" si="0"/>
        <v>5</v>
      </c>
      <c r="AI3" s="32">
        <f t="shared" si="1"/>
        <v>5</v>
      </c>
    </row>
    <row r="4" spans="1:35" ht="15" x14ac:dyDescent="0.2">
      <c r="A4" s="8">
        <v>0</v>
      </c>
      <c r="B4" s="8">
        <v>0</v>
      </c>
      <c r="C4" s="8">
        <v>0</v>
      </c>
      <c r="D4" s="3">
        <v>825220045</v>
      </c>
      <c r="E4" s="3" t="s">
        <v>142</v>
      </c>
      <c r="F4" t="s">
        <v>160</v>
      </c>
      <c r="G4" s="25" cm="1">
        <f t="array" ref="G4">IF(AND(A4:C4=S4:U4),IF((F4=Y4),1,0),999)</f>
        <v>0</v>
      </c>
      <c r="K4" s="5">
        <v>0</v>
      </c>
      <c r="L4" s="5">
        <v>0</v>
      </c>
      <c r="M4" s="5">
        <v>0</v>
      </c>
      <c r="N4" s="5" t="s">
        <v>890</v>
      </c>
      <c r="O4" s="5" t="s">
        <v>179</v>
      </c>
      <c r="P4" s="5" t="s">
        <v>142</v>
      </c>
      <c r="Q4" s="5" t="s">
        <v>153</v>
      </c>
      <c r="S4" s="24">
        <v>0</v>
      </c>
      <c r="T4" s="24">
        <v>0</v>
      </c>
      <c r="U4" s="24">
        <v>0</v>
      </c>
      <c r="V4" s="24" t="str">
        <v>IE CHEN</v>
      </c>
      <c r="W4" s="24" t="str">
        <v>825220057</v>
      </c>
      <c r="X4" s="24" t="str">
        <v>Magang</v>
      </c>
      <c r="Y4" s="24" t="str">
        <v>Dra. Ery Dewayani, MMSI</v>
      </c>
      <c r="AE4">
        <v>0</v>
      </c>
      <c r="AF4">
        <v>0</v>
      </c>
      <c r="AG4">
        <v>2</v>
      </c>
      <c r="AH4" s="25">
        <f t="shared" si="0"/>
        <v>5</v>
      </c>
      <c r="AI4" s="32">
        <f t="shared" si="1"/>
        <v>5</v>
      </c>
    </row>
    <row r="5" spans="1:35" ht="15" x14ac:dyDescent="0.2">
      <c r="A5" s="8">
        <v>0</v>
      </c>
      <c r="B5" s="8">
        <v>0</v>
      </c>
      <c r="C5" s="8">
        <v>0</v>
      </c>
      <c r="D5" s="3">
        <v>825220049</v>
      </c>
      <c r="E5" s="3" t="s">
        <v>142</v>
      </c>
      <c r="F5" t="s">
        <v>160</v>
      </c>
      <c r="G5" s="25" cm="1">
        <f t="array" ref="G5">IF(AND(A5:C5=S5:U5),IF((F5=Y5),1,0),999)</f>
        <v>0</v>
      </c>
      <c r="K5" s="5">
        <v>0</v>
      </c>
      <c r="L5" s="5">
        <v>0</v>
      </c>
      <c r="M5" s="5">
        <v>0</v>
      </c>
      <c r="N5" s="5" t="s">
        <v>891</v>
      </c>
      <c r="O5" s="5" t="s">
        <v>180</v>
      </c>
      <c r="P5" s="5" t="s">
        <v>142</v>
      </c>
      <c r="Q5" s="5" t="s">
        <v>153</v>
      </c>
      <c r="S5" s="24">
        <v>0</v>
      </c>
      <c r="T5" s="24">
        <v>0</v>
      </c>
      <c r="U5" s="24">
        <v>0</v>
      </c>
      <c r="V5" s="24" t="str">
        <v>VANESSA</v>
      </c>
      <c r="W5" s="24" t="str">
        <v>825220060</v>
      </c>
      <c r="X5" s="24" t="str">
        <v>Magang</v>
      </c>
      <c r="Y5" s="24" t="str">
        <v>Dra. Ery Dewayani, MMSI</v>
      </c>
      <c r="AE5">
        <v>0</v>
      </c>
      <c r="AF5">
        <v>0</v>
      </c>
      <c r="AG5">
        <v>3</v>
      </c>
      <c r="AH5" s="25">
        <f t="shared" si="0"/>
        <v>5</v>
      </c>
      <c r="AI5" s="32">
        <f t="shared" si="1"/>
        <v>5</v>
      </c>
    </row>
    <row r="6" spans="1:35" ht="15" x14ac:dyDescent="0.2">
      <c r="A6" s="8">
        <v>0</v>
      </c>
      <c r="B6" s="8">
        <v>0</v>
      </c>
      <c r="C6" s="8">
        <v>0</v>
      </c>
      <c r="D6" s="3">
        <v>825220055</v>
      </c>
      <c r="E6" s="3" t="s">
        <v>142</v>
      </c>
      <c r="F6" t="s">
        <v>160</v>
      </c>
      <c r="G6" s="25" cm="1">
        <f t="array" ref="G6">IF(AND(A6:C6=S6:U6),IF((F6=Y6),1,0),999)</f>
        <v>0</v>
      </c>
      <c r="K6" s="5">
        <v>0</v>
      </c>
      <c r="L6" s="5">
        <v>0</v>
      </c>
      <c r="M6" s="5">
        <v>0</v>
      </c>
      <c r="N6" s="5" t="s">
        <v>892</v>
      </c>
      <c r="O6" s="5" t="s">
        <v>181</v>
      </c>
      <c r="P6" s="5" t="s">
        <v>142</v>
      </c>
      <c r="Q6" s="5" t="s">
        <v>153</v>
      </c>
      <c r="S6" s="24">
        <v>0</v>
      </c>
      <c r="T6" s="24">
        <v>0</v>
      </c>
      <c r="U6" s="24">
        <v>0</v>
      </c>
      <c r="V6" s="24" t="str">
        <v>HANSEN CHRISTIAN LIE</v>
      </c>
      <c r="W6" s="24" t="str">
        <v>825220061</v>
      </c>
      <c r="X6" s="24" t="str">
        <v>Magang</v>
      </c>
      <c r="Y6" s="24" t="str">
        <v>Dra. Ery Dewayani, MMSI</v>
      </c>
      <c r="AE6">
        <v>0</v>
      </c>
      <c r="AF6">
        <v>0</v>
      </c>
      <c r="AG6">
        <v>4</v>
      </c>
      <c r="AH6" s="25">
        <f t="shared" si="0"/>
        <v>5</v>
      </c>
      <c r="AI6" s="32">
        <f t="shared" si="1"/>
        <v>5</v>
      </c>
    </row>
    <row r="7" spans="1:35" ht="15" x14ac:dyDescent="0.2">
      <c r="A7" s="8">
        <v>1</v>
      </c>
      <c r="B7" s="8">
        <v>0</v>
      </c>
      <c r="C7" s="8">
        <v>0</v>
      </c>
      <c r="D7" s="3">
        <v>825220089</v>
      </c>
      <c r="E7" s="3" t="s">
        <v>142</v>
      </c>
      <c r="F7" t="s">
        <v>160</v>
      </c>
      <c r="G7" s="25" cm="1">
        <f t="array" ref="G7">IF(AND(A7:C7=S7:U7),IF((F7=Y7),1,0),999)</f>
        <v>0</v>
      </c>
      <c r="K7" s="5">
        <v>0</v>
      </c>
      <c r="L7" s="5">
        <v>0</v>
      </c>
      <c r="M7" s="5">
        <v>1</v>
      </c>
      <c r="N7" s="5" t="s">
        <v>893</v>
      </c>
      <c r="O7" s="5" t="s">
        <v>182</v>
      </c>
      <c r="P7" s="5" t="s">
        <v>142</v>
      </c>
      <c r="Q7" s="5" t="s">
        <v>154</v>
      </c>
      <c r="S7" s="24">
        <v>1</v>
      </c>
      <c r="T7" s="24">
        <v>0</v>
      </c>
      <c r="U7" s="24">
        <v>0</v>
      </c>
      <c r="V7" s="24" t="str">
        <v>JESSICA WIDODO</v>
      </c>
      <c r="W7" s="24" t="str">
        <v>825220064</v>
      </c>
      <c r="X7" s="24" t="str">
        <v>Magang</v>
      </c>
      <c r="Y7" s="24" t="str">
        <v>Dra. Ery Dewayani, MMSI</v>
      </c>
      <c r="AE7">
        <v>0</v>
      </c>
      <c r="AF7">
        <v>0</v>
      </c>
      <c r="AG7">
        <v>5</v>
      </c>
      <c r="AH7" s="25">
        <f t="shared" si="0"/>
        <v>5</v>
      </c>
      <c r="AI7" s="32">
        <f t="shared" si="1"/>
        <v>5</v>
      </c>
    </row>
    <row r="8" spans="1:35" ht="15" x14ac:dyDescent="0.2">
      <c r="A8" s="8">
        <v>1</v>
      </c>
      <c r="B8" s="8">
        <v>0</v>
      </c>
      <c r="C8" s="8">
        <v>0</v>
      </c>
      <c r="D8" s="4">
        <v>825220132</v>
      </c>
      <c r="E8" s="3" t="s">
        <v>142</v>
      </c>
      <c r="F8" t="s">
        <v>160</v>
      </c>
      <c r="G8" s="25" cm="1">
        <f t="array" ref="G8">IF(AND(A8:C8=S8:U8),IF((F8=Y8),1,0),999)</f>
        <v>0</v>
      </c>
      <c r="K8" s="5">
        <v>0</v>
      </c>
      <c r="L8" s="5">
        <v>0</v>
      </c>
      <c r="M8" s="5">
        <v>1</v>
      </c>
      <c r="N8" s="5" t="s">
        <v>894</v>
      </c>
      <c r="O8" s="5" t="s">
        <v>183</v>
      </c>
      <c r="P8" s="5" t="s">
        <v>142</v>
      </c>
      <c r="Q8" s="5" t="s">
        <v>154</v>
      </c>
      <c r="S8" s="24">
        <v>1</v>
      </c>
      <c r="T8" s="24">
        <v>0</v>
      </c>
      <c r="U8" s="24">
        <v>0</v>
      </c>
      <c r="V8" s="24" t="str">
        <v>PAMELA METTA OKTAVIANA</v>
      </c>
      <c r="W8" s="24" t="str">
        <v>825220068</v>
      </c>
      <c r="X8" s="24" t="str">
        <v>Magang</v>
      </c>
      <c r="Y8" s="24" t="str">
        <v>Dra. Ery Dewayani, MMSI</v>
      </c>
      <c r="AE8">
        <v>0</v>
      </c>
      <c r="AF8">
        <v>0</v>
      </c>
      <c r="AG8">
        <v>6</v>
      </c>
      <c r="AH8" s="25">
        <f t="shared" si="0"/>
        <v>5</v>
      </c>
      <c r="AI8" s="32">
        <f t="shared" si="1"/>
        <v>5</v>
      </c>
    </row>
    <row r="9" spans="1:35" ht="15" x14ac:dyDescent="0.2">
      <c r="A9" s="8">
        <v>1</v>
      </c>
      <c r="B9" s="8">
        <v>0</v>
      </c>
      <c r="C9" s="8">
        <v>0</v>
      </c>
      <c r="D9" s="3">
        <v>825220151</v>
      </c>
      <c r="E9" s="3" t="s">
        <v>142</v>
      </c>
      <c r="F9" t="s">
        <v>160</v>
      </c>
      <c r="G9" s="25" cm="1">
        <f t="array" ref="G9">IF(AND(A9:C9=S9:U9),IF((F9=Y9),1,0),999)</f>
        <v>0</v>
      </c>
      <c r="K9" s="5">
        <v>0</v>
      </c>
      <c r="L9" s="5">
        <v>0</v>
      </c>
      <c r="M9" s="5">
        <v>1</v>
      </c>
      <c r="N9" s="5" t="s">
        <v>895</v>
      </c>
      <c r="O9" s="5" t="s">
        <v>184</v>
      </c>
      <c r="P9" s="5" t="s">
        <v>142</v>
      </c>
      <c r="Q9" s="5" t="s">
        <v>154</v>
      </c>
      <c r="S9" s="24">
        <v>1</v>
      </c>
      <c r="T9" s="24">
        <v>0</v>
      </c>
      <c r="U9" s="24">
        <v>0</v>
      </c>
      <c r="V9" s="24" t="str">
        <v>MICHAEL TRISTAN PRAMONO</v>
      </c>
      <c r="W9" s="24" t="str">
        <v>825220071</v>
      </c>
      <c r="X9" s="24" t="str">
        <v>Magang</v>
      </c>
      <c r="Y9" s="24" t="str">
        <v>Dra. Ery Dewayani, MMSI</v>
      </c>
      <c r="AE9">
        <v>0</v>
      </c>
      <c r="AF9">
        <v>1</v>
      </c>
      <c r="AG9">
        <v>0</v>
      </c>
      <c r="AH9" s="25">
        <f t="shared" si="0"/>
        <v>0</v>
      </c>
      <c r="AI9" s="32">
        <f t="shared" si="1"/>
        <v>5</v>
      </c>
    </row>
    <row r="10" spans="1:35" ht="15" x14ac:dyDescent="0.2">
      <c r="A10" s="8">
        <v>1</v>
      </c>
      <c r="B10" s="8">
        <v>0</v>
      </c>
      <c r="C10" s="8">
        <v>0</v>
      </c>
      <c r="D10" s="3">
        <v>825220154</v>
      </c>
      <c r="E10" s="3" t="s">
        <v>142</v>
      </c>
      <c r="F10" t="s">
        <v>160</v>
      </c>
      <c r="G10" s="25" cm="1">
        <f t="array" ref="G10">IF(AND(A10:C10=S10:U10),IF((F10=Y10),1,0),999)</f>
        <v>0</v>
      </c>
      <c r="K10" s="5">
        <v>0</v>
      </c>
      <c r="L10" s="5">
        <v>0</v>
      </c>
      <c r="M10" s="5">
        <v>1</v>
      </c>
      <c r="N10" s="5" t="s">
        <v>896</v>
      </c>
      <c r="O10" s="5" t="s">
        <v>185</v>
      </c>
      <c r="P10" s="5" t="s">
        <v>142</v>
      </c>
      <c r="Q10" s="5" t="s">
        <v>154</v>
      </c>
      <c r="S10" s="24">
        <v>1</v>
      </c>
      <c r="T10" s="24">
        <v>0</v>
      </c>
      <c r="U10" s="24">
        <v>0</v>
      </c>
      <c r="V10" s="24" t="str">
        <v>RAFAEL DAVRIO SUTHYA</v>
      </c>
      <c r="W10" s="24" t="str">
        <v>825220072</v>
      </c>
      <c r="X10" s="24" t="str">
        <v>Magang</v>
      </c>
      <c r="Y10" s="24" t="str">
        <v>Dra. Ery Dewayani, MMSI</v>
      </c>
      <c r="AE10">
        <v>0</v>
      </c>
      <c r="AF10">
        <v>1</v>
      </c>
      <c r="AG10">
        <v>1</v>
      </c>
      <c r="AH10" s="25">
        <f t="shared" si="0"/>
        <v>0</v>
      </c>
      <c r="AI10" s="32">
        <f t="shared" si="1"/>
        <v>5</v>
      </c>
    </row>
    <row r="11" spans="1:35" ht="15" x14ac:dyDescent="0.2">
      <c r="A11" s="8">
        <v>1</v>
      </c>
      <c r="B11" s="8">
        <v>0</v>
      </c>
      <c r="C11" s="8">
        <v>0</v>
      </c>
      <c r="D11" s="3">
        <v>825220046</v>
      </c>
      <c r="E11" s="3" t="s">
        <v>142</v>
      </c>
      <c r="F11" t="s">
        <v>153</v>
      </c>
      <c r="G11" s="25" cm="1">
        <f t="array" ref="G11">IF(AND(A11:C11=S11:U11),IF((F11=Y11),1,0),999)</f>
        <v>1</v>
      </c>
      <c r="K11" s="5">
        <v>0</v>
      </c>
      <c r="L11" s="5">
        <v>0</v>
      </c>
      <c r="M11" s="5">
        <v>1</v>
      </c>
      <c r="N11" s="5" t="s">
        <v>897</v>
      </c>
      <c r="O11" s="5" t="s">
        <v>186</v>
      </c>
      <c r="P11" s="5" t="s">
        <v>142</v>
      </c>
      <c r="Q11" s="5" t="s">
        <v>154</v>
      </c>
      <c r="S11" s="24">
        <v>1</v>
      </c>
      <c r="T11" s="24">
        <v>0</v>
      </c>
      <c r="U11" s="24">
        <v>0</v>
      </c>
      <c r="V11" s="24" t="str">
        <v>JOHANES NICHOLAS VIERY</v>
      </c>
      <c r="W11" s="24" t="str">
        <v>825220073</v>
      </c>
      <c r="X11" s="24" t="str">
        <v>Magang</v>
      </c>
      <c r="Y11" s="24" t="str">
        <v>Dra. Ery Dewayani, MMSI</v>
      </c>
      <c r="AE11">
        <v>0</v>
      </c>
      <c r="AF11">
        <v>1</v>
      </c>
      <c r="AG11">
        <v>2</v>
      </c>
      <c r="AH11" s="25">
        <f t="shared" si="0"/>
        <v>0</v>
      </c>
      <c r="AI11" s="32">
        <f t="shared" si="1"/>
        <v>5</v>
      </c>
    </row>
    <row r="12" spans="1:35" ht="15" x14ac:dyDescent="0.2">
      <c r="A12" s="8">
        <v>2</v>
      </c>
      <c r="B12" s="8">
        <v>0</v>
      </c>
      <c r="C12" s="8">
        <v>0</v>
      </c>
      <c r="D12" s="3">
        <v>825220048</v>
      </c>
      <c r="E12" s="3" t="s">
        <v>142</v>
      </c>
      <c r="F12" t="s">
        <v>153</v>
      </c>
      <c r="G12" s="25" cm="1">
        <f t="array" ref="G12">IF(AND(A12:C12=S12:U12),IF((F12=Y12),1,0),999)</f>
        <v>1</v>
      </c>
      <c r="K12" s="5">
        <v>0</v>
      </c>
      <c r="L12" s="5">
        <v>0</v>
      </c>
      <c r="M12" s="5">
        <v>2</v>
      </c>
      <c r="N12" s="5" t="s">
        <v>898</v>
      </c>
      <c r="O12" s="5" t="s">
        <v>187</v>
      </c>
      <c r="P12" s="5" t="s">
        <v>142</v>
      </c>
      <c r="Q12" s="5" t="s">
        <v>155</v>
      </c>
      <c r="S12" s="24">
        <v>2</v>
      </c>
      <c r="T12" s="24">
        <v>0</v>
      </c>
      <c r="U12" s="24">
        <v>0</v>
      </c>
      <c r="V12" s="24" t="str">
        <v xml:space="preserve">NICO SUWANTO </v>
      </c>
      <c r="W12" s="24" t="str">
        <v>825220074</v>
      </c>
      <c r="X12" s="24" t="str">
        <v>Magang</v>
      </c>
      <c r="Y12" s="24" t="str">
        <v>Dra. Ery Dewayani, MMSI</v>
      </c>
      <c r="AE12">
        <v>0</v>
      </c>
      <c r="AF12">
        <v>1</v>
      </c>
      <c r="AG12">
        <v>3</v>
      </c>
      <c r="AH12" s="25">
        <f t="shared" si="0"/>
        <v>0</v>
      </c>
      <c r="AI12" s="32">
        <f t="shared" si="1"/>
        <v>5</v>
      </c>
    </row>
    <row r="13" spans="1:35" ht="15" x14ac:dyDescent="0.2">
      <c r="A13" s="8">
        <v>2</v>
      </c>
      <c r="B13" s="8">
        <v>0</v>
      </c>
      <c r="C13" s="8">
        <v>0</v>
      </c>
      <c r="D13" s="3">
        <v>825220057</v>
      </c>
      <c r="E13" s="3" t="s">
        <v>142</v>
      </c>
      <c r="F13" t="s">
        <v>153</v>
      </c>
      <c r="G13" s="25" cm="1">
        <f t="array" ref="G13">IF(AND(A13:C13=S13:U13),IF((F13=Y13),1,0),999)</f>
        <v>1</v>
      </c>
      <c r="K13" s="5">
        <v>0</v>
      </c>
      <c r="L13" s="5">
        <v>0</v>
      </c>
      <c r="M13" s="5">
        <v>2</v>
      </c>
      <c r="N13" s="5" t="s">
        <v>899</v>
      </c>
      <c r="O13" s="5" t="s">
        <v>188</v>
      </c>
      <c r="P13" s="5" t="s">
        <v>142</v>
      </c>
      <c r="Q13" s="5" t="s">
        <v>155</v>
      </c>
      <c r="S13" s="24">
        <v>2</v>
      </c>
      <c r="T13" s="24">
        <v>0</v>
      </c>
      <c r="U13" s="24">
        <v>0</v>
      </c>
      <c r="V13" s="24" t="str">
        <v>JONATHAN LUCAS PAKPAHAN</v>
      </c>
      <c r="W13" s="24" t="str">
        <v>825220159</v>
      </c>
      <c r="X13" s="24" t="str">
        <v>Magang</v>
      </c>
      <c r="Y13" s="24" t="str">
        <v>Dra. Ery Dewayani, MMSI</v>
      </c>
      <c r="AE13">
        <v>0</v>
      </c>
      <c r="AF13">
        <v>1</v>
      </c>
      <c r="AG13">
        <v>4</v>
      </c>
      <c r="AH13" s="25">
        <f t="shared" si="0"/>
        <v>0</v>
      </c>
      <c r="AI13" s="32">
        <f t="shared" si="1"/>
        <v>5</v>
      </c>
    </row>
    <row r="14" spans="1:35" ht="15" x14ac:dyDescent="0.2">
      <c r="A14" s="8">
        <v>2</v>
      </c>
      <c r="B14" s="8">
        <v>0</v>
      </c>
      <c r="C14" s="8">
        <v>0</v>
      </c>
      <c r="D14" s="3">
        <v>825220060</v>
      </c>
      <c r="E14" s="3" t="s">
        <v>142</v>
      </c>
      <c r="F14" t="s">
        <v>153</v>
      </c>
      <c r="G14" s="25" cm="1">
        <f t="array" ref="G14">IF(AND(A14:C14=S14:U14),IF((F14=Y14),1,0),999)</f>
        <v>1</v>
      </c>
      <c r="K14" s="5">
        <v>0</v>
      </c>
      <c r="L14" s="5">
        <v>0</v>
      </c>
      <c r="M14" s="5">
        <v>2</v>
      </c>
      <c r="N14" s="5" t="s">
        <v>900</v>
      </c>
      <c r="O14" s="5" t="s">
        <v>189</v>
      </c>
      <c r="P14" s="5" t="s">
        <v>142</v>
      </c>
      <c r="Q14" s="5" t="s">
        <v>155</v>
      </c>
      <c r="S14" s="24">
        <v>2</v>
      </c>
      <c r="T14" s="24">
        <v>0</v>
      </c>
      <c r="U14" s="24">
        <v>0</v>
      </c>
      <c r="V14" s="24" t="str">
        <v>GRASYA B LAMPALA L MUNTHE</v>
      </c>
      <c r="W14" s="24" t="str">
        <v>825220160</v>
      </c>
      <c r="X14" s="24" t="str">
        <v>Magang</v>
      </c>
      <c r="Y14" s="24" t="str">
        <v>Dra. Ery Dewayani, MMSI</v>
      </c>
      <c r="AE14">
        <v>0</v>
      </c>
      <c r="AF14">
        <v>1</v>
      </c>
      <c r="AG14">
        <v>5</v>
      </c>
      <c r="AH14" s="25">
        <f t="shared" si="0"/>
        <v>0</v>
      </c>
      <c r="AI14" s="32">
        <f t="shared" si="1"/>
        <v>5</v>
      </c>
    </row>
    <row r="15" spans="1:35" ht="15" x14ac:dyDescent="0.2">
      <c r="A15" s="8">
        <v>2</v>
      </c>
      <c r="B15" s="8">
        <v>0</v>
      </c>
      <c r="C15" s="8">
        <v>0</v>
      </c>
      <c r="D15" s="3">
        <v>825220061</v>
      </c>
      <c r="E15" s="3" t="s">
        <v>142</v>
      </c>
      <c r="F15" t="s">
        <v>153</v>
      </c>
      <c r="G15" s="25" cm="1">
        <f t="array" ref="G15">IF(AND(A15:C15=S15:U15),IF((F15=Y15),1,0),999)</f>
        <v>1</v>
      </c>
      <c r="K15" s="5">
        <v>0</v>
      </c>
      <c r="L15" s="5">
        <v>0</v>
      </c>
      <c r="M15" s="5">
        <v>2</v>
      </c>
      <c r="N15" s="5" t="s">
        <v>901</v>
      </c>
      <c r="O15" s="5" t="s">
        <v>190</v>
      </c>
      <c r="P15" s="5" t="s">
        <v>142</v>
      </c>
      <c r="Q15" s="5" t="s">
        <v>155</v>
      </c>
      <c r="S15" s="24">
        <v>2</v>
      </c>
      <c r="T15" s="24">
        <v>0</v>
      </c>
      <c r="U15" s="24">
        <v>0</v>
      </c>
      <c r="V15" s="24" t="str">
        <v>GRACE APRILIANI PUTERI SANTOSO</v>
      </c>
      <c r="W15" s="24" t="str">
        <v>825220161</v>
      </c>
      <c r="X15" s="24" t="str">
        <v>Magang</v>
      </c>
      <c r="Y15" s="24" t="str">
        <v>Dra. Ery Dewayani, MMSI</v>
      </c>
      <c r="AE15">
        <v>0</v>
      </c>
      <c r="AF15">
        <v>1</v>
      </c>
      <c r="AG15">
        <v>6</v>
      </c>
      <c r="AH15" s="25">
        <f t="shared" si="0"/>
        <v>0</v>
      </c>
      <c r="AI15" s="32">
        <f t="shared" si="1"/>
        <v>5</v>
      </c>
    </row>
    <row r="16" spans="1:35" ht="15" x14ac:dyDescent="0.2">
      <c r="A16" s="8">
        <v>2</v>
      </c>
      <c r="B16" s="8">
        <v>0</v>
      </c>
      <c r="C16" s="8">
        <v>0</v>
      </c>
      <c r="D16" s="3">
        <v>825220064</v>
      </c>
      <c r="E16" s="3" t="s">
        <v>142</v>
      </c>
      <c r="F16" t="s">
        <v>153</v>
      </c>
      <c r="G16" s="25" cm="1">
        <f t="array" ref="G16">IF(AND(A16:C16=S16:U16),IF((F16=Y16),1,0),999)</f>
        <v>1</v>
      </c>
      <c r="K16" s="5">
        <v>0</v>
      </c>
      <c r="L16" s="5">
        <v>0</v>
      </c>
      <c r="M16" s="5">
        <v>2</v>
      </c>
      <c r="N16" s="5" t="s">
        <v>902</v>
      </c>
      <c r="O16" s="5" t="s">
        <v>191</v>
      </c>
      <c r="P16" s="5" t="s">
        <v>142</v>
      </c>
      <c r="Q16" s="5" t="s">
        <v>155</v>
      </c>
      <c r="S16" s="24">
        <v>2</v>
      </c>
      <c r="T16" s="24">
        <v>0</v>
      </c>
      <c r="U16" s="24">
        <v>0</v>
      </c>
      <c r="V16" s="24" t="str">
        <v>DEA AULIYA RAHMAWATI</v>
      </c>
      <c r="W16" s="24" t="str">
        <v>825220163</v>
      </c>
      <c r="X16" s="24" t="str">
        <v>Magang</v>
      </c>
      <c r="Y16" s="24" t="str">
        <v>Dra. Ery Dewayani, MMSI</v>
      </c>
      <c r="AE16">
        <v>0</v>
      </c>
      <c r="AF16">
        <v>2</v>
      </c>
      <c r="AG16">
        <v>0</v>
      </c>
      <c r="AH16" s="25">
        <f t="shared" si="0"/>
        <v>0</v>
      </c>
      <c r="AI16" s="32">
        <f t="shared" si="1"/>
        <v>5</v>
      </c>
    </row>
    <row r="17" spans="1:35" ht="15" x14ac:dyDescent="0.2">
      <c r="A17" s="8">
        <v>3</v>
      </c>
      <c r="B17" s="8">
        <v>0</v>
      </c>
      <c r="C17" s="8">
        <v>0</v>
      </c>
      <c r="D17" s="3">
        <v>825220012</v>
      </c>
      <c r="E17" s="3" t="s">
        <v>142</v>
      </c>
      <c r="F17" t="s">
        <v>155</v>
      </c>
      <c r="G17" s="25" cm="1">
        <f t="array" ref="G17">IF(AND(A17:C17=S17:U17),IF((F17=Y17),1,0),999)</f>
        <v>0</v>
      </c>
      <c r="K17" s="5">
        <v>1</v>
      </c>
      <c r="L17" s="5">
        <v>0</v>
      </c>
      <c r="M17" s="5">
        <v>0</v>
      </c>
      <c r="N17" s="5" t="s">
        <v>903</v>
      </c>
      <c r="O17" s="5" t="s">
        <v>192</v>
      </c>
      <c r="P17" s="5" t="s">
        <v>142</v>
      </c>
      <c r="Q17" s="5" t="s">
        <v>153</v>
      </c>
      <c r="S17" s="24">
        <v>3</v>
      </c>
      <c r="T17" s="24">
        <v>0</v>
      </c>
      <c r="U17" s="24">
        <v>0</v>
      </c>
      <c r="V17" s="24" t="str">
        <v>MUHAMMAD DAFFA AL HAKIM</v>
      </c>
      <c r="W17" s="24" t="str">
        <v>825220164</v>
      </c>
      <c r="X17" s="24" t="str">
        <v>Magang</v>
      </c>
      <c r="Y17" s="24" t="str">
        <v>Dra. Ery Dewayani, MMSI</v>
      </c>
      <c r="AE17">
        <v>0</v>
      </c>
      <c r="AF17">
        <v>2</v>
      </c>
      <c r="AG17">
        <v>1</v>
      </c>
      <c r="AH17" s="25">
        <f t="shared" si="0"/>
        <v>0</v>
      </c>
      <c r="AI17" s="32">
        <f t="shared" si="1"/>
        <v>5</v>
      </c>
    </row>
    <row r="18" spans="1:35" ht="15" x14ac:dyDescent="0.2">
      <c r="A18" s="8">
        <v>3</v>
      </c>
      <c r="B18" s="8">
        <v>0</v>
      </c>
      <c r="C18" s="8">
        <v>0</v>
      </c>
      <c r="D18" s="3">
        <v>825220016</v>
      </c>
      <c r="E18" s="3" t="s">
        <v>142</v>
      </c>
      <c r="F18" t="s">
        <v>155</v>
      </c>
      <c r="G18" s="25" cm="1">
        <f t="array" ref="G18">IF(AND(A18:C18=S18:U18),IF((F18=Y18),1,0),999)</f>
        <v>0</v>
      </c>
      <c r="K18" s="5">
        <v>1</v>
      </c>
      <c r="L18" s="5">
        <v>0</v>
      </c>
      <c r="M18" s="5">
        <v>0</v>
      </c>
      <c r="N18" s="5" t="s">
        <v>904</v>
      </c>
      <c r="O18" s="5" t="s">
        <v>193</v>
      </c>
      <c r="P18" s="5" t="s">
        <v>142</v>
      </c>
      <c r="Q18" s="5" t="s">
        <v>153</v>
      </c>
      <c r="S18" s="24">
        <v>3</v>
      </c>
      <c r="T18" s="24">
        <v>0</v>
      </c>
      <c r="U18" s="24">
        <v>0</v>
      </c>
      <c r="V18" s="24" t="str">
        <v>RAKHA NAUFAL SUJANA</v>
      </c>
      <c r="W18" s="24" t="str">
        <v>535220006</v>
      </c>
      <c r="X18" s="24" t="str">
        <v>Magang</v>
      </c>
      <c r="Y18" s="24" t="str">
        <v>Manatap Dolok Lauro, S.Kom., MMSI</v>
      </c>
      <c r="AE18">
        <v>0</v>
      </c>
      <c r="AF18">
        <v>2</v>
      </c>
      <c r="AG18">
        <v>2</v>
      </c>
      <c r="AH18" s="25">
        <f t="shared" si="0"/>
        <v>0</v>
      </c>
      <c r="AI18" s="32">
        <f t="shared" si="1"/>
        <v>5</v>
      </c>
    </row>
    <row r="19" spans="1:35" ht="15" x14ac:dyDescent="0.2">
      <c r="A19" s="8">
        <v>3</v>
      </c>
      <c r="B19" s="8">
        <v>0</v>
      </c>
      <c r="C19" s="8">
        <v>0</v>
      </c>
      <c r="D19" s="3">
        <v>825220020</v>
      </c>
      <c r="E19" s="3" t="s">
        <v>142</v>
      </c>
      <c r="F19" t="s">
        <v>155</v>
      </c>
      <c r="G19" s="25" cm="1">
        <f t="array" ref="G19">IF(AND(A19:C19=S19:U19),IF((F19=Y19),1,0),999)</f>
        <v>0</v>
      </c>
      <c r="K19" s="5">
        <v>1</v>
      </c>
      <c r="L19" s="5">
        <v>0</v>
      </c>
      <c r="M19" s="5">
        <v>0</v>
      </c>
      <c r="N19" s="5" t="s">
        <v>905</v>
      </c>
      <c r="O19" s="5" t="s">
        <v>194</v>
      </c>
      <c r="P19" s="5" t="s">
        <v>142</v>
      </c>
      <c r="Q19" s="5" t="s">
        <v>153</v>
      </c>
      <c r="S19" s="24">
        <v>3</v>
      </c>
      <c r="T19" s="24">
        <v>0</v>
      </c>
      <c r="U19" s="24">
        <v>0</v>
      </c>
      <c r="V19" s="24" t="str">
        <v>KANE PRADIPA KOMALA</v>
      </c>
      <c r="W19" s="24" t="str">
        <v>535220007</v>
      </c>
      <c r="X19" s="24" t="str">
        <v>Magang</v>
      </c>
      <c r="Y19" s="24" t="str">
        <v>Manatap Dolok Lauro, S.Kom., MMSI</v>
      </c>
      <c r="AE19">
        <v>0</v>
      </c>
      <c r="AF19">
        <v>2</v>
      </c>
      <c r="AG19">
        <v>3</v>
      </c>
      <c r="AH19" s="25">
        <f t="shared" si="0"/>
        <v>0</v>
      </c>
      <c r="AI19" s="32">
        <f t="shared" si="1"/>
        <v>5</v>
      </c>
    </row>
    <row r="20" spans="1:35" ht="15" x14ac:dyDescent="0.2">
      <c r="A20" s="8">
        <v>3</v>
      </c>
      <c r="B20" s="8">
        <v>0</v>
      </c>
      <c r="C20" s="8">
        <v>0</v>
      </c>
      <c r="D20" s="3">
        <v>825220023</v>
      </c>
      <c r="E20" s="3" t="s">
        <v>142</v>
      </c>
      <c r="F20" t="s">
        <v>155</v>
      </c>
      <c r="G20" s="25" cm="1">
        <f t="array" ref="G20">IF(AND(A20:C20=S20:U20),IF((F20=Y20),1,0),999)</f>
        <v>0</v>
      </c>
      <c r="K20" s="5">
        <v>1</v>
      </c>
      <c r="L20" s="5">
        <v>0</v>
      </c>
      <c r="M20" s="5">
        <v>0</v>
      </c>
      <c r="N20" s="5" t="s">
        <v>906</v>
      </c>
      <c r="O20" s="5" t="s">
        <v>195</v>
      </c>
      <c r="P20" s="5" t="s">
        <v>142</v>
      </c>
      <c r="Q20" s="5" t="s">
        <v>153</v>
      </c>
      <c r="S20" s="24">
        <v>3</v>
      </c>
      <c r="T20" s="24">
        <v>0</v>
      </c>
      <c r="U20" s="24">
        <v>0</v>
      </c>
      <c r="V20" s="24" t="str">
        <v>BENNY DWIYANTO</v>
      </c>
      <c r="W20" s="24" t="str">
        <v>535220012</v>
      </c>
      <c r="X20" s="24" t="str">
        <v>Magang</v>
      </c>
      <c r="Y20" s="24" t="str">
        <v>Manatap Dolok Lauro, S.Kom., MMSI</v>
      </c>
      <c r="AE20">
        <v>0</v>
      </c>
      <c r="AF20">
        <v>2</v>
      </c>
      <c r="AG20">
        <v>4</v>
      </c>
      <c r="AH20" s="25">
        <f t="shared" si="0"/>
        <v>0</v>
      </c>
      <c r="AI20" s="32">
        <f t="shared" si="1"/>
        <v>5</v>
      </c>
    </row>
    <row r="21" spans="1:35" ht="15" x14ac:dyDescent="0.2">
      <c r="A21" s="8">
        <v>3</v>
      </c>
      <c r="B21" s="8">
        <v>0</v>
      </c>
      <c r="C21" s="8">
        <v>0</v>
      </c>
      <c r="D21" s="3">
        <v>825220028</v>
      </c>
      <c r="E21" s="3" t="s">
        <v>142</v>
      </c>
      <c r="F21" t="s">
        <v>155</v>
      </c>
      <c r="G21" s="25" cm="1">
        <f t="array" ref="G21">IF(AND(A21:C21=S21:U21),IF((F21=Y21),1,0),999)</f>
        <v>0</v>
      </c>
      <c r="K21" s="5">
        <v>1</v>
      </c>
      <c r="L21" s="5">
        <v>0</v>
      </c>
      <c r="M21" s="5">
        <v>0</v>
      </c>
      <c r="N21" s="5" t="s">
        <v>907</v>
      </c>
      <c r="O21" s="5" t="s">
        <v>196</v>
      </c>
      <c r="P21" s="5" t="s">
        <v>142</v>
      </c>
      <c r="Q21" s="5" t="s">
        <v>153</v>
      </c>
      <c r="S21" s="24">
        <v>3</v>
      </c>
      <c r="T21" s="24">
        <v>0</v>
      </c>
      <c r="U21" s="24">
        <v>0</v>
      </c>
      <c r="V21" s="24" t="str">
        <v>CHRISTIAN FERNANDO</v>
      </c>
      <c r="W21" s="24" t="str">
        <v>535220055</v>
      </c>
      <c r="X21" s="24" t="str">
        <v>Magang</v>
      </c>
      <c r="Y21" s="24" t="str">
        <v>Manatap Dolok Lauro, S.Kom., MMSI</v>
      </c>
      <c r="AE21">
        <v>0</v>
      </c>
      <c r="AF21">
        <v>2</v>
      </c>
      <c r="AG21">
        <v>5</v>
      </c>
      <c r="AH21" s="25">
        <f t="shared" si="0"/>
        <v>0</v>
      </c>
      <c r="AI21" s="32">
        <f t="shared" si="1"/>
        <v>5</v>
      </c>
    </row>
    <row r="22" spans="1:35" ht="15" x14ac:dyDescent="0.2">
      <c r="A22" s="8">
        <v>4</v>
      </c>
      <c r="B22" s="8">
        <v>0</v>
      </c>
      <c r="C22" s="8">
        <v>0</v>
      </c>
      <c r="D22" s="3">
        <v>825220167</v>
      </c>
      <c r="E22" s="3" t="s">
        <v>143</v>
      </c>
      <c r="F22" t="s">
        <v>168</v>
      </c>
      <c r="G22" s="25" cm="1">
        <f t="array" ref="G22">IF(AND(A22:C22=S22:U22),IF((F22=Y22),1,0),999)</f>
        <v>0</v>
      </c>
      <c r="K22" s="5">
        <v>1</v>
      </c>
      <c r="L22" s="5">
        <v>0</v>
      </c>
      <c r="M22" s="5">
        <v>1</v>
      </c>
      <c r="N22" s="5" t="s">
        <v>908</v>
      </c>
      <c r="O22" s="5" t="s">
        <v>197</v>
      </c>
      <c r="P22" s="5" t="s">
        <v>142</v>
      </c>
      <c r="Q22" s="5" t="s">
        <v>154</v>
      </c>
      <c r="S22" s="24">
        <v>4</v>
      </c>
      <c r="T22" s="24">
        <v>0</v>
      </c>
      <c r="U22" s="24">
        <v>0</v>
      </c>
      <c r="V22" s="24" t="str">
        <v>JONATAN PUTRA GUNAWAN</v>
      </c>
      <c r="W22" s="24" t="str">
        <v>535220009</v>
      </c>
      <c r="X22" s="24" t="str">
        <v>Stupen</v>
      </c>
      <c r="Y22" s="24" t="str">
        <v>Janson Hendryli, S.Kom., M.Kom.</v>
      </c>
      <c r="AE22">
        <v>0</v>
      </c>
      <c r="AF22">
        <v>2</v>
      </c>
      <c r="AG22">
        <v>6</v>
      </c>
      <c r="AH22" s="25">
        <f t="shared" si="0"/>
        <v>0</v>
      </c>
      <c r="AI22" s="32">
        <f t="shared" si="1"/>
        <v>5</v>
      </c>
    </row>
    <row r="23" spans="1:35" ht="15" x14ac:dyDescent="0.2">
      <c r="A23" s="8">
        <v>4</v>
      </c>
      <c r="B23" s="8">
        <v>0</v>
      </c>
      <c r="C23" s="8">
        <v>0</v>
      </c>
      <c r="D23" s="3">
        <v>535220097</v>
      </c>
      <c r="E23" s="3" t="s">
        <v>143</v>
      </c>
      <c r="F23" t="s">
        <v>165</v>
      </c>
      <c r="G23" s="25" cm="1">
        <f t="array" ref="G23">IF(AND(A23:C23=S23:U23),IF((F23=Y23),1,0),999)</f>
        <v>0</v>
      </c>
      <c r="K23" s="5">
        <v>1</v>
      </c>
      <c r="L23" s="5">
        <v>0</v>
      </c>
      <c r="M23" s="5">
        <v>1</v>
      </c>
      <c r="N23" s="5" t="s">
        <v>909</v>
      </c>
      <c r="O23" s="5" t="s">
        <v>198</v>
      </c>
      <c r="P23" s="5" t="s">
        <v>142</v>
      </c>
      <c r="Q23" s="5" t="s">
        <v>154</v>
      </c>
      <c r="S23" s="24">
        <v>4</v>
      </c>
      <c r="T23" s="24">
        <v>0</v>
      </c>
      <c r="U23" s="24">
        <v>0</v>
      </c>
      <c r="V23" s="24" t="str">
        <v>DEVIN SAPUTRA WIJAYA</v>
      </c>
      <c r="W23" s="24" t="str">
        <v>535220011</v>
      </c>
      <c r="X23" s="24" t="str">
        <v>Stupen</v>
      </c>
      <c r="Y23" s="24" t="str">
        <v>Janson Hendryli, S.Kom., M.Kom.</v>
      </c>
    </row>
    <row r="24" spans="1:35" ht="15" x14ac:dyDescent="0.2">
      <c r="A24" s="8">
        <v>4</v>
      </c>
      <c r="B24" s="8">
        <v>0</v>
      </c>
      <c r="C24" s="8">
        <v>0</v>
      </c>
      <c r="D24" s="3">
        <v>535220105</v>
      </c>
      <c r="E24" s="3" t="s">
        <v>143</v>
      </c>
      <c r="F24" t="s">
        <v>165</v>
      </c>
      <c r="G24" s="25" cm="1">
        <f t="array" ref="G24">IF(AND(A24:C24=S24:U24),IF((F24=Y24),1,0),999)</f>
        <v>0</v>
      </c>
      <c r="K24" s="5">
        <v>1</v>
      </c>
      <c r="L24" s="5">
        <v>0</v>
      </c>
      <c r="M24" s="5">
        <v>1</v>
      </c>
      <c r="N24" s="5" t="s">
        <v>910</v>
      </c>
      <c r="O24" s="5" t="s">
        <v>199</v>
      </c>
      <c r="P24" s="5" t="s">
        <v>142</v>
      </c>
      <c r="Q24" s="5" t="s">
        <v>154</v>
      </c>
      <c r="S24" s="24">
        <v>4</v>
      </c>
      <c r="T24" s="24">
        <v>0</v>
      </c>
      <c r="U24" s="24">
        <v>0</v>
      </c>
      <c r="V24" s="24" t="str">
        <v>JONATHAN</v>
      </c>
      <c r="W24" s="24" t="str">
        <v>535220026</v>
      </c>
      <c r="X24" s="24" t="str">
        <v>Stupen</v>
      </c>
      <c r="Y24" s="24" t="str">
        <v>Janson Hendryli, S.Kom., M.Kom.</v>
      </c>
      <c r="AE24">
        <v>1</v>
      </c>
      <c r="AF24">
        <v>0</v>
      </c>
      <c r="AG24">
        <v>0</v>
      </c>
      <c r="AH24" s="25">
        <f t="shared" ref="AH24:AH44" si="2">COUNTIFS(A:A,AG24,B:B,AE24,C:C,AF24)</f>
        <v>5</v>
      </c>
      <c r="AI24" s="32">
        <f t="shared" ref="AI24:AI44" si="3">COUNTIFS(S:S,AG24,T:T,AE24,U:U,AF24)</f>
        <v>5</v>
      </c>
    </row>
    <row r="25" spans="1:35" ht="15" x14ac:dyDescent="0.2">
      <c r="A25" s="8">
        <v>4</v>
      </c>
      <c r="B25" s="8">
        <v>0</v>
      </c>
      <c r="C25" s="8">
        <v>0</v>
      </c>
      <c r="D25" s="3">
        <v>535220127</v>
      </c>
      <c r="E25" s="3" t="s">
        <v>143</v>
      </c>
      <c r="F25" t="s">
        <v>165</v>
      </c>
      <c r="G25" s="25" cm="1">
        <f t="array" ref="G25">IF(AND(A25:C25=S25:U25),IF((F25=Y25),1,0),999)</f>
        <v>0</v>
      </c>
      <c r="K25" s="5">
        <v>1</v>
      </c>
      <c r="L25" s="5">
        <v>0</v>
      </c>
      <c r="M25" s="5">
        <v>1</v>
      </c>
      <c r="N25" s="5" t="s">
        <v>911</v>
      </c>
      <c r="O25" s="5" t="s">
        <v>200</v>
      </c>
      <c r="P25" s="5" t="s">
        <v>142</v>
      </c>
      <c r="Q25" s="5" t="s">
        <v>154</v>
      </c>
      <c r="S25" s="24">
        <v>4</v>
      </c>
      <c r="T25" s="24">
        <v>0</v>
      </c>
      <c r="U25" s="24">
        <v>0</v>
      </c>
      <c r="V25" s="24" t="str">
        <v>GARRENT NATHANAEL</v>
      </c>
      <c r="W25" s="24" t="str">
        <v>535220072</v>
      </c>
      <c r="X25" s="24" t="str">
        <v>Stupen</v>
      </c>
      <c r="Y25" s="24" t="str">
        <v>Janson Hendryli, S.Kom., M.Kom.</v>
      </c>
      <c r="AE25">
        <v>1</v>
      </c>
      <c r="AF25">
        <v>0</v>
      </c>
      <c r="AG25">
        <v>1</v>
      </c>
      <c r="AH25" s="25">
        <f t="shared" si="2"/>
        <v>5</v>
      </c>
      <c r="AI25" s="32">
        <f t="shared" si="3"/>
        <v>5</v>
      </c>
    </row>
    <row r="26" spans="1:35" ht="15" x14ac:dyDescent="0.2">
      <c r="A26" s="8">
        <v>4</v>
      </c>
      <c r="B26" s="8">
        <v>0</v>
      </c>
      <c r="C26" s="8">
        <v>0</v>
      </c>
      <c r="D26" s="3">
        <v>535220130</v>
      </c>
      <c r="E26" s="3" t="s">
        <v>143</v>
      </c>
      <c r="F26" t="s">
        <v>165</v>
      </c>
      <c r="G26" s="25" cm="1">
        <f t="array" ref="G26">IF(AND(A26:C26=S26:U26),IF((F26=Y26),1,0),999)</f>
        <v>0</v>
      </c>
      <c r="K26" s="5">
        <v>1</v>
      </c>
      <c r="L26" s="5">
        <v>0</v>
      </c>
      <c r="M26" s="5">
        <v>1</v>
      </c>
      <c r="N26" s="5" t="s">
        <v>912</v>
      </c>
      <c r="O26" s="5" t="s">
        <v>201</v>
      </c>
      <c r="P26" s="5" t="s">
        <v>142</v>
      </c>
      <c r="Q26" s="5" t="s">
        <v>154</v>
      </c>
      <c r="S26" s="24">
        <v>4</v>
      </c>
      <c r="T26" s="24">
        <v>0</v>
      </c>
      <c r="U26" s="24">
        <v>0</v>
      </c>
      <c r="V26" s="24" t="str">
        <v>CHELSIA CINDELERIA HERWANTO</v>
      </c>
      <c r="W26" s="24" t="str">
        <v>535220083</v>
      </c>
      <c r="X26" s="24" t="str">
        <v>Stupen</v>
      </c>
      <c r="Y26" s="24" t="str">
        <v>Janson Hendryli, S.Kom., M.Kom.</v>
      </c>
      <c r="AE26">
        <v>1</v>
      </c>
      <c r="AF26">
        <v>0</v>
      </c>
      <c r="AG26">
        <v>2</v>
      </c>
      <c r="AH26" s="25">
        <f t="shared" si="2"/>
        <v>5</v>
      </c>
      <c r="AI26" s="32">
        <f t="shared" si="3"/>
        <v>5</v>
      </c>
    </row>
    <row r="27" spans="1:35" ht="15" x14ac:dyDescent="0.2">
      <c r="A27" s="8">
        <v>5</v>
      </c>
      <c r="B27" s="8">
        <v>0</v>
      </c>
      <c r="C27" s="8">
        <v>0</v>
      </c>
      <c r="D27" s="3">
        <v>535220009</v>
      </c>
      <c r="E27" s="3" t="s">
        <v>143</v>
      </c>
      <c r="F27" t="s">
        <v>159</v>
      </c>
      <c r="G27" s="25" cm="1">
        <f t="array" ref="G27">IF(AND(A27:C27=S27:U27),IF((F27=Y27),1,0),999)</f>
        <v>1</v>
      </c>
      <c r="K27" s="5">
        <v>1</v>
      </c>
      <c r="L27" s="5">
        <v>0</v>
      </c>
      <c r="M27" s="5">
        <v>2</v>
      </c>
      <c r="N27" s="5" t="s">
        <v>913</v>
      </c>
      <c r="O27" s="5" t="s">
        <v>202</v>
      </c>
      <c r="P27" s="5" t="s">
        <v>142</v>
      </c>
      <c r="Q27" s="5" t="s">
        <v>155</v>
      </c>
      <c r="S27" s="24">
        <v>5</v>
      </c>
      <c r="T27" s="24">
        <v>0</v>
      </c>
      <c r="U27" s="24">
        <v>0</v>
      </c>
      <c r="V27" s="24" t="str">
        <v>RAFAEL EVALDO SETIANTO</v>
      </c>
      <c r="W27" s="24" t="str">
        <v>535220086</v>
      </c>
      <c r="X27" s="24" t="str">
        <v>Stupen</v>
      </c>
      <c r="Y27" s="24" t="str">
        <v>Janson Hendryli, S.Kom., M.Kom.</v>
      </c>
      <c r="AE27">
        <v>1</v>
      </c>
      <c r="AF27">
        <v>0</v>
      </c>
      <c r="AG27">
        <v>3</v>
      </c>
      <c r="AH27" s="25">
        <f t="shared" si="2"/>
        <v>5</v>
      </c>
      <c r="AI27" s="32">
        <f t="shared" si="3"/>
        <v>5</v>
      </c>
    </row>
    <row r="28" spans="1:35" ht="15" x14ac:dyDescent="0.2">
      <c r="A28" s="8">
        <v>5</v>
      </c>
      <c r="B28" s="8">
        <v>0</v>
      </c>
      <c r="C28" s="8">
        <v>0</v>
      </c>
      <c r="D28" s="3">
        <v>535220011</v>
      </c>
      <c r="E28" s="3" t="s">
        <v>143</v>
      </c>
      <c r="F28" t="s">
        <v>159</v>
      </c>
      <c r="G28" s="25" cm="1">
        <f t="array" ref="G28">IF(AND(A28:C28=S28:U28),IF((F28=Y28),1,0),999)</f>
        <v>1</v>
      </c>
      <c r="K28" s="5">
        <v>1</v>
      </c>
      <c r="L28" s="5">
        <v>0</v>
      </c>
      <c r="M28" s="5">
        <v>2</v>
      </c>
      <c r="N28" s="5" t="s">
        <v>914</v>
      </c>
      <c r="O28" s="5" t="s">
        <v>203</v>
      </c>
      <c r="P28" s="5" t="s">
        <v>142</v>
      </c>
      <c r="Q28" s="5" t="s">
        <v>155</v>
      </c>
      <c r="S28" s="24">
        <v>5</v>
      </c>
      <c r="T28" s="24">
        <v>0</v>
      </c>
      <c r="U28" s="24">
        <v>0</v>
      </c>
      <c r="V28" s="24" t="str">
        <v>ALEK PITER WARDOYO</v>
      </c>
      <c r="W28" s="24" t="str">
        <v>535220088</v>
      </c>
      <c r="X28" s="24" t="str">
        <v>Stupen</v>
      </c>
      <c r="Y28" s="24" t="str">
        <v>Janson Hendryli, S.Kom., M.Kom.</v>
      </c>
      <c r="AE28">
        <v>1</v>
      </c>
      <c r="AF28">
        <v>0</v>
      </c>
      <c r="AG28">
        <v>4</v>
      </c>
      <c r="AH28" s="25">
        <f t="shared" si="2"/>
        <v>5</v>
      </c>
      <c r="AI28" s="32">
        <f t="shared" si="3"/>
        <v>5</v>
      </c>
    </row>
    <row r="29" spans="1:35" ht="15" x14ac:dyDescent="0.2">
      <c r="A29" s="8">
        <v>5</v>
      </c>
      <c r="B29" s="8">
        <v>0</v>
      </c>
      <c r="C29" s="8">
        <v>0</v>
      </c>
      <c r="D29" s="4">
        <v>535220026</v>
      </c>
      <c r="E29" s="3" t="s">
        <v>143</v>
      </c>
      <c r="F29" t="s">
        <v>159</v>
      </c>
      <c r="G29" s="25" cm="1">
        <f t="array" ref="G29">IF(AND(A29:C29=S29:U29),IF((F29=Y29),1,0),999)</f>
        <v>1</v>
      </c>
      <c r="K29" s="5">
        <v>1</v>
      </c>
      <c r="L29" s="5">
        <v>0</v>
      </c>
      <c r="M29" s="5">
        <v>2</v>
      </c>
      <c r="N29" s="5" t="s">
        <v>915</v>
      </c>
      <c r="O29" s="5" t="s">
        <v>204</v>
      </c>
      <c r="P29" s="5" t="s">
        <v>142</v>
      </c>
      <c r="Q29" s="5" t="s">
        <v>155</v>
      </c>
      <c r="S29" s="24">
        <v>5</v>
      </c>
      <c r="T29" s="24">
        <v>0</v>
      </c>
      <c r="U29" s="24">
        <v>0</v>
      </c>
      <c r="V29" s="24" t="str">
        <v>MARCHELINO BENEDIKTUS LEINTAN</v>
      </c>
      <c r="W29" s="24" t="str">
        <v>535220107</v>
      </c>
      <c r="X29" s="24" t="str">
        <v>Stupen</v>
      </c>
      <c r="Y29" s="24" t="str">
        <v>Janson Hendryli, S.Kom., M.Kom.</v>
      </c>
      <c r="AE29">
        <v>1</v>
      </c>
      <c r="AF29">
        <v>0</v>
      </c>
      <c r="AG29">
        <v>5</v>
      </c>
      <c r="AH29" s="25">
        <f t="shared" si="2"/>
        <v>5</v>
      </c>
      <c r="AI29" s="32">
        <f t="shared" si="3"/>
        <v>5</v>
      </c>
    </row>
    <row r="30" spans="1:35" ht="15" x14ac:dyDescent="0.2">
      <c r="A30" s="8">
        <v>5</v>
      </c>
      <c r="B30" s="8">
        <v>0</v>
      </c>
      <c r="C30" s="8">
        <v>0</v>
      </c>
      <c r="D30" s="3">
        <v>535220072</v>
      </c>
      <c r="E30" s="3" t="s">
        <v>143</v>
      </c>
      <c r="F30" t="s">
        <v>159</v>
      </c>
      <c r="G30" s="25" cm="1">
        <f t="array" ref="G30">IF(AND(A30:C30=S30:U30),IF((F30=Y30),1,0),999)</f>
        <v>1</v>
      </c>
      <c r="K30" s="5">
        <v>1</v>
      </c>
      <c r="L30" s="5">
        <v>0</v>
      </c>
      <c r="M30" s="5">
        <v>2</v>
      </c>
      <c r="N30" s="5" t="s">
        <v>916</v>
      </c>
      <c r="O30" s="5" t="s">
        <v>205</v>
      </c>
      <c r="P30" s="5" t="s">
        <v>142</v>
      </c>
      <c r="Q30" s="5" t="s">
        <v>155</v>
      </c>
      <c r="S30" s="24">
        <v>5</v>
      </c>
      <c r="T30" s="24">
        <v>0</v>
      </c>
      <c r="U30" s="24">
        <v>0</v>
      </c>
      <c r="V30" s="24" t="str">
        <v>RIZKY SUGIHARTO</v>
      </c>
      <c r="W30" s="24" t="str">
        <v>535220113</v>
      </c>
      <c r="X30" s="24" t="str">
        <v>Stupen</v>
      </c>
      <c r="Y30" s="24" t="str">
        <v>Janson Hendryli, S.Kom., M.Kom.</v>
      </c>
      <c r="AE30">
        <v>1</v>
      </c>
      <c r="AF30">
        <v>0</v>
      </c>
      <c r="AG30">
        <v>6</v>
      </c>
      <c r="AH30" s="25">
        <f t="shared" si="2"/>
        <v>5</v>
      </c>
      <c r="AI30" s="32">
        <f t="shared" si="3"/>
        <v>5</v>
      </c>
    </row>
    <row r="31" spans="1:35" ht="15" x14ac:dyDescent="0.2">
      <c r="A31" s="8">
        <v>5</v>
      </c>
      <c r="B31" s="8">
        <v>0</v>
      </c>
      <c r="C31" s="8">
        <v>0</v>
      </c>
      <c r="D31" s="3">
        <v>535220083</v>
      </c>
      <c r="E31" s="3" t="s">
        <v>143</v>
      </c>
      <c r="F31" t="s">
        <v>159</v>
      </c>
      <c r="G31" s="25" cm="1">
        <f t="array" ref="G31">IF(AND(A31:C31=S31:U31),IF((F31=Y31),1,0),999)</f>
        <v>1</v>
      </c>
      <c r="K31" s="5">
        <v>1</v>
      </c>
      <c r="L31" s="5">
        <v>0</v>
      </c>
      <c r="M31" s="5">
        <v>2</v>
      </c>
      <c r="N31" s="5" t="s">
        <v>917</v>
      </c>
      <c r="O31" s="5" t="s">
        <v>206</v>
      </c>
      <c r="P31" s="5" t="s">
        <v>142</v>
      </c>
      <c r="Q31" s="5" t="s">
        <v>155</v>
      </c>
      <c r="S31" s="24">
        <v>5</v>
      </c>
      <c r="T31" s="24">
        <v>0</v>
      </c>
      <c r="U31" s="24">
        <v>0</v>
      </c>
      <c r="V31" s="24" t="str">
        <v>RIDHWAN ARDIYANSYAH</v>
      </c>
      <c r="W31" s="24" t="str">
        <v>535220114</v>
      </c>
      <c r="X31" s="24" t="str">
        <v>Stupen</v>
      </c>
      <c r="Y31" s="24" t="str">
        <v>Janson Hendryli, S.Kom., M.Kom.</v>
      </c>
      <c r="AE31">
        <v>1</v>
      </c>
      <c r="AF31">
        <v>1</v>
      </c>
      <c r="AG31">
        <v>0</v>
      </c>
      <c r="AH31" s="25">
        <f t="shared" si="2"/>
        <v>5</v>
      </c>
      <c r="AI31" s="32">
        <f t="shared" si="3"/>
        <v>5</v>
      </c>
    </row>
    <row r="32" spans="1:35" ht="15" x14ac:dyDescent="0.2">
      <c r="A32" s="8">
        <v>6</v>
      </c>
      <c r="B32" s="8">
        <v>0</v>
      </c>
      <c r="C32" s="8">
        <v>0</v>
      </c>
      <c r="D32" s="3">
        <v>535220086</v>
      </c>
      <c r="E32" s="3" t="s">
        <v>143</v>
      </c>
      <c r="F32" t="s">
        <v>159</v>
      </c>
      <c r="G32" s="25" cm="1">
        <f t="array" ref="G32">IF(AND(A32:C32=S32:U32),IF((F32=Y32),1,0),999)</f>
        <v>1</v>
      </c>
      <c r="K32" s="5">
        <v>2</v>
      </c>
      <c r="L32" s="5">
        <v>0</v>
      </c>
      <c r="M32" s="5">
        <v>0</v>
      </c>
      <c r="N32" s="5" t="s">
        <v>918</v>
      </c>
      <c r="O32" s="5" t="s">
        <v>207</v>
      </c>
      <c r="P32" s="5" t="s">
        <v>142</v>
      </c>
      <c r="Q32" s="5" t="s">
        <v>153</v>
      </c>
      <c r="S32" s="24">
        <v>6</v>
      </c>
      <c r="T32" s="24">
        <v>0</v>
      </c>
      <c r="U32" s="24">
        <v>0</v>
      </c>
      <c r="V32" s="24" t="str">
        <v>JOVANKA CESSYLIA TESALONIKA MIKHA WENAS</v>
      </c>
      <c r="W32" s="24" t="str">
        <v>535220115</v>
      </c>
      <c r="X32" s="24" t="str">
        <v>Stupen</v>
      </c>
      <c r="Y32" s="24" t="str">
        <v>Janson Hendryli, S.Kom., M.Kom.</v>
      </c>
      <c r="AE32">
        <v>1</v>
      </c>
      <c r="AF32">
        <v>1</v>
      </c>
      <c r="AG32">
        <v>1</v>
      </c>
      <c r="AH32" s="25">
        <f t="shared" si="2"/>
        <v>5</v>
      </c>
      <c r="AI32" s="32">
        <f t="shared" si="3"/>
        <v>5</v>
      </c>
    </row>
    <row r="33" spans="1:35" ht="15" x14ac:dyDescent="0.2">
      <c r="A33" s="8">
        <v>6</v>
      </c>
      <c r="B33" s="8">
        <v>0</v>
      </c>
      <c r="C33" s="8">
        <v>0</v>
      </c>
      <c r="D33" s="3">
        <v>535220088</v>
      </c>
      <c r="E33" s="3" t="s">
        <v>143</v>
      </c>
      <c r="F33" t="s">
        <v>159</v>
      </c>
      <c r="G33" s="25" cm="1">
        <f t="array" ref="G33">IF(AND(A33:C33=S33:U33),IF((F33=Y33),1,0),999)</f>
        <v>1</v>
      </c>
      <c r="K33" s="5">
        <v>2</v>
      </c>
      <c r="L33" s="5">
        <v>0</v>
      </c>
      <c r="M33" s="5">
        <v>0</v>
      </c>
      <c r="N33" s="5" t="s">
        <v>919</v>
      </c>
      <c r="O33" s="5" t="s">
        <v>208</v>
      </c>
      <c r="P33" s="5" t="s">
        <v>142</v>
      </c>
      <c r="Q33" s="5" t="s">
        <v>153</v>
      </c>
      <c r="S33" s="24">
        <v>6</v>
      </c>
      <c r="T33" s="24">
        <v>0</v>
      </c>
      <c r="U33" s="24">
        <v>0</v>
      </c>
      <c r="V33" s="24" t="str">
        <v>LUIS FERNANDO</v>
      </c>
      <c r="W33" s="24" t="str">
        <v>535220116</v>
      </c>
      <c r="X33" s="24" t="str">
        <v>Stupen</v>
      </c>
      <c r="Y33" s="24" t="str">
        <v>Janson Hendryli, S.Kom., M.Kom.</v>
      </c>
      <c r="AE33">
        <v>1</v>
      </c>
      <c r="AF33">
        <v>1</v>
      </c>
      <c r="AG33">
        <v>2</v>
      </c>
      <c r="AH33" s="25">
        <f t="shared" si="2"/>
        <v>5</v>
      </c>
      <c r="AI33" s="32">
        <f t="shared" si="3"/>
        <v>5</v>
      </c>
    </row>
    <row r="34" spans="1:35" ht="15" x14ac:dyDescent="0.2">
      <c r="A34" s="8">
        <v>6</v>
      </c>
      <c r="B34" s="8">
        <v>0</v>
      </c>
      <c r="C34" s="8">
        <v>0</v>
      </c>
      <c r="D34" s="3">
        <v>535220107</v>
      </c>
      <c r="E34" s="3" t="s">
        <v>143</v>
      </c>
      <c r="F34" t="s">
        <v>159</v>
      </c>
      <c r="G34" s="25" cm="1">
        <f t="array" ref="G34">IF(AND(A34:C34=S34:U34),IF((F34=Y34),1,0),999)</f>
        <v>1</v>
      </c>
      <c r="K34" s="5">
        <v>2</v>
      </c>
      <c r="L34" s="5">
        <v>0</v>
      </c>
      <c r="M34" s="5">
        <v>0</v>
      </c>
      <c r="N34" s="5" t="s">
        <v>920</v>
      </c>
      <c r="O34" s="5" t="s">
        <v>209</v>
      </c>
      <c r="P34" s="5" t="s">
        <v>142</v>
      </c>
      <c r="Q34" s="5" t="s">
        <v>153</v>
      </c>
      <c r="S34" s="24">
        <v>6</v>
      </c>
      <c r="T34" s="24">
        <v>0</v>
      </c>
      <c r="U34" s="24">
        <v>0</v>
      </c>
      <c r="V34" s="24" t="str">
        <v xml:space="preserve">SHINZI </v>
      </c>
      <c r="W34" s="24" t="str">
        <v>535220118</v>
      </c>
      <c r="X34" s="24" t="str">
        <v>Stupen</v>
      </c>
      <c r="Y34" s="24" t="str">
        <v>Janson Hendryli, S.Kom., M.Kom.</v>
      </c>
      <c r="AE34">
        <v>1</v>
      </c>
      <c r="AF34">
        <v>1</v>
      </c>
      <c r="AG34">
        <v>3</v>
      </c>
      <c r="AH34" s="25">
        <f t="shared" si="2"/>
        <v>5</v>
      </c>
      <c r="AI34" s="32">
        <f t="shared" si="3"/>
        <v>5</v>
      </c>
    </row>
    <row r="35" spans="1:35" ht="15" x14ac:dyDescent="0.2">
      <c r="A35" s="8">
        <v>6</v>
      </c>
      <c r="B35" s="8">
        <v>0</v>
      </c>
      <c r="C35" s="8">
        <v>0</v>
      </c>
      <c r="D35" s="3">
        <v>535220113</v>
      </c>
      <c r="E35" s="3" t="s">
        <v>143</v>
      </c>
      <c r="F35" t="s">
        <v>159</v>
      </c>
      <c r="G35" s="25" cm="1">
        <f t="array" ref="G35">IF(AND(A35:C35=S35:U35),IF((F35=Y35),1,0),999)</f>
        <v>1</v>
      </c>
      <c r="K35" s="5">
        <v>2</v>
      </c>
      <c r="L35" s="5">
        <v>0</v>
      </c>
      <c r="M35" s="5">
        <v>0</v>
      </c>
      <c r="N35" s="5" t="s">
        <v>921</v>
      </c>
      <c r="O35" s="5" t="s">
        <v>210</v>
      </c>
      <c r="P35" s="5" t="s">
        <v>142</v>
      </c>
      <c r="Q35" s="5" t="s">
        <v>153</v>
      </c>
      <c r="S35" s="24">
        <v>6</v>
      </c>
      <c r="T35" s="24">
        <v>0</v>
      </c>
      <c r="U35" s="24">
        <v>0</v>
      </c>
      <c r="V35" s="24" t="str">
        <v>BRILIONA</v>
      </c>
      <c r="W35" s="24" t="str">
        <v>535220124</v>
      </c>
      <c r="X35" s="24" t="str">
        <v>Stupen</v>
      </c>
      <c r="Y35" s="24" t="str">
        <v>Janson Hendryli, S.Kom., M.Kom.</v>
      </c>
      <c r="AE35">
        <v>1</v>
      </c>
      <c r="AF35">
        <v>1</v>
      </c>
      <c r="AG35">
        <v>4</v>
      </c>
      <c r="AH35" s="25">
        <f t="shared" si="2"/>
        <v>5</v>
      </c>
      <c r="AI35" s="32">
        <f t="shared" si="3"/>
        <v>5</v>
      </c>
    </row>
    <row r="36" spans="1:35" ht="15" x14ac:dyDescent="0.2">
      <c r="A36" s="8">
        <v>6</v>
      </c>
      <c r="B36" s="8">
        <v>0</v>
      </c>
      <c r="C36" s="8">
        <v>0</v>
      </c>
      <c r="D36" s="3">
        <v>535220114</v>
      </c>
      <c r="E36" s="3" t="s">
        <v>143</v>
      </c>
      <c r="F36" t="s">
        <v>159</v>
      </c>
      <c r="G36" s="25" cm="1">
        <f t="array" ref="G36">IF(AND(A36:C36=S36:U36),IF((F36=Y36),1,0),999)</f>
        <v>1</v>
      </c>
      <c r="K36" s="5">
        <v>2</v>
      </c>
      <c r="L36" s="5">
        <v>0</v>
      </c>
      <c r="M36" s="5">
        <v>0</v>
      </c>
      <c r="N36" s="5" t="s">
        <v>922</v>
      </c>
      <c r="O36" s="5" t="s">
        <v>211</v>
      </c>
      <c r="P36" s="5" t="s">
        <v>142</v>
      </c>
      <c r="Q36" s="5" t="s">
        <v>153</v>
      </c>
      <c r="S36" s="24">
        <v>6</v>
      </c>
      <c r="T36" s="24">
        <v>0</v>
      </c>
      <c r="U36" s="24">
        <v>0</v>
      </c>
      <c r="V36" s="24" t="str">
        <v>WITRIATNA KOSAHI</v>
      </c>
      <c r="W36" s="24" t="str">
        <v>535220125</v>
      </c>
      <c r="X36" s="24" t="str">
        <v>Stupen</v>
      </c>
      <c r="Y36" s="24" t="str">
        <v>Janson Hendryli, S.Kom., M.Kom.</v>
      </c>
      <c r="AE36">
        <v>1</v>
      </c>
      <c r="AF36">
        <v>1</v>
      </c>
      <c r="AG36">
        <v>5</v>
      </c>
      <c r="AH36" s="25">
        <f t="shared" si="2"/>
        <v>5</v>
      </c>
      <c r="AI36" s="32">
        <f t="shared" si="3"/>
        <v>5</v>
      </c>
    </row>
    <row r="37" spans="1:35" ht="15" x14ac:dyDescent="0.2">
      <c r="A37" s="8">
        <v>0</v>
      </c>
      <c r="B37" s="8">
        <v>1</v>
      </c>
      <c r="C37" s="8">
        <v>0</v>
      </c>
      <c r="D37" s="3">
        <v>535220062</v>
      </c>
      <c r="E37" s="3" t="s">
        <v>142</v>
      </c>
      <c r="F37" t="s">
        <v>154</v>
      </c>
      <c r="G37" s="25" cm="1">
        <f t="array" ref="G37">IF(AND(A37:C37=S37:U37),IF((F37=Y37),1,0),999)</f>
        <v>999</v>
      </c>
      <c r="K37" s="5">
        <v>2</v>
      </c>
      <c r="L37" s="5">
        <v>0</v>
      </c>
      <c r="M37" s="5">
        <v>1</v>
      </c>
      <c r="N37" s="5" t="s">
        <v>923</v>
      </c>
      <c r="O37" s="5" t="s">
        <v>212</v>
      </c>
      <c r="P37" s="5" t="s">
        <v>142</v>
      </c>
      <c r="Q37" s="5" t="s">
        <v>154</v>
      </c>
      <c r="S37" s="24">
        <v>0</v>
      </c>
      <c r="T37" s="24">
        <v>0</v>
      </c>
      <c r="U37" s="24">
        <v>1</v>
      </c>
      <c r="V37" s="24" t="str">
        <v>DAVE KEANE WIJAYA</v>
      </c>
      <c r="W37" s="24" t="str">
        <v>535220022</v>
      </c>
      <c r="X37" s="24" t="str">
        <v>Magang</v>
      </c>
      <c r="Y37" s="24" t="str">
        <v>Viny Christanti Mawardi, S.Kom., M.Kom.</v>
      </c>
      <c r="AE37">
        <v>1</v>
      </c>
      <c r="AF37">
        <v>1</v>
      </c>
      <c r="AG37">
        <v>6</v>
      </c>
      <c r="AH37" s="25">
        <f t="shared" si="2"/>
        <v>0</v>
      </c>
      <c r="AI37" s="32">
        <f t="shared" si="3"/>
        <v>5</v>
      </c>
    </row>
    <row r="38" spans="1:35" ht="15" x14ac:dyDescent="0.2">
      <c r="A38" s="8">
        <v>0</v>
      </c>
      <c r="B38" s="8">
        <v>1</v>
      </c>
      <c r="C38" s="8">
        <v>0</v>
      </c>
      <c r="D38" s="3">
        <v>535220063</v>
      </c>
      <c r="E38" s="3" t="s">
        <v>142</v>
      </c>
      <c r="F38" t="s">
        <v>154</v>
      </c>
      <c r="G38" s="25" cm="1">
        <f t="array" ref="G38">IF(AND(A38:C38=S38:U38),IF((F38=Y38),1,0),999)</f>
        <v>999</v>
      </c>
      <c r="K38" s="5">
        <v>2</v>
      </c>
      <c r="L38" s="5">
        <v>0</v>
      </c>
      <c r="M38" s="5">
        <v>1</v>
      </c>
      <c r="N38" s="5" t="s">
        <v>924</v>
      </c>
      <c r="O38" s="5" t="s">
        <v>213</v>
      </c>
      <c r="P38" s="5" t="s">
        <v>142</v>
      </c>
      <c r="Q38" s="5" t="s">
        <v>154</v>
      </c>
      <c r="S38" s="24">
        <v>0</v>
      </c>
      <c r="T38" s="24">
        <v>0</v>
      </c>
      <c r="U38" s="24">
        <v>1</v>
      </c>
      <c r="V38" s="24" t="str">
        <v>JESSEN CHAYADI</v>
      </c>
      <c r="W38" s="24" t="str">
        <v>535220023</v>
      </c>
      <c r="X38" s="24" t="str">
        <v>Magang</v>
      </c>
      <c r="Y38" s="24" t="str">
        <v>Viny Christanti Mawardi, S.Kom., M.Kom.</v>
      </c>
      <c r="AE38">
        <v>1</v>
      </c>
      <c r="AF38">
        <v>2</v>
      </c>
      <c r="AG38">
        <v>0</v>
      </c>
      <c r="AH38" s="25">
        <f t="shared" si="2"/>
        <v>0</v>
      </c>
      <c r="AI38" s="32">
        <f t="shared" si="3"/>
        <v>5</v>
      </c>
    </row>
    <row r="39" spans="1:35" ht="15" x14ac:dyDescent="0.2">
      <c r="A39" s="8">
        <v>0</v>
      </c>
      <c r="B39" s="8">
        <v>1</v>
      </c>
      <c r="C39" s="8">
        <v>0</v>
      </c>
      <c r="D39" s="3">
        <v>535220071</v>
      </c>
      <c r="E39" s="3" t="s">
        <v>142</v>
      </c>
      <c r="F39" t="s">
        <v>154</v>
      </c>
      <c r="G39" s="25" cm="1">
        <f t="array" ref="G39">IF(AND(A39:C39=S39:U39),IF((F39=Y39),1,0),999)</f>
        <v>999</v>
      </c>
      <c r="K39" s="5">
        <v>2</v>
      </c>
      <c r="L39" s="5">
        <v>0</v>
      </c>
      <c r="M39" s="5">
        <v>1</v>
      </c>
      <c r="N39" s="5" t="s">
        <v>925</v>
      </c>
      <c r="O39" s="5" t="s">
        <v>214</v>
      </c>
      <c r="P39" s="5" t="s">
        <v>142</v>
      </c>
      <c r="Q39" s="5" t="s">
        <v>154</v>
      </c>
      <c r="S39" s="24">
        <v>0</v>
      </c>
      <c r="T39" s="24">
        <v>0</v>
      </c>
      <c r="U39" s="24">
        <v>1</v>
      </c>
      <c r="V39" s="24" t="str">
        <v>SHEILA TANIA</v>
      </c>
      <c r="W39" s="24" t="str">
        <v>535220028</v>
      </c>
      <c r="X39" s="24" t="str">
        <v>Magang</v>
      </c>
      <c r="Y39" s="24" t="str">
        <v>Viny Christanti Mawardi, S.Kom., M.Kom.</v>
      </c>
      <c r="AE39">
        <v>1</v>
      </c>
      <c r="AF39">
        <v>2</v>
      </c>
      <c r="AG39">
        <v>1</v>
      </c>
      <c r="AH39" s="25">
        <f t="shared" si="2"/>
        <v>0</v>
      </c>
      <c r="AI39" s="32">
        <f t="shared" si="3"/>
        <v>5</v>
      </c>
    </row>
    <row r="40" spans="1:35" ht="15" x14ac:dyDescent="0.2">
      <c r="A40" s="8">
        <v>0</v>
      </c>
      <c r="B40" s="8">
        <v>1</v>
      </c>
      <c r="C40" s="8">
        <v>0</v>
      </c>
      <c r="D40" s="3">
        <v>535220123</v>
      </c>
      <c r="E40" s="3" t="s">
        <v>142</v>
      </c>
      <c r="F40" t="s">
        <v>154</v>
      </c>
      <c r="G40" s="25" cm="1">
        <f t="array" ref="G40">IF(AND(A40:C40=S40:U40),IF((F40=Y40),1,0),999)</f>
        <v>999</v>
      </c>
      <c r="K40" s="5">
        <v>2</v>
      </c>
      <c r="L40" s="5">
        <v>0</v>
      </c>
      <c r="M40" s="5">
        <v>1</v>
      </c>
      <c r="N40" s="5" t="s">
        <v>926</v>
      </c>
      <c r="O40" s="5" t="s">
        <v>215</v>
      </c>
      <c r="P40" s="5" t="s">
        <v>142</v>
      </c>
      <c r="Q40" s="5" t="s">
        <v>154</v>
      </c>
      <c r="S40" s="24">
        <v>0</v>
      </c>
      <c r="T40" s="24">
        <v>0</v>
      </c>
      <c r="U40" s="24">
        <v>1</v>
      </c>
      <c r="V40" s="24" t="str">
        <v>FERDINAND</v>
      </c>
      <c r="W40" s="24" t="str">
        <v>535220031</v>
      </c>
      <c r="X40" s="24" t="str">
        <v>Magang</v>
      </c>
      <c r="Y40" s="24" t="str">
        <v>Viny Christanti Mawardi, S.Kom., M.Kom.</v>
      </c>
      <c r="AE40">
        <v>1</v>
      </c>
      <c r="AF40">
        <v>2</v>
      </c>
      <c r="AG40">
        <v>2</v>
      </c>
      <c r="AH40" s="25">
        <f t="shared" si="2"/>
        <v>0</v>
      </c>
      <c r="AI40" s="32">
        <f t="shared" si="3"/>
        <v>5</v>
      </c>
    </row>
    <row r="41" spans="1:35" ht="15" x14ac:dyDescent="0.2">
      <c r="A41" s="8">
        <v>0</v>
      </c>
      <c r="B41" s="8">
        <v>1</v>
      </c>
      <c r="C41" s="8">
        <v>0</v>
      </c>
      <c r="D41" s="3">
        <v>535220126</v>
      </c>
      <c r="E41" s="3" t="s">
        <v>142</v>
      </c>
      <c r="F41" t="s">
        <v>154</v>
      </c>
      <c r="G41" s="25" cm="1">
        <f t="array" ref="G41">IF(AND(A41:C41=S41:U41),IF((F41=Y41),1,0),999)</f>
        <v>999</v>
      </c>
      <c r="K41" s="5">
        <v>2</v>
      </c>
      <c r="L41" s="5">
        <v>0</v>
      </c>
      <c r="M41" s="5">
        <v>1</v>
      </c>
      <c r="N41" s="5" t="s">
        <v>927</v>
      </c>
      <c r="O41" s="5" t="s">
        <v>216</v>
      </c>
      <c r="P41" s="5" t="s">
        <v>142</v>
      </c>
      <c r="Q41" s="5" t="s">
        <v>154</v>
      </c>
      <c r="S41" s="24">
        <v>0</v>
      </c>
      <c r="T41" s="24">
        <v>0</v>
      </c>
      <c r="U41" s="24">
        <v>1</v>
      </c>
      <c r="V41" s="24" t="str">
        <v>ARI WIJAYA</v>
      </c>
      <c r="W41" s="24" t="str">
        <v>535220060</v>
      </c>
      <c r="X41" s="24" t="str">
        <v>Magang</v>
      </c>
      <c r="Y41" s="24" t="str">
        <v>Viny Christanti Mawardi, S.Kom., M.Kom.</v>
      </c>
      <c r="AE41">
        <v>1</v>
      </c>
      <c r="AF41">
        <v>2</v>
      </c>
      <c r="AG41">
        <v>3</v>
      </c>
      <c r="AH41" s="25">
        <f t="shared" si="2"/>
        <v>0</v>
      </c>
      <c r="AI41" s="32">
        <f t="shared" si="3"/>
        <v>5</v>
      </c>
    </row>
    <row r="42" spans="1:35" ht="15" x14ac:dyDescent="0.2">
      <c r="A42" s="8">
        <v>1</v>
      </c>
      <c r="B42" s="8">
        <v>1</v>
      </c>
      <c r="C42" s="8">
        <v>0</v>
      </c>
      <c r="D42" s="3">
        <v>535220129</v>
      </c>
      <c r="E42" s="3" t="s">
        <v>142</v>
      </c>
      <c r="F42" t="s">
        <v>154</v>
      </c>
      <c r="G42" s="25" cm="1">
        <f t="array" ref="G42">IF(AND(A42:C42=S42:U42),IF((F42=Y42),1,0),999)</f>
        <v>999</v>
      </c>
      <c r="K42" s="5">
        <v>2</v>
      </c>
      <c r="L42" s="5">
        <v>0</v>
      </c>
      <c r="M42" s="5">
        <v>2</v>
      </c>
      <c r="N42" s="5" t="s">
        <v>928</v>
      </c>
      <c r="O42" s="5" t="s">
        <v>217</v>
      </c>
      <c r="P42" s="5" t="s">
        <v>142</v>
      </c>
      <c r="Q42" s="5" t="s">
        <v>155</v>
      </c>
      <c r="S42" s="24">
        <v>1</v>
      </c>
      <c r="T42" s="24">
        <v>0</v>
      </c>
      <c r="U42" s="24">
        <v>1</v>
      </c>
      <c r="V42" s="24" t="str">
        <v>KELVYN NATHANAEL MAULANA</v>
      </c>
      <c r="W42" s="24" t="str">
        <v>535220062</v>
      </c>
      <c r="X42" s="24" t="str">
        <v>Magang</v>
      </c>
      <c r="Y42" s="24" t="str">
        <v>Viny Christanti Mawardi, S.Kom., M.Kom.</v>
      </c>
      <c r="AE42">
        <v>1</v>
      </c>
      <c r="AF42">
        <v>2</v>
      </c>
      <c r="AG42">
        <v>4</v>
      </c>
      <c r="AH42" s="25">
        <f t="shared" si="2"/>
        <v>0</v>
      </c>
      <c r="AI42" s="32">
        <f t="shared" si="3"/>
        <v>5</v>
      </c>
    </row>
    <row r="43" spans="1:35" ht="15" x14ac:dyDescent="0.2">
      <c r="A43" s="8">
        <v>1</v>
      </c>
      <c r="B43" s="8">
        <v>1</v>
      </c>
      <c r="C43" s="8">
        <v>0</v>
      </c>
      <c r="D43" s="3">
        <v>535220131</v>
      </c>
      <c r="E43" s="3" t="s">
        <v>142</v>
      </c>
      <c r="F43" t="s">
        <v>154</v>
      </c>
      <c r="G43" s="25" cm="1">
        <f t="array" ref="G43">IF(AND(A43:C43=S43:U43),IF((F43=Y43),1,0),999)</f>
        <v>999</v>
      </c>
      <c r="K43" s="5">
        <v>2</v>
      </c>
      <c r="L43" s="5">
        <v>0</v>
      </c>
      <c r="M43" s="5">
        <v>2</v>
      </c>
      <c r="N43" s="5" t="s">
        <v>929</v>
      </c>
      <c r="O43" s="5" t="s">
        <v>218</v>
      </c>
      <c r="P43" s="5" t="s">
        <v>142</v>
      </c>
      <c r="Q43" s="5" t="s">
        <v>155</v>
      </c>
      <c r="S43" s="24">
        <v>1</v>
      </c>
      <c r="T43" s="24">
        <v>0</v>
      </c>
      <c r="U43" s="24">
        <v>1</v>
      </c>
      <c r="V43" s="24" t="str">
        <v>KENT DYLAN SANJAYA</v>
      </c>
      <c r="W43" s="24" t="str">
        <v>535220063</v>
      </c>
      <c r="X43" s="24" t="str">
        <v>Magang</v>
      </c>
      <c r="Y43" s="24" t="str">
        <v>Viny Christanti Mawardi, S.Kom., M.Kom.</v>
      </c>
      <c r="AE43">
        <v>1</v>
      </c>
      <c r="AF43">
        <v>2</v>
      </c>
      <c r="AG43">
        <v>5</v>
      </c>
      <c r="AH43" s="25">
        <f t="shared" si="2"/>
        <v>0</v>
      </c>
      <c r="AI43" s="32">
        <f t="shared" si="3"/>
        <v>5</v>
      </c>
    </row>
    <row r="44" spans="1:35" ht="15" x14ac:dyDescent="0.2">
      <c r="A44" s="8">
        <v>1</v>
      </c>
      <c r="B44" s="8">
        <v>1</v>
      </c>
      <c r="C44" s="8">
        <v>0</v>
      </c>
      <c r="D44" s="3">
        <v>535220186</v>
      </c>
      <c r="E44" s="3" t="s">
        <v>142</v>
      </c>
      <c r="F44" t="s">
        <v>154</v>
      </c>
      <c r="G44" s="25" cm="1">
        <f t="array" ref="G44">IF(AND(A44:C44=S44:U44),IF((F44=Y44),1,0),999)</f>
        <v>999</v>
      </c>
      <c r="K44" s="5">
        <v>2</v>
      </c>
      <c r="L44" s="5">
        <v>0</v>
      </c>
      <c r="M44" s="5">
        <v>2</v>
      </c>
      <c r="N44" s="5" t="s">
        <v>930</v>
      </c>
      <c r="O44" s="5" t="s">
        <v>219</v>
      </c>
      <c r="P44" s="5" t="s">
        <v>142</v>
      </c>
      <c r="Q44" s="5" t="s">
        <v>155</v>
      </c>
      <c r="S44" s="24">
        <v>1</v>
      </c>
      <c r="T44" s="24">
        <v>0</v>
      </c>
      <c r="U44" s="24">
        <v>1</v>
      </c>
      <c r="V44" s="24" t="str">
        <v>RAFEL SUTRA DHARMA</v>
      </c>
      <c r="W44" s="24" t="str">
        <v>535220071</v>
      </c>
      <c r="X44" s="24" t="str">
        <v>Magang</v>
      </c>
      <c r="Y44" s="24" t="str">
        <v>Viny Christanti Mawardi, S.Kom., M.Kom.</v>
      </c>
      <c r="AE44">
        <v>1</v>
      </c>
      <c r="AF44">
        <v>2</v>
      </c>
      <c r="AG44">
        <v>6</v>
      </c>
      <c r="AH44" s="25">
        <f t="shared" si="2"/>
        <v>0</v>
      </c>
      <c r="AI44" s="32">
        <f t="shared" si="3"/>
        <v>5</v>
      </c>
    </row>
    <row r="45" spans="1:35" ht="15" x14ac:dyDescent="0.2">
      <c r="A45" s="8">
        <v>1</v>
      </c>
      <c r="B45" s="8">
        <v>1</v>
      </c>
      <c r="C45" s="8">
        <v>0</v>
      </c>
      <c r="D45" s="3">
        <v>535220187</v>
      </c>
      <c r="E45" s="3" t="s">
        <v>142</v>
      </c>
      <c r="F45" t="s">
        <v>154</v>
      </c>
      <c r="G45" s="25" cm="1">
        <f t="array" ref="G45">IF(AND(A45:C45=S45:U45),IF((F45=Y45),1,0),999)</f>
        <v>999</v>
      </c>
      <c r="K45" s="5">
        <v>2</v>
      </c>
      <c r="L45" s="5">
        <v>0</v>
      </c>
      <c r="M45" s="5">
        <v>2</v>
      </c>
      <c r="N45" s="5" t="s">
        <v>931</v>
      </c>
      <c r="O45" s="5" t="s">
        <v>220</v>
      </c>
      <c r="P45" s="5" t="s">
        <v>142</v>
      </c>
      <c r="Q45" s="5" t="s">
        <v>155</v>
      </c>
      <c r="S45" s="24">
        <v>1</v>
      </c>
      <c r="T45" s="24">
        <v>0</v>
      </c>
      <c r="U45" s="24">
        <v>1</v>
      </c>
      <c r="V45" s="24" t="str">
        <v>JASON SUNARYO</v>
      </c>
      <c r="W45" s="24" t="str">
        <v>535220123</v>
      </c>
      <c r="X45" s="24" t="str">
        <v>Magang</v>
      </c>
      <c r="Y45" s="24" t="str">
        <v>Viny Christanti Mawardi, S.Kom., M.Kom.</v>
      </c>
    </row>
    <row r="46" spans="1:35" ht="15" x14ac:dyDescent="0.2">
      <c r="A46" s="8">
        <v>1</v>
      </c>
      <c r="B46" s="8">
        <v>1</v>
      </c>
      <c r="C46" s="8">
        <v>0</v>
      </c>
      <c r="D46" s="3">
        <v>535220198</v>
      </c>
      <c r="E46" s="3" t="s">
        <v>142</v>
      </c>
      <c r="F46" t="s">
        <v>154</v>
      </c>
      <c r="G46" s="25" cm="1">
        <f t="array" ref="G46">IF(AND(A46:C46=S46:U46),IF((F46=Y46),1,0),999)</f>
        <v>999</v>
      </c>
      <c r="K46" s="5">
        <v>2</v>
      </c>
      <c r="L46" s="5">
        <v>0</v>
      </c>
      <c r="M46" s="5">
        <v>2</v>
      </c>
      <c r="N46" s="5" t="s">
        <v>932</v>
      </c>
      <c r="O46" s="5" t="s">
        <v>221</v>
      </c>
      <c r="P46" s="5" t="s">
        <v>142</v>
      </c>
      <c r="Q46" s="5" t="s">
        <v>155</v>
      </c>
      <c r="S46" s="24">
        <v>1</v>
      </c>
      <c r="T46" s="24">
        <v>0</v>
      </c>
      <c r="U46" s="24">
        <v>1</v>
      </c>
      <c r="V46" s="24" t="str">
        <v>JEFFRY LINGAU</v>
      </c>
      <c r="W46" s="24" t="str">
        <v>535220126</v>
      </c>
      <c r="X46" s="24" t="str">
        <v>Magang</v>
      </c>
      <c r="Y46" s="24" t="str">
        <v>Viny Christanti Mawardi, S.Kom., M.Kom.</v>
      </c>
      <c r="AE46">
        <v>2</v>
      </c>
      <c r="AF46">
        <v>0</v>
      </c>
      <c r="AG46">
        <v>0</v>
      </c>
      <c r="AH46" s="25">
        <f t="shared" ref="AH46:AH66" si="4">COUNTIFS(A:A,AG46,B:B,AE46,C:C,AF46)</f>
        <v>5</v>
      </c>
      <c r="AI46" s="32">
        <f t="shared" ref="AI46:AI66" si="5">COUNTIFS(S:S,AG46,T:T,AE46,U:U,AF46)</f>
        <v>5</v>
      </c>
    </row>
    <row r="47" spans="1:35" ht="15" x14ac:dyDescent="0.2">
      <c r="A47" s="8">
        <v>2</v>
      </c>
      <c r="B47" s="8">
        <v>1</v>
      </c>
      <c r="C47" s="8">
        <v>0</v>
      </c>
      <c r="D47" s="3">
        <v>535220204</v>
      </c>
      <c r="E47" s="3" t="s">
        <v>142</v>
      </c>
      <c r="F47" t="s">
        <v>154</v>
      </c>
      <c r="G47" s="25" cm="1">
        <f t="array" ref="G47">IF(AND(A47:C47=S47:U47),IF((F47=Y47),1,0),999)</f>
        <v>999</v>
      </c>
      <c r="K47" s="5">
        <v>3</v>
      </c>
      <c r="L47" s="5">
        <v>0</v>
      </c>
      <c r="M47" s="5">
        <v>0</v>
      </c>
      <c r="N47" s="5" t="s">
        <v>933</v>
      </c>
      <c r="O47" s="5" t="s">
        <v>222</v>
      </c>
      <c r="P47" s="5" t="s">
        <v>142</v>
      </c>
      <c r="Q47" s="5" t="s">
        <v>153</v>
      </c>
      <c r="S47" s="24">
        <v>2</v>
      </c>
      <c r="T47" s="24">
        <v>0</v>
      </c>
      <c r="U47" s="24">
        <v>1</v>
      </c>
      <c r="V47" s="24" t="str">
        <v>HANS SANTOSO</v>
      </c>
      <c r="W47" s="24" t="str">
        <v>535220129</v>
      </c>
      <c r="X47" s="24" t="str">
        <v>Magang</v>
      </c>
      <c r="Y47" s="24" t="str">
        <v>Viny Christanti Mawardi, S.Kom., M.Kom.</v>
      </c>
      <c r="AE47">
        <v>2</v>
      </c>
      <c r="AF47">
        <v>0</v>
      </c>
      <c r="AG47">
        <v>1</v>
      </c>
      <c r="AH47" s="25">
        <f t="shared" si="4"/>
        <v>0</v>
      </c>
      <c r="AI47" s="32">
        <f t="shared" si="5"/>
        <v>5</v>
      </c>
    </row>
    <row r="48" spans="1:35" ht="15" x14ac:dyDescent="0.2">
      <c r="A48" s="8">
        <v>2</v>
      </c>
      <c r="B48" s="8">
        <v>1</v>
      </c>
      <c r="C48" s="8">
        <v>0</v>
      </c>
      <c r="D48" s="3">
        <v>535220006</v>
      </c>
      <c r="E48" s="3" t="s">
        <v>142</v>
      </c>
      <c r="F48" t="s">
        <v>156</v>
      </c>
      <c r="G48" s="25" cm="1">
        <f t="array" ref="G48">IF(AND(A48:C48=S48:U48),IF((F48=Y48),1,0),999)</f>
        <v>999</v>
      </c>
      <c r="K48" s="5">
        <v>3</v>
      </c>
      <c r="L48" s="5">
        <v>0</v>
      </c>
      <c r="M48" s="5">
        <v>0</v>
      </c>
      <c r="N48" s="5" t="s">
        <v>934</v>
      </c>
      <c r="O48" s="5" t="s">
        <v>223</v>
      </c>
      <c r="P48" s="5" t="s">
        <v>142</v>
      </c>
      <c r="Q48" s="5" t="s">
        <v>156</v>
      </c>
      <c r="S48" s="24">
        <v>2</v>
      </c>
      <c r="T48" s="24">
        <v>0</v>
      </c>
      <c r="U48" s="24">
        <v>1</v>
      </c>
      <c r="V48" s="24" t="str">
        <v>SABRINA PHALOSA PHAI</v>
      </c>
      <c r="W48" s="24" t="str">
        <v>535220131</v>
      </c>
      <c r="X48" s="24" t="str">
        <v>Magang</v>
      </c>
      <c r="Y48" s="24" t="str">
        <v>Viny Christanti Mawardi, S.Kom., M.Kom.</v>
      </c>
      <c r="AE48">
        <v>2</v>
      </c>
      <c r="AF48">
        <v>0</v>
      </c>
      <c r="AG48">
        <v>2</v>
      </c>
      <c r="AH48" s="25">
        <f t="shared" si="4"/>
        <v>0</v>
      </c>
      <c r="AI48" s="32">
        <f t="shared" si="5"/>
        <v>5</v>
      </c>
    </row>
    <row r="49" spans="1:35" ht="15" x14ac:dyDescent="0.2">
      <c r="A49" s="8">
        <v>2</v>
      </c>
      <c r="B49" s="8">
        <v>1</v>
      </c>
      <c r="C49" s="8">
        <v>0</v>
      </c>
      <c r="D49" s="4">
        <v>535220007</v>
      </c>
      <c r="E49" s="3" t="s">
        <v>142</v>
      </c>
      <c r="F49" t="s">
        <v>156</v>
      </c>
      <c r="G49" s="25" cm="1">
        <f t="array" ref="G49">IF(AND(A49:C49=S49:U49),IF((F49=Y49),1,0),999)</f>
        <v>999</v>
      </c>
      <c r="K49" s="5">
        <v>3</v>
      </c>
      <c r="L49" s="5">
        <v>0</v>
      </c>
      <c r="M49" s="5">
        <v>0</v>
      </c>
      <c r="N49" s="5" t="s">
        <v>935</v>
      </c>
      <c r="O49" s="5" t="s">
        <v>224</v>
      </c>
      <c r="P49" s="5" t="s">
        <v>142</v>
      </c>
      <c r="Q49" s="5" t="s">
        <v>156</v>
      </c>
      <c r="S49" s="24">
        <v>2</v>
      </c>
      <c r="T49" s="24">
        <v>0</v>
      </c>
      <c r="U49" s="24">
        <v>1</v>
      </c>
      <c r="V49" s="24" t="str">
        <v>VALENTINO RICHARDO LIM</v>
      </c>
      <c r="W49" s="24" t="str">
        <v>535220186</v>
      </c>
      <c r="X49" s="24" t="str">
        <v>Magang</v>
      </c>
      <c r="Y49" s="24" t="str">
        <v>Viny Christanti Mawardi, S.Kom., M.Kom.</v>
      </c>
      <c r="AE49">
        <v>2</v>
      </c>
      <c r="AF49">
        <v>0</v>
      </c>
      <c r="AG49">
        <v>3</v>
      </c>
      <c r="AH49" s="25">
        <f t="shared" si="4"/>
        <v>0</v>
      </c>
      <c r="AI49" s="32">
        <f t="shared" si="5"/>
        <v>3</v>
      </c>
    </row>
    <row r="50" spans="1:35" ht="15" x14ac:dyDescent="0.2">
      <c r="A50" s="8">
        <v>2</v>
      </c>
      <c r="B50" s="8">
        <v>1</v>
      </c>
      <c r="C50" s="8">
        <v>0</v>
      </c>
      <c r="D50" s="3">
        <v>535220012</v>
      </c>
      <c r="E50" s="3" t="s">
        <v>142</v>
      </c>
      <c r="F50" t="s">
        <v>156</v>
      </c>
      <c r="G50" s="25" cm="1">
        <f t="array" ref="G50">IF(AND(A50:C50=S50:U50),IF((F50=Y50),1,0),999)</f>
        <v>999</v>
      </c>
      <c r="K50" s="5">
        <v>3</v>
      </c>
      <c r="L50" s="5">
        <v>0</v>
      </c>
      <c r="M50" s="5">
        <v>0</v>
      </c>
      <c r="N50" s="5" t="s">
        <v>936</v>
      </c>
      <c r="O50" s="5" t="s">
        <v>225</v>
      </c>
      <c r="P50" s="5" t="s">
        <v>142</v>
      </c>
      <c r="Q50" s="5" t="s">
        <v>156</v>
      </c>
      <c r="S50" s="24">
        <v>2</v>
      </c>
      <c r="T50" s="24">
        <v>0</v>
      </c>
      <c r="U50" s="24">
        <v>1</v>
      </c>
      <c r="V50" s="24" t="str">
        <v>JESSICA HO</v>
      </c>
      <c r="W50" s="24" t="str">
        <v>535220187</v>
      </c>
      <c r="X50" s="24" t="str">
        <v>Magang</v>
      </c>
      <c r="Y50" s="24" t="str">
        <v>Viny Christanti Mawardi, S.Kom., M.Kom.</v>
      </c>
      <c r="AE50">
        <v>2</v>
      </c>
      <c r="AF50">
        <v>0</v>
      </c>
      <c r="AG50">
        <v>4</v>
      </c>
      <c r="AH50" s="25">
        <f t="shared" si="4"/>
        <v>5</v>
      </c>
      <c r="AI50" s="32">
        <f t="shared" si="5"/>
        <v>0</v>
      </c>
    </row>
    <row r="51" spans="1:35" ht="15" x14ac:dyDescent="0.2">
      <c r="A51" s="8">
        <v>2</v>
      </c>
      <c r="B51" s="8">
        <v>1</v>
      </c>
      <c r="C51" s="8">
        <v>0</v>
      </c>
      <c r="D51" s="3">
        <v>535220055</v>
      </c>
      <c r="E51" s="3" t="s">
        <v>142</v>
      </c>
      <c r="F51" t="s">
        <v>156</v>
      </c>
      <c r="G51" s="25" cm="1">
        <f t="array" ref="G51">IF(AND(A51:C51=S51:U51),IF((F51=Y51),1,0),999)</f>
        <v>999</v>
      </c>
      <c r="K51" s="5">
        <v>3</v>
      </c>
      <c r="L51" s="5">
        <v>0</v>
      </c>
      <c r="M51" s="5">
        <v>0</v>
      </c>
      <c r="N51" s="5" t="s">
        <v>937</v>
      </c>
      <c r="O51" s="5" t="s">
        <v>226</v>
      </c>
      <c r="P51" s="5" t="s">
        <v>142</v>
      </c>
      <c r="Q51" s="5" t="s">
        <v>156</v>
      </c>
      <c r="S51" s="24">
        <v>2</v>
      </c>
      <c r="T51" s="24">
        <v>0</v>
      </c>
      <c r="U51" s="24">
        <v>1</v>
      </c>
      <c r="V51" s="24" t="str">
        <v>MARVIN GULTOM</v>
      </c>
      <c r="W51" s="24" t="str">
        <v>535220198</v>
      </c>
      <c r="X51" s="24" t="str">
        <v>Magang</v>
      </c>
      <c r="Y51" s="24" t="str">
        <v>Viny Christanti Mawardi, S.Kom., M.Kom.</v>
      </c>
      <c r="AE51">
        <v>2</v>
      </c>
      <c r="AF51">
        <v>0</v>
      </c>
      <c r="AG51">
        <v>5</v>
      </c>
      <c r="AH51" s="25">
        <f t="shared" si="4"/>
        <v>5</v>
      </c>
      <c r="AI51" s="32">
        <f t="shared" si="5"/>
        <v>0</v>
      </c>
    </row>
    <row r="52" spans="1:35" ht="15" x14ac:dyDescent="0.2">
      <c r="A52" s="8">
        <v>3</v>
      </c>
      <c r="B52" s="8">
        <v>1</v>
      </c>
      <c r="C52" s="8">
        <v>0</v>
      </c>
      <c r="D52" s="3">
        <v>535220065</v>
      </c>
      <c r="E52" s="3" t="s">
        <v>142</v>
      </c>
      <c r="F52" t="s">
        <v>167</v>
      </c>
      <c r="G52" s="25" cm="1">
        <f t="array" ref="G52">IF(AND(A52:C52=S52:U52),IF((F52=Y52),1,0),999)</f>
        <v>999</v>
      </c>
      <c r="K52" s="5">
        <v>3</v>
      </c>
      <c r="L52" s="5">
        <v>0</v>
      </c>
      <c r="M52" s="5">
        <v>1</v>
      </c>
      <c r="N52" s="5" t="s">
        <v>938</v>
      </c>
      <c r="O52" s="5" t="s">
        <v>227</v>
      </c>
      <c r="P52" s="5" t="s">
        <v>142</v>
      </c>
      <c r="Q52" s="5" t="s">
        <v>154</v>
      </c>
      <c r="S52" s="24">
        <v>3</v>
      </c>
      <c r="T52" s="24">
        <v>0</v>
      </c>
      <c r="U52" s="24">
        <v>1</v>
      </c>
      <c r="V52" s="24" t="str">
        <v xml:space="preserve">SHANNON ANDREA </v>
      </c>
      <c r="W52" s="24" t="str">
        <v>535220204</v>
      </c>
      <c r="X52" s="24" t="str">
        <v>Magang</v>
      </c>
      <c r="Y52" s="24" t="str">
        <v>Viny Christanti Mawardi, S.Kom., M.Kom.</v>
      </c>
      <c r="AE52">
        <v>2</v>
      </c>
      <c r="AF52">
        <v>0</v>
      </c>
      <c r="AG52">
        <v>6</v>
      </c>
      <c r="AH52" s="25">
        <f t="shared" si="4"/>
        <v>5</v>
      </c>
      <c r="AI52" s="32">
        <f t="shared" si="5"/>
        <v>0</v>
      </c>
    </row>
    <row r="53" spans="1:35" ht="15" x14ac:dyDescent="0.2">
      <c r="A53" s="8">
        <v>3</v>
      </c>
      <c r="B53" s="8">
        <v>1</v>
      </c>
      <c r="C53" s="8">
        <v>0</v>
      </c>
      <c r="D53" s="3">
        <v>535220066</v>
      </c>
      <c r="E53" s="3" t="s">
        <v>142</v>
      </c>
      <c r="F53" t="s">
        <v>167</v>
      </c>
      <c r="G53" s="25" cm="1">
        <f t="array" ref="G53">IF(AND(A53:C53=S53:U53),IF((F53=Y53),1,0),999)</f>
        <v>999</v>
      </c>
      <c r="K53" s="5">
        <v>3</v>
      </c>
      <c r="L53" s="5">
        <v>0</v>
      </c>
      <c r="M53" s="5">
        <v>1</v>
      </c>
      <c r="N53" s="5" t="s">
        <v>939</v>
      </c>
      <c r="O53" s="5" t="s">
        <v>228</v>
      </c>
      <c r="P53" s="5" t="s">
        <v>143</v>
      </c>
      <c r="Q53" s="5" t="s">
        <v>154</v>
      </c>
      <c r="S53" s="24">
        <v>3</v>
      </c>
      <c r="T53" s="24">
        <v>0</v>
      </c>
      <c r="U53" s="24">
        <v>1</v>
      </c>
      <c r="V53" s="24" t="str">
        <v>VALENTINO MICHAEL</v>
      </c>
      <c r="W53" s="24" t="str">
        <v>535200033</v>
      </c>
      <c r="X53" s="24" t="str">
        <v>Stupen</v>
      </c>
      <c r="Y53" s="24" t="str">
        <v>Viny Christanti Mawardi, S.Kom., M.Kom.</v>
      </c>
      <c r="AE53">
        <v>2</v>
      </c>
      <c r="AF53">
        <v>1</v>
      </c>
      <c r="AG53">
        <v>0</v>
      </c>
      <c r="AH53" s="25">
        <f t="shared" si="4"/>
        <v>5</v>
      </c>
      <c r="AI53" s="32">
        <f t="shared" si="5"/>
        <v>5</v>
      </c>
    </row>
    <row r="54" spans="1:35" ht="15" x14ac:dyDescent="0.2">
      <c r="A54" s="8">
        <v>3</v>
      </c>
      <c r="B54" s="8">
        <v>1</v>
      </c>
      <c r="C54" s="8">
        <v>0</v>
      </c>
      <c r="D54" s="3">
        <v>535220067</v>
      </c>
      <c r="E54" s="3" t="s">
        <v>142</v>
      </c>
      <c r="F54" t="s">
        <v>167</v>
      </c>
      <c r="G54" s="25" cm="1">
        <f t="array" ref="G54">IF(AND(A54:C54=S54:U54),IF((F54=Y54),1,0),999)</f>
        <v>999</v>
      </c>
      <c r="K54" s="5">
        <v>3</v>
      </c>
      <c r="L54" s="5">
        <v>0</v>
      </c>
      <c r="M54" s="5">
        <v>1</v>
      </c>
      <c r="N54" s="5" t="s">
        <v>940</v>
      </c>
      <c r="O54" s="5" t="s">
        <v>229</v>
      </c>
      <c r="P54" s="5" t="s">
        <v>142</v>
      </c>
      <c r="Q54" s="5" t="s">
        <v>155</v>
      </c>
      <c r="S54" s="24">
        <v>3</v>
      </c>
      <c r="T54" s="24">
        <v>0</v>
      </c>
      <c r="U54" s="24">
        <v>1</v>
      </c>
      <c r="V54" s="24" t="str">
        <v>HANA FATHIYAH SALSABILA</v>
      </c>
      <c r="W54" s="24" t="str">
        <v>825220165</v>
      </c>
      <c r="X54" s="24" t="str">
        <v>Magang</v>
      </c>
      <c r="Y54" s="24" t="str">
        <v>Dr. Wasino, S.Kom., M.Kom.</v>
      </c>
      <c r="AE54">
        <v>2</v>
      </c>
      <c r="AF54">
        <v>1</v>
      </c>
      <c r="AG54">
        <v>1</v>
      </c>
      <c r="AH54" s="25">
        <f t="shared" si="4"/>
        <v>5</v>
      </c>
      <c r="AI54" s="32">
        <f t="shared" si="5"/>
        <v>5</v>
      </c>
    </row>
    <row r="55" spans="1:35" ht="15" x14ac:dyDescent="0.2">
      <c r="A55" s="8">
        <v>3</v>
      </c>
      <c r="B55" s="8">
        <v>1</v>
      </c>
      <c r="C55" s="8">
        <v>0</v>
      </c>
      <c r="D55" s="3">
        <v>535220134</v>
      </c>
      <c r="E55" s="3" t="s">
        <v>142</v>
      </c>
      <c r="F55" t="s">
        <v>167</v>
      </c>
      <c r="G55" s="25" cm="1">
        <f t="array" ref="G55">IF(AND(A55:C55=S55:U55),IF((F55=Y55),1,0),999)</f>
        <v>999</v>
      </c>
      <c r="K55" s="5">
        <v>3</v>
      </c>
      <c r="L55" s="5">
        <v>0</v>
      </c>
      <c r="M55" s="5">
        <v>1</v>
      </c>
      <c r="N55" s="5" t="s">
        <v>941</v>
      </c>
      <c r="O55" s="5" t="s">
        <v>230</v>
      </c>
      <c r="P55" s="5" t="s">
        <v>142</v>
      </c>
      <c r="Q55" s="5" t="s">
        <v>157</v>
      </c>
      <c r="S55" s="24">
        <v>3</v>
      </c>
      <c r="T55" s="24">
        <v>0</v>
      </c>
      <c r="U55" s="24">
        <v>1</v>
      </c>
      <c r="V55" s="24" t="str">
        <v>JAFIER ANDREAS</v>
      </c>
      <c r="W55" s="24" t="str">
        <v>535220013</v>
      </c>
      <c r="X55" s="24" t="str">
        <v>Magang</v>
      </c>
      <c r="Y55" s="24" t="str">
        <v>Dra. Chairisni Lubis, M.Kom.</v>
      </c>
      <c r="AE55">
        <v>2</v>
      </c>
      <c r="AF55">
        <v>1</v>
      </c>
      <c r="AG55">
        <v>2</v>
      </c>
      <c r="AH55" s="25">
        <f t="shared" si="4"/>
        <v>5</v>
      </c>
      <c r="AI55" s="32">
        <f t="shared" si="5"/>
        <v>5</v>
      </c>
    </row>
    <row r="56" spans="1:35" ht="15" x14ac:dyDescent="0.2">
      <c r="A56" s="8">
        <v>3</v>
      </c>
      <c r="B56" s="8">
        <v>1</v>
      </c>
      <c r="C56" s="8">
        <v>0</v>
      </c>
      <c r="D56" s="3">
        <v>535220135</v>
      </c>
      <c r="E56" s="3" t="s">
        <v>142</v>
      </c>
      <c r="F56" t="s">
        <v>167</v>
      </c>
      <c r="G56" s="25" cm="1">
        <f t="array" ref="G56">IF(AND(A56:C56=S56:U56),IF((F56=Y56),1,0),999)</f>
        <v>999</v>
      </c>
      <c r="K56" s="5">
        <v>3</v>
      </c>
      <c r="L56" s="5">
        <v>0</v>
      </c>
      <c r="M56" s="5">
        <v>1</v>
      </c>
      <c r="N56" s="5" t="s">
        <v>942</v>
      </c>
      <c r="O56" s="5" t="s">
        <v>231</v>
      </c>
      <c r="P56" s="5" t="s">
        <v>142</v>
      </c>
      <c r="Q56" s="5" t="s">
        <v>157</v>
      </c>
      <c r="S56" s="24">
        <v>3</v>
      </c>
      <c r="T56" s="24">
        <v>0</v>
      </c>
      <c r="U56" s="24">
        <v>1</v>
      </c>
      <c r="V56" s="24" t="str">
        <v>RUBEN SETIAJI</v>
      </c>
      <c r="W56" s="24" t="str">
        <v>535220033</v>
      </c>
      <c r="X56" s="24" t="str">
        <v>Magang</v>
      </c>
      <c r="Y56" s="24" t="str">
        <v>Dra. Chairisni Lubis, M.Kom.</v>
      </c>
      <c r="AE56">
        <v>2</v>
      </c>
      <c r="AF56">
        <v>1</v>
      </c>
      <c r="AG56">
        <v>3</v>
      </c>
      <c r="AH56" s="25">
        <f t="shared" si="4"/>
        <v>5</v>
      </c>
      <c r="AI56" s="32">
        <f t="shared" si="5"/>
        <v>0</v>
      </c>
    </row>
    <row r="57" spans="1:35" ht="15" x14ac:dyDescent="0.2">
      <c r="A57" s="8">
        <v>4</v>
      </c>
      <c r="B57" s="8">
        <v>1</v>
      </c>
      <c r="C57" s="8">
        <v>0</v>
      </c>
      <c r="D57" s="3">
        <v>535220115</v>
      </c>
      <c r="E57" s="3" t="s">
        <v>143</v>
      </c>
      <c r="F57" t="s">
        <v>159</v>
      </c>
      <c r="G57" s="25" cm="1">
        <f t="array" ref="G57">IF(AND(A57:C57=S57:U57),IF((F57=Y57),1,0),999)</f>
        <v>999</v>
      </c>
      <c r="K57" s="5">
        <v>3</v>
      </c>
      <c r="L57" s="5">
        <v>0</v>
      </c>
      <c r="M57" s="5">
        <v>2</v>
      </c>
      <c r="N57" s="5" t="s">
        <v>943</v>
      </c>
      <c r="O57" s="5" t="s">
        <v>232</v>
      </c>
      <c r="P57" s="5" t="s">
        <v>142</v>
      </c>
      <c r="Q57" s="5" t="s">
        <v>158</v>
      </c>
      <c r="S57" s="24">
        <v>4</v>
      </c>
      <c r="T57" s="24">
        <v>0</v>
      </c>
      <c r="U57" s="24">
        <v>1</v>
      </c>
      <c r="V57" s="24" t="str">
        <v>WINNI SETIAWATI</v>
      </c>
      <c r="W57" s="24" t="str">
        <v>825220002</v>
      </c>
      <c r="X57" s="24" t="str">
        <v>Magang</v>
      </c>
      <c r="Y57" s="24" t="str">
        <v>Ir. Jap Tji Beng, MMSI, M.Psi., Ph.D., PE, M.ASCE</v>
      </c>
      <c r="AE57">
        <v>2</v>
      </c>
      <c r="AF57">
        <v>1</v>
      </c>
      <c r="AG57">
        <v>4</v>
      </c>
      <c r="AH57" s="25">
        <f t="shared" si="4"/>
        <v>0</v>
      </c>
      <c r="AI57" s="32">
        <f t="shared" si="5"/>
        <v>0</v>
      </c>
    </row>
    <row r="58" spans="1:35" ht="15" x14ac:dyDescent="0.2">
      <c r="A58" s="8">
        <v>4</v>
      </c>
      <c r="B58" s="8">
        <v>1</v>
      </c>
      <c r="C58" s="8">
        <v>0</v>
      </c>
      <c r="D58" s="3">
        <v>535220116</v>
      </c>
      <c r="E58" s="3" t="s">
        <v>143</v>
      </c>
      <c r="F58" t="s">
        <v>159</v>
      </c>
      <c r="G58" s="25" cm="1">
        <f t="array" ref="G58">IF(AND(A58:C58=S58:U58),IF((F58=Y58),1,0),999)</f>
        <v>999</v>
      </c>
      <c r="K58" s="5">
        <v>3</v>
      </c>
      <c r="L58" s="5">
        <v>0</v>
      </c>
      <c r="M58" s="5">
        <v>2</v>
      </c>
      <c r="N58" s="5" t="s">
        <v>944</v>
      </c>
      <c r="O58" s="5" t="s">
        <v>233</v>
      </c>
      <c r="P58" s="5" t="s">
        <v>142</v>
      </c>
      <c r="Q58" s="5" t="s">
        <v>158</v>
      </c>
      <c r="S58" s="24">
        <v>4</v>
      </c>
      <c r="T58" s="24">
        <v>0</v>
      </c>
      <c r="U58" s="24">
        <v>1</v>
      </c>
      <c r="V58" s="24" t="str">
        <v>FEDRIK PANGESTU</v>
      </c>
      <c r="W58" s="24" t="str">
        <v>825220009</v>
      </c>
      <c r="X58" s="24" t="str">
        <v>Magang</v>
      </c>
      <c r="Y58" s="24" t="str">
        <v>Ir. Jap Tji Beng, MMSI, M.Psi., Ph.D., PE, M.ASCE</v>
      </c>
      <c r="AE58">
        <v>2</v>
      </c>
      <c r="AF58">
        <v>1</v>
      </c>
      <c r="AG58">
        <v>5</v>
      </c>
      <c r="AH58" s="25">
        <f t="shared" si="4"/>
        <v>0</v>
      </c>
      <c r="AI58" s="32">
        <f t="shared" si="5"/>
        <v>0</v>
      </c>
    </row>
    <row r="59" spans="1:35" ht="15" x14ac:dyDescent="0.2">
      <c r="A59" s="8">
        <v>4</v>
      </c>
      <c r="B59" s="8">
        <v>1</v>
      </c>
      <c r="C59" s="8">
        <v>0</v>
      </c>
      <c r="D59" s="3">
        <v>535220118</v>
      </c>
      <c r="E59" s="3" t="s">
        <v>143</v>
      </c>
      <c r="F59" t="s">
        <v>159</v>
      </c>
      <c r="G59" s="25" cm="1">
        <f t="array" ref="G59">IF(AND(A59:C59=S59:U59),IF((F59=Y59),1,0),999)</f>
        <v>999</v>
      </c>
      <c r="K59" s="5">
        <v>3</v>
      </c>
      <c r="L59" s="5">
        <v>0</v>
      </c>
      <c r="M59" s="5">
        <v>2</v>
      </c>
      <c r="N59" s="5" t="s">
        <v>945</v>
      </c>
      <c r="O59" s="5" t="s">
        <v>234</v>
      </c>
      <c r="P59" s="5" t="s">
        <v>142</v>
      </c>
      <c r="Q59" s="5" t="s">
        <v>158</v>
      </c>
      <c r="S59" s="24">
        <v>4</v>
      </c>
      <c r="T59" s="24">
        <v>0</v>
      </c>
      <c r="U59" s="24">
        <v>1</v>
      </c>
      <c r="V59" s="24" t="str">
        <v>RACHELLE MARVELLA NARTO ATMODJO</v>
      </c>
      <c r="W59" s="24" t="str">
        <v>825220024</v>
      </c>
      <c r="X59" s="24" t="str">
        <v>Magang</v>
      </c>
      <c r="Y59" s="24" t="str">
        <v>Ir. Jap Tji Beng, MMSI, M.Psi., Ph.D., PE, M.ASCE</v>
      </c>
      <c r="AE59">
        <v>2</v>
      </c>
      <c r="AF59">
        <v>1</v>
      </c>
      <c r="AG59">
        <v>6</v>
      </c>
      <c r="AH59" s="25">
        <f t="shared" si="4"/>
        <v>0</v>
      </c>
      <c r="AI59" s="32">
        <f t="shared" si="5"/>
        <v>0</v>
      </c>
    </row>
    <row r="60" spans="1:35" ht="15" x14ac:dyDescent="0.2">
      <c r="A60" s="8">
        <v>4</v>
      </c>
      <c r="B60" s="8">
        <v>1</v>
      </c>
      <c r="C60" s="8">
        <v>0</v>
      </c>
      <c r="D60" s="11">
        <v>535220124</v>
      </c>
      <c r="E60" s="3" t="s">
        <v>143</v>
      </c>
      <c r="F60" t="s">
        <v>159</v>
      </c>
      <c r="G60" s="25" cm="1">
        <f t="array" ref="G60">IF(AND(A60:C60=S60:U60),IF((F60=Y60),1,0),999)</f>
        <v>999</v>
      </c>
      <c r="K60" s="5">
        <v>3</v>
      </c>
      <c r="L60" s="5">
        <v>0</v>
      </c>
      <c r="M60" s="5">
        <v>2</v>
      </c>
      <c r="N60" s="5" t="s">
        <v>946</v>
      </c>
      <c r="O60" s="5" t="s">
        <v>235</v>
      </c>
      <c r="P60" s="5" t="s">
        <v>142</v>
      </c>
      <c r="Q60" s="5" t="s">
        <v>158</v>
      </c>
      <c r="S60" s="24">
        <v>4</v>
      </c>
      <c r="T60" s="24">
        <v>0</v>
      </c>
      <c r="U60" s="24">
        <v>1</v>
      </c>
      <c r="V60" s="24" t="str">
        <v>JENNIFER</v>
      </c>
      <c r="W60" s="24" t="str">
        <v>825220040</v>
      </c>
      <c r="X60" s="24" t="str">
        <v>Magang</v>
      </c>
      <c r="Y60" s="24" t="str">
        <v>Ir. Jap Tji Beng, MMSI, M.Psi., Ph.D., PE, M.ASCE</v>
      </c>
      <c r="AE60">
        <v>2</v>
      </c>
      <c r="AF60">
        <v>2</v>
      </c>
      <c r="AG60">
        <v>0</v>
      </c>
      <c r="AH60" s="25">
        <f t="shared" si="4"/>
        <v>5</v>
      </c>
      <c r="AI60" s="32">
        <f t="shared" si="5"/>
        <v>5</v>
      </c>
    </row>
    <row r="61" spans="1:35" ht="15" x14ac:dyDescent="0.2">
      <c r="A61" s="8">
        <v>4</v>
      </c>
      <c r="B61" s="8">
        <v>1</v>
      </c>
      <c r="C61" s="8">
        <v>0</v>
      </c>
      <c r="D61" s="3">
        <v>535220125</v>
      </c>
      <c r="E61" s="3" t="s">
        <v>143</v>
      </c>
      <c r="F61" t="s">
        <v>159</v>
      </c>
      <c r="G61" s="25" cm="1">
        <f t="array" ref="G61">IF(AND(A61:C61=S61:U61),IF((F61=Y61),1,0),999)</f>
        <v>999</v>
      </c>
      <c r="K61" s="5">
        <v>3</v>
      </c>
      <c r="L61" s="5">
        <v>0</v>
      </c>
      <c r="M61" s="5">
        <v>2</v>
      </c>
      <c r="N61" s="5" t="s">
        <v>947</v>
      </c>
      <c r="O61" s="5" t="s">
        <v>236</v>
      </c>
      <c r="P61" s="5" t="s">
        <v>142</v>
      </c>
      <c r="Q61" s="5" t="s">
        <v>158</v>
      </c>
      <c r="S61" s="24">
        <v>4</v>
      </c>
      <c r="T61" s="24">
        <v>0</v>
      </c>
      <c r="U61" s="24">
        <v>1</v>
      </c>
      <c r="V61" s="24" t="str">
        <v>JOSELIN SANDRA WIJAYA</v>
      </c>
      <c r="W61" s="24" t="str">
        <v>825220045</v>
      </c>
      <c r="X61" s="24" t="str">
        <v>Magang</v>
      </c>
      <c r="Y61" s="24" t="str">
        <v>Ir. Jap Tji Beng, MMSI, M.Psi., Ph.D., PE, M.ASCE</v>
      </c>
      <c r="AE61">
        <v>2</v>
      </c>
      <c r="AF61">
        <v>2</v>
      </c>
      <c r="AG61">
        <v>1</v>
      </c>
      <c r="AH61" s="25">
        <f t="shared" si="4"/>
        <v>5</v>
      </c>
      <c r="AI61" s="32">
        <f t="shared" si="5"/>
        <v>5</v>
      </c>
    </row>
    <row r="62" spans="1:35" ht="15" x14ac:dyDescent="0.2">
      <c r="A62" s="8">
        <v>5</v>
      </c>
      <c r="B62" s="8">
        <v>1</v>
      </c>
      <c r="C62" s="8">
        <v>0</v>
      </c>
      <c r="D62" s="3">
        <v>535220244</v>
      </c>
      <c r="E62" s="3" t="s">
        <v>143</v>
      </c>
      <c r="F62" t="s">
        <v>159</v>
      </c>
      <c r="G62" s="25" cm="1">
        <f t="array" ref="G62">IF(AND(A62:C62=S62:U62),IF((F62=Y62),1,0),999)</f>
        <v>999</v>
      </c>
      <c r="K62" s="5">
        <v>4</v>
      </c>
      <c r="L62" s="5">
        <v>0</v>
      </c>
      <c r="M62" s="5">
        <v>0</v>
      </c>
      <c r="N62" s="5" t="s">
        <v>948</v>
      </c>
      <c r="O62" s="5" t="s">
        <v>237</v>
      </c>
      <c r="P62" s="5" t="s">
        <v>143</v>
      </c>
      <c r="Q62" s="5" t="s">
        <v>159</v>
      </c>
      <c r="S62" s="24">
        <v>5</v>
      </c>
      <c r="T62" s="24">
        <v>0</v>
      </c>
      <c r="U62" s="24">
        <v>1</v>
      </c>
      <c r="V62" s="24" t="str">
        <v>CLAUDYA CHRISTINE</v>
      </c>
      <c r="W62" s="24" t="str">
        <v>825220049</v>
      </c>
      <c r="X62" s="24" t="str">
        <v>Magang</v>
      </c>
      <c r="Y62" s="24" t="str">
        <v>Ir. Jap Tji Beng, MMSI, M.Psi., Ph.D., PE, M.ASCE</v>
      </c>
      <c r="AE62">
        <v>2</v>
      </c>
      <c r="AF62">
        <v>2</v>
      </c>
      <c r="AG62">
        <v>2</v>
      </c>
      <c r="AH62" s="25">
        <f t="shared" si="4"/>
        <v>5</v>
      </c>
      <c r="AI62" s="32">
        <f t="shared" si="5"/>
        <v>0</v>
      </c>
    </row>
    <row r="63" spans="1:35" ht="15" x14ac:dyDescent="0.2">
      <c r="A63" s="8">
        <v>5</v>
      </c>
      <c r="B63" s="8">
        <v>1</v>
      </c>
      <c r="C63" s="8">
        <v>0</v>
      </c>
      <c r="D63" s="3">
        <v>535220267</v>
      </c>
      <c r="E63" s="3" t="s">
        <v>143</v>
      </c>
      <c r="F63" t="s">
        <v>159</v>
      </c>
      <c r="G63" s="25" cm="1">
        <f t="array" ref="G63">IF(AND(A63:C63=S63:U63),IF((F63=Y63),1,0),999)</f>
        <v>999</v>
      </c>
      <c r="K63" s="5">
        <v>4</v>
      </c>
      <c r="L63" s="5">
        <v>0</v>
      </c>
      <c r="M63" s="5">
        <v>0</v>
      </c>
      <c r="N63" s="5" t="s">
        <v>949</v>
      </c>
      <c r="O63" s="5" t="s">
        <v>238</v>
      </c>
      <c r="P63" s="5" t="s">
        <v>143</v>
      </c>
      <c r="Q63" s="5" t="s">
        <v>159</v>
      </c>
      <c r="S63" s="24">
        <v>5</v>
      </c>
      <c r="T63" s="24">
        <v>0</v>
      </c>
      <c r="U63" s="24">
        <v>1</v>
      </c>
      <c r="V63" s="24" t="str">
        <v>LAUREN KEZIA VANESSA</v>
      </c>
      <c r="W63" s="24" t="str">
        <v>825220055</v>
      </c>
      <c r="X63" s="24" t="str">
        <v>Magang</v>
      </c>
      <c r="Y63" s="24" t="str">
        <v>Ir. Jap Tji Beng, MMSI, M.Psi., Ph.D., PE, M.ASCE</v>
      </c>
      <c r="AE63">
        <v>2</v>
      </c>
      <c r="AF63">
        <v>2</v>
      </c>
      <c r="AG63">
        <v>3</v>
      </c>
      <c r="AH63" s="25">
        <f t="shared" si="4"/>
        <v>5</v>
      </c>
      <c r="AI63" s="32">
        <f t="shared" si="5"/>
        <v>0</v>
      </c>
    </row>
    <row r="64" spans="1:35" ht="15" x14ac:dyDescent="0.2">
      <c r="A64" s="8">
        <v>5</v>
      </c>
      <c r="B64" s="8">
        <v>1</v>
      </c>
      <c r="C64" s="8">
        <v>0</v>
      </c>
      <c r="D64" s="3">
        <v>825220145</v>
      </c>
      <c r="E64" s="3" t="s">
        <v>143</v>
      </c>
      <c r="F64" t="s">
        <v>161</v>
      </c>
      <c r="G64" s="25" cm="1">
        <f t="array" ref="G64">IF(AND(A64:C64=S64:U64),IF((F64=Y64),1,0),999)</f>
        <v>999</v>
      </c>
      <c r="K64" s="5">
        <v>4</v>
      </c>
      <c r="L64" s="5">
        <v>0</v>
      </c>
      <c r="M64" s="5">
        <v>0</v>
      </c>
      <c r="N64" s="5" t="s">
        <v>950</v>
      </c>
      <c r="O64" s="5" t="s">
        <v>239</v>
      </c>
      <c r="P64" s="5" t="s">
        <v>143</v>
      </c>
      <c r="Q64" s="5" t="s">
        <v>159</v>
      </c>
      <c r="S64" s="24">
        <v>5</v>
      </c>
      <c r="T64" s="24">
        <v>0</v>
      </c>
      <c r="U64" s="24">
        <v>1</v>
      </c>
      <c r="V64" s="24" t="str">
        <v>MELINDA GLORIA</v>
      </c>
      <c r="W64" s="24" t="str">
        <v>825220089</v>
      </c>
      <c r="X64" s="24" t="str">
        <v>Magang</v>
      </c>
      <c r="Y64" s="24" t="str">
        <v>Ir. Jap Tji Beng, MMSI, M.Psi., Ph.D., PE, M.ASCE</v>
      </c>
      <c r="AE64">
        <v>2</v>
      </c>
      <c r="AF64">
        <v>2</v>
      </c>
      <c r="AG64">
        <v>4</v>
      </c>
      <c r="AH64" s="25">
        <f t="shared" si="4"/>
        <v>0</v>
      </c>
      <c r="AI64" s="32">
        <f t="shared" si="5"/>
        <v>0</v>
      </c>
    </row>
    <row r="65" spans="1:35" ht="15" x14ac:dyDescent="0.2">
      <c r="A65" s="8">
        <v>5</v>
      </c>
      <c r="B65" s="8">
        <v>1</v>
      </c>
      <c r="C65" s="8">
        <v>0</v>
      </c>
      <c r="D65" s="3">
        <v>825220148</v>
      </c>
      <c r="E65" s="3" t="s">
        <v>143</v>
      </c>
      <c r="F65" t="s">
        <v>161</v>
      </c>
      <c r="G65" s="25" cm="1">
        <f t="array" ref="G65">IF(AND(A65:C65=S65:U65),IF((F65=Y65),1,0),999)</f>
        <v>999</v>
      </c>
      <c r="K65" s="5">
        <v>4</v>
      </c>
      <c r="L65" s="5">
        <v>0</v>
      </c>
      <c r="M65" s="5">
        <v>0</v>
      </c>
      <c r="N65" s="5" t="s">
        <v>951</v>
      </c>
      <c r="O65" s="5" t="s">
        <v>240</v>
      </c>
      <c r="P65" s="5" t="s">
        <v>143</v>
      </c>
      <c r="Q65" s="5" t="s">
        <v>159</v>
      </c>
      <c r="S65" s="24">
        <v>5</v>
      </c>
      <c r="T65" s="24">
        <v>0</v>
      </c>
      <c r="U65" s="24">
        <v>1</v>
      </c>
      <c r="V65" s="24" t="str">
        <v>DHIRA FRANCESCO</v>
      </c>
      <c r="W65" s="24" t="str">
        <v>825220132</v>
      </c>
      <c r="X65" s="24" t="str">
        <v>Magang</v>
      </c>
      <c r="Y65" s="24" t="str">
        <v>Ir. Jap Tji Beng, MMSI, M.Psi., Ph.D., PE, M.ASCE</v>
      </c>
      <c r="AE65">
        <v>2</v>
      </c>
      <c r="AF65">
        <v>2</v>
      </c>
      <c r="AG65">
        <v>5</v>
      </c>
      <c r="AH65" s="25">
        <f t="shared" si="4"/>
        <v>0</v>
      </c>
      <c r="AI65" s="32">
        <f t="shared" si="5"/>
        <v>0</v>
      </c>
    </row>
    <row r="66" spans="1:35" ht="15" x14ac:dyDescent="0.2">
      <c r="A66" s="8">
        <v>5</v>
      </c>
      <c r="B66" s="8">
        <v>1</v>
      </c>
      <c r="C66" s="8">
        <v>0</v>
      </c>
      <c r="D66" s="3">
        <v>825220150</v>
      </c>
      <c r="E66" s="3" t="s">
        <v>143</v>
      </c>
      <c r="F66" t="s">
        <v>161</v>
      </c>
      <c r="G66" s="25" cm="1">
        <f t="array" ref="G66">IF(AND(A66:C66=S66:U66),IF((F66=Y66),1,0),999)</f>
        <v>999</v>
      </c>
      <c r="K66" s="5">
        <v>4</v>
      </c>
      <c r="L66" s="5">
        <v>0</v>
      </c>
      <c r="M66" s="5">
        <v>0</v>
      </c>
      <c r="N66" s="5" t="s">
        <v>952</v>
      </c>
      <c r="O66" s="5" t="s">
        <v>241</v>
      </c>
      <c r="P66" s="5" t="s">
        <v>143</v>
      </c>
      <c r="Q66" s="5" t="s">
        <v>159</v>
      </c>
      <c r="S66" s="24">
        <v>5</v>
      </c>
      <c r="T66" s="24">
        <v>0</v>
      </c>
      <c r="U66" s="24">
        <v>1</v>
      </c>
      <c r="V66" s="24" t="str">
        <v>SULTAN SAID ABDUL RAHIM</v>
      </c>
      <c r="W66" s="24" t="str">
        <v>825220151</v>
      </c>
      <c r="X66" s="24" t="str">
        <v>Magang</v>
      </c>
      <c r="Y66" s="24" t="str">
        <v>Ir. Jap Tji Beng, MMSI, M.Psi., Ph.D., PE, M.ASCE</v>
      </c>
      <c r="AE66">
        <v>2</v>
      </c>
      <c r="AF66">
        <v>2</v>
      </c>
      <c r="AG66">
        <v>6</v>
      </c>
      <c r="AH66" s="25">
        <f t="shared" si="4"/>
        <v>0</v>
      </c>
      <c r="AI66" s="32">
        <f t="shared" si="5"/>
        <v>0</v>
      </c>
    </row>
    <row r="67" spans="1:35" ht="15" x14ac:dyDescent="0.2">
      <c r="A67" s="8">
        <v>6</v>
      </c>
      <c r="B67" s="8">
        <v>1</v>
      </c>
      <c r="C67" s="8">
        <v>0</v>
      </c>
      <c r="D67" s="3">
        <v>825220181</v>
      </c>
      <c r="E67" s="3" t="s">
        <v>143</v>
      </c>
      <c r="F67" t="s">
        <v>161</v>
      </c>
      <c r="G67" s="25" cm="1">
        <f t="array" ref="G67">IF(AND(A67:C67=S67:U67),IF((F67=Y67),1,0),999)</f>
        <v>999</v>
      </c>
      <c r="K67" s="5">
        <v>4</v>
      </c>
      <c r="L67" s="5">
        <v>0</v>
      </c>
      <c r="M67" s="5">
        <v>1</v>
      </c>
      <c r="N67" s="5" t="s">
        <v>953</v>
      </c>
      <c r="O67" s="5" t="s">
        <v>242</v>
      </c>
      <c r="P67" s="5" t="s">
        <v>142</v>
      </c>
      <c r="Q67" s="5" t="s">
        <v>160</v>
      </c>
      <c r="S67" s="24">
        <v>6</v>
      </c>
      <c r="T67" s="24">
        <v>0</v>
      </c>
      <c r="U67" s="24">
        <v>1</v>
      </c>
      <c r="V67" s="24" t="str">
        <v>GLADYS ANAWAI OHYVER</v>
      </c>
      <c r="W67" s="24" t="str">
        <v>825220154</v>
      </c>
      <c r="X67" s="24" t="str">
        <v>Magang</v>
      </c>
      <c r="Y67" s="24" t="str">
        <v>Ir. Jap Tji Beng, MMSI, M.Psi., Ph.D., PE, M.ASCE</v>
      </c>
    </row>
    <row r="68" spans="1:35" ht="15" x14ac:dyDescent="0.2">
      <c r="A68" s="8">
        <v>6</v>
      </c>
      <c r="B68" s="8">
        <v>1</v>
      </c>
      <c r="C68" s="8">
        <v>0</v>
      </c>
      <c r="D68" s="3">
        <v>825239201</v>
      </c>
      <c r="E68" s="3" t="s">
        <v>143</v>
      </c>
      <c r="F68" t="s">
        <v>161</v>
      </c>
      <c r="G68" s="25" cm="1">
        <f t="array" ref="G68">IF(AND(A68:C68=S68:U68),IF((F68=Y68),1,0),999)</f>
        <v>999</v>
      </c>
      <c r="K68" s="5">
        <v>4</v>
      </c>
      <c r="L68" s="5">
        <v>0</v>
      </c>
      <c r="M68" s="5">
        <v>1</v>
      </c>
      <c r="N68" s="5" t="s">
        <v>954</v>
      </c>
      <c r="O68" s="5" t="s">
        <v>243</v>
      </c>
      <c r="P68" s="5" t="s">
        <v>142</v>
      </c>
      <c r="Q68" s="5" t="s">
        <v>160</v>
      </c>
      <c r="S68" s="24">
        <v>6</v>
      </c>
      <c r="T68" s="24">
        <v>0</v>
      </c>
      <c r="U68" s="24">
        <v>1</v>
      </c>
      <c r="V68" s="24" t="str">
        <v xml:space="preserve">KHALLIFAH MUBARAK ARMANDO </v>
      </c>
      <c r="W68" s="24" t="str">
        <v>825220006</v>
      </c>
      <c r="X68" s="24" t="str">
        <v>Stupen</v>
      </c>
      <c r="Y68" s="24" t="str">
        <v>Ir. Jap Tji Beng, MMSI, M.Psi., Ph.D., PE, M.ASCE</v>
      </c>
      <c r="AE68">
        <v>3</v>
      </c>
      <c r="AF68">
        <v>0</v>
      </c>
      <c r="AG68">
        <v>0</v>
      </c>
      <c r="AH68" s="25">
        <f t="shared" ref="AH68:AH88" si="6">COUNTIFS(A:A,AG68,B:B,AE68,C:C,AF68)</f>
        <v>5</v>
      </c>
      <c r="AI68" s="32">
        <f t="shared" ref="AI68:AI88" si="7">COUNTIFS(S:S,AG68,T:T,AE68,U:U,AF68)</f>
        <v>0</v>
      </c>
    </row>
    <row r="69" spans="1:35" ht="15" x14ac:dyDescent="0.2">
      <c r="A69" s="8">
        <v>6</v>
      </c>
      <c r="B69" s="8">
        <v>1</v>
      </c>
      <c r="C69" s="8">
        <v>0</v>
      </c>
      <c r="D69" s="3">
        <v>535220037</v>
      </c>
      <c r="E69" s="3" t="s">
        <v>142</v>
      </c>
      <c r="F69" t="s">
        <v>167</v>
      </c>
      <c r="G69" s="25" cm="1">
        <f t="array" ref="G69">IF(AND(A69:C69=S69:U69),IF((F69=Y69),1,0),999)</f>
        <v>999</v>
      </c>
      <c r="K69" s="5">
        <v>4</v>
      </c>
      <c r="L69" s="5">
        <v>0</v>
      </c>
      <c r="M69" s="5">
        <v>1</v>
      </c>
      <c r="N69" s="5" t="s">
        <v>955</v>
      </c>
      <c r="O69" s="5" t="s">
        <v>244</v>
      </c>
      <c r="P69" s="5" t="s">
        <v>142</v>
      </c>
      <c r="Q69" s="5" t="s">
        <v>160</v>
      </c>
      <c r="S69" s="24">
        <v>6</v>
      </c>
      <c r="T69" s="24">
        <v>0</v>
      </c>
      <c r="U69" s="24">
        <v>1</v>
      </c>
      <c r="V69" s="24" t="str">
        <v>ESTERIA TIFFANY ERFROVINA TAMBUNAN</v>
      </c>
      <c r="W69" s="24" t="str">
        <v>825220011</v>
      </c>
      <c r="X69" s="24" t="str">
        <v>Stupen</v>
      </c>
      <c r="Y69" s="24" t="str">
        <v>Ir. Jap Tji Beng, MMSI, M.Psi., Ph.D., PE, M.ASCE</v>
      </c>
      <c r="AE69">
        <v>3</v>
      </c>
      <c r="AF69">
        <v>0</v>
      </c>
      <c r="AG69">
        <v>1</v>
      </c>
      <c r="AH69" s="25">
        <f t="shared" si="6"/>
        <v>5</v>
      </c>
      <c r="AI69" s="32">
        <f t="shared" si="7"/>
        <v>0</v>
      </c>
    </row>
    <row r="70" spans="1:35" ht="15" x14ac:dyDescent="0.2">
      <c r="A70" s="8">
        <v>6</v>
      </c>
      <c r="B70" s="8">
        <v>1</v>
      </c>
      <c r="C70" s="8">
        <v>0</v>
      </c>
      <c r="D70" s="3">
        <v>535220040</v>
      </c>
      <c r="E70" s="3" t="s">
        <v>142</v>
      </c>
      <c r="F70" t="s">
        <v>167</v>
      </c>
      <c r="G70" s="25" cm="1">
        <f t="array" ref="G70">IF(AND(A70:C70=S70:U70),IF((F70=Y70),1,0),999)</f>
        <v>999</v>
      </c>
      <c r="K70" s="5">
        <v>4</v>
      </c>
      <c r="L70" s="5">
        <v>0</v>
      </c>
      <c r="M70" s="5">
        <v>1</v>
      </c>
      <c r="N70" s="5" t="s">
        <v>956</v>
      </c>
      <c r="O70" s="5" t="s">
        <v>245</v>
      </c>
      <c r="P70" s="5" t="s">
        <v>142</v>
      </c>
      <c r="Q70" s="5" t="s">
        <v>160</v>
      </c>
      <c r="S70" s="24">
        <v>6</v>
      </c>
      <c r="T70" s="24">
        <v>0</v>
      </c>
      <c r="U70" s="24">
        <v>1</v>
      </c>
      <c r="V70" s="24" t="str">
        <v>FASIA META SEFIRA</v>
      </c>
      <c r="W70" s="24" t="str">
        <v>825220162</v>
      </c>
      <c r="X70" s="24" t="str">
        <v>Penelitian</v>
      </c>
      <c r="Y70" s="24" t="str">
        <v>Ir. Jap Tji Beng, MMSI, M.Psi., Ph.D., PE, M.ASCE</v>
      </c>
      <c r="AE70">
        <v>3</v>
      </c>
      <c r="AF70">
        <v>0</v>
      </c>
      <c r="AG70">
        <v>2</v>
      </c>
      <c r="AH70" s="25">
        <f t="shared" si="6"/>
        <v>5</v>
      </c>
      <c r="AI70" s="32">
        <f t="shared" si="7"/>
        <v>0</v>
      </c>
    </row>
    <row r="71" spans="1:35" ht="15" x14ac:dyDescent="0.2">
      <c r="A71" s="8">
        <v>6</v>
      </c>
      <c r="B71" s="8">
        <v>1</v>
      </c>
      <c r="C71" s="8">
        <v>0</v>
      </c>
      <c r="D71" s="3">
        <v>535220064</v>
      </c>
      <c r="E71" s="3" t="s">
        <v>142</v>
      </c>
      <c r="F71" t="s">
        <v>167</v>
      </c>
      <c r="G71" s="25" cm="1">
        <f t="array" ref="G71">IF(AND(A71:C71=S71:U71),IF((F71=Y71),1,0),999)</f>
        <v>999</v>
      </c>
      <c r="K71" s="5">
        <v>4</v>
      </c>
      <c r="L71" s="5">
        <v>0</v>
      </c>
      <c r="M71" s="5">
        <v>1</v>
      </c>
      <c r="N71" s="5" t="s">
        <v>957</v>
      </c>
      <c r="O71" s="5" t="s">
        <v>246</v>
      </c>
      <c r="P71" s="5" t="s">
        <v>142</v>
      </c>
      <c r="Q71" s="5" t="s">
        <v>160</v>
      </c>
      <c r="S71" s="24">
        <v>6</v>
      </c>
      <c r="T71" s="24">
        <v>0</v>
      </c>
      <c r="U71" s="24">
        <v>1</v>
      </c>
      <c r="V71" s="24" t="str">
        <v>TIARA ZAHRO</v>
      </c>
      <c r="W71" s="24" t="str">
        <v>825220183</v>
      </c>
      <c r="X71" s="24" t="str">
        <v>Penelitian</v>
      </c>
      <c r="Y71" s="24" t="str">
        <v>Ir. Jap Tji Beng, MMSI, M.Psi., Ph.D., PE, M.ASCE</v>
      </c>
      <c r="AE71">
        <v>3</v>
      </c>
      <c r="AF71">
        <v>0</v>
      </c>
      <c r="AG71">
        <v>3</v>
      </c>
      <c r="AH71" s="25">
        <f t="shared" si="6"/>
        <v>5</v>
      </c>
      <c r="AI71" s="32">
        <f t="shared" si="7"/>
        <v>0</v>
      </c>
    </row>
    <row r="72" spans="1:35" ht="15" x14ac:dyDescent="0.2">
      <c r="A72" s="8">
        <v>0</v>
      </c>
      <c r="B72" s="8">
        <v>1</v>
      </c>
      <c r="C72" s="8">
        <v>1</v>
      </c>
      <c r="D72" s="3">
        <v>535220096</v>
      </c>
      <c r="E72" s="3" t="s">
        <v>142</v>
      </c>
      <c r="F72" t="s">
        <v>168</v>
      </c>
      <c r="G72" s="25" cm="1">
        <f t="array" ref="G72">IF(AND(A72:C72=S72:U72),IF((F72=Y72),1,0),999)</f>
        <v>999</v>
      </c>
      <c r="K72" s="5">
        <v>4</v>
      </c>
      <c r="L72" s="5">
        <v>0</v>
      </c>
      <c r="M72" s="5">
        <v>2</v>
      </c>
      <c r="N72" s="5" t="s">
        <v>958</v>
      </c>
      <c r="O72" s="5" t="s">
        <v>247</v>
      </c>
      <c r="P72" s="5" t="s">
        <v>142</v>
      </c>
      <c r="Q72" s="5" t="s">
        <v>161</v>
      </c>
      <c r="S72" s="24">
        <v>0</v>
      </c>
      <c r="T72" s="24">
        <v>0</v>
      </c>
      <c r="U72" s="24">
        <v>2</v>
      </c>
      <c r="V72" s="24" t="str">
        <v>ARYO PRAYOGI</v>
      </c>
      <c r="W72" s="24" t="str">
        <v>825220012</v>
      </c>
      <c r="X72" s="24" t="str">
        <v>Magang</v>
      </c>
      <c r="Y72" s="24" t="str">
        <v>Dr. Wasino, S.Kom., M.Kom.</v>
      </c>
      <c r="AE72">
        <v>3</v>
      </c>
      <c r="AF72">
        <v>0</v>
      </c>
      <c r="AG72">
        <v>4</v>
      </c>
      <c r="AH72" s="25">
        <f t="shared" si="6"/>
        <v>5</v>
      </c>
      <c r="AI72" s="32">
        <f t="shared" si="7"/>
        <v>5</v>
      </c>
    </row>
    <row r="73" spans="1:35" ht="15" x14ac:dyDescent="0.2">
      <c r="A73" s="8">
        <v>0</v>
      </c>
      <c r="B73" s="8">
        <v>1</v>
      </c>
      <c r="C73" s="8">
        <v>1</v>
      </c>
      <c r="D73" s="3">
        <v>535220101</v>
      </c>
      <c r="E73" s="3" t="s">
        <v>142</v>
      </c>
      <c r="F73" t="s">
        <v>168</v>
      </c>
      <c r="G73" s="25" cm="1">
        <f t="array" ref="G73">IF(AND(A73:C73=S73:U73),IF((F73=Y73),1,0),999)</f>
        <v>999</v>
      </c>
      <c r="K73" s="5">
        <v>4</v>
      </c>
      <c r="L73" s="5">
        <v>0</v>
      </c>
      <c r="M73" s="5">
        <v>2</v>
      </c>
      <c r="N73" s="5" t="s">
        <v>959</v>
      </c>
      <c r="O73" s="5" t="s">
        <v>248</v>
      </c>
      <c r="P73" s="5" t="s">
        <v>142</v>
      </c>
      <c r="Q73" s="5" t="s">
        <v>161</v>
      </c>
      <c r="S73" s="24">
        <v>0</v>
      </c>
      <c r="T73" s="24">
        <v>0</v>
      </c>
      <c r="U73" s="24">
        <v>2</v>
      </c>
      <c r="V73" s="24" t="str">
        <v>VINCEN LEONARDY</v>
      </c>
      <c r="W73" s="24" t="str">
        <v>825220016</v>
      </c>
      <c r="X73" s="24" t="str">
        <v>Magang</v>
      </c>
      <c r="Y73" s="24" t="str">
        <v>Dr. Wasino, S.Kom., M.Kom.</v>
      </c>
      <c r="AE73">
        <v>3</v>
      </c>
      <c r="AF73">
        <v>0</v>
      </c>
      <c r="AG73">
        <v>5</v>
      </c>
      <c r="AH73" s="25">
        <f t="shared" si="6"/>
        <v>5</v>
      </c>
      <c r="AI73" s="32">
        <f t="shared" si="7"/>
        <v>3</v>
      </c>
    </row>
    <row r="74" spans="1:35" ht="15" x14ac:dyDescent="0.2">
      <c r="A74" s="8">
        <v>0</v>
      </c>
      <c r="B74" s="8">
        <v>1</v>
      </c>
      <c r="C74" s="8">
        <v>1</v>
      </c>
      <c r="D74" s="3">
        <v>535220103</v>
      </c>
      <c r="E74" s="3" t="s">
        <v>142</v>
      </c>
      <c r="F74" t="s">
        <v>168</v>
      </c>
      <c r="G74" s="25" cm="1">
        <f t="array" ref="G74">IF(AND(A74:C74=S74:U74),IF((F74=Y74),1,0),999)</f>
        <v>999</v>
      </c>
      <c r="K74" s="5">
        <v>4</v>
      </c>
      <c r="L74" s="5">
        <v>0</v>
      </c>
      <c r="M74" s="5">
        <v>2</v>
      </c>
      <c r="N74" s="5" t="s">
        <v>960</v>
      </c>
      <c r="O74" s="5" t="s">
        <v>249</v>
      </c>
      <c r="P74" s="5" t="s">
        <v>142</v>
      </c>
      <c r="Q74" s="5" t="s">
        <v>161</v>
      </c>
      <c r="S74" s="24">
        <v>0</v>
      </c>
      <c r="T74" s="24">
        <v>0</v>
      </c>
      <c r="U74" s="24">
        <v>2</v>
      </c>
      <c r="V74" s="24" t="str">
        <v>PHILLIP MARCHEGIANY</v>
      </c>
      <c r="W74" s="24" t="str">
        <v>825220020</v>
      </c>
      <c r="X74" s="24" t="str">
        <v>Magang</v>
      </c>
      <c r="Y74" s="24" t="str">
        <v>Dr. Wasino, S.Kom., M.Kom.</v>
      </c>
      <c r="AE74">
        <v>3</v>
      </c>
      <c r="AF74">
        <v>0</v>
      </c>
      <c r="AG74">
        <v>6</v>
      </c>
      <c r="AH74" s="25">
        <f t="shared" si="6"/>
        <v>5</v>
      </c>
      <c r="AI74" s="32">
        <f t="shared" si="7"/>
        <v>0</v>
      </c>
    </row>
    <row r="75" spans="1:35" ht="15" x14ac:dyDescent="0.2">
      <c r="A75" s="8">
        <v>0</v>
      </c>
      <c r="B75" s="8">
        <v>1</v>
      </c>
      <c r="C75" s="8">
        <v>1</v>
      </c>
      <c r="D75" s="3">
        <v>535220082</v>
      </c>
      <c r="E75" s="3" t="s">
        <v>142</v>
      </c>
      <c r="F75" t="s">
        <v>164</v>
      </c>
      <c r="G75" s="25" cm="1">
        <f t="array" ref="G75">IF(AND(A75:C75=S75:U75),IF((F75=Y75),1,0),999)</f>
        <v>999</v>
      </c>
      <c r="K75" s="5">
        <v>4</v>
      </c>
      <c r="L75" s="5">
        <v>0</v>
      </c>
      <c r="M75" s="5">
        <v>2</v>
      </c>
      <c r="N75" s="5" t="s">
        <v>961</v>
      </c>
      <c r="O75" s="5" t="s">
        <v>250</v>
      </c>
      <c r="P75" s="5" t="s">
        <v>142</v>
      </c>
      <c r="Q75" s="5" t="s">
        <v>161</v>
      </c>
      <c r="S75" s="24">
        <v>0</v>
      </c>
      <c r="T75" s="24">
        <v>0</v>
      </c>
      <c r="U75" s="24">
        <v>2</v>
      </c>
      <c r="V75" s="24" t="str">
        <v>NICOLAS</v>
      </c>
      <c r="W75" s="24" t="str">
        <v>825220023</v>
      </c>
      <c r="X75" s="24" t="str">
        <v>Magang</v>
      </c>
      <c r="Y75" s="24" t="str">
        <v>Dr. Wasino, S.Kom., M.Kom.</v>
      </c>
      <c r="AE75">
        <v>3</v>
      </c>
      <c r="AF75">
        <v>1</v>
      </c>
      <c r="AG75">
        <v>0</v>
      </c>
      <c r="AH75" s="25">
        <f t="shared" si="6"/>
        <v>0</v>
      </c>
      <c r="AI75" s="32">
        <f t="shared" si="7"/>
        <v>0</v>
      </c>
    </row>
    <row r="76" spans="1:35" ht="15" x14ac:dyDescent="0.2">
      <c r="A76" s="8">
        <v>0</v>
      </c>
      <c r="B76" s="8">
        <v>1</v>
      </c>
      <c r="C76" s="8">
        <v>1</v>
      </c>
      <c r="D76" s="3">
        <v>535220133</v>
      </c>
      <c r="E76" s="3" t="s">
        <v>142</v>
      </c>
      <c r="F76" t="s">
        <v>164</v>
      </c>
      <c r="G76" s="25" cm="1">
        <f t="array" ref="G76">IF(AND(A76:C76=S76:U76),IF((F76=Y76),1,0),999)</f>
        <v>999</v>
      </c>
      <c r="K76" s="5">
        <v>4</v>
      </c>
      <c r="L76" s="5">
        <v>0</v>
      </c>
      <c r="M76" s="5">
        <v>2</v>
      </c>
      <c r="N76" s="5" t="s">
        <v>962</v>
      </c>
      <c r="O76" s="5" t="s">
        <v>251</v>
      </c>
      <c r="P76" s="5" t="s">
        <v>142</v>
      </c>
      <c r="Q76" s="5" t="s">
        <v>161</v>
      </c>
      <c r="S76" s="24">
        <v>0</v>
      </c>
      <c r="T76" s="24">
        <v>0</v>
      </c>
      <c r="U76" s="24">
        <v>2</v>
      </c>
      <c r="V76" s="24" t="str">
        <v>RAFAEL CHRISTOPER SUHANDI</v>
      </c>
      <c r="W76" s="24" t="str">
        <v>825220028</v>
      </c>
      <c r="X76" s="24" t="str">
        <v>Magang</v>
      </c>
      <c r="Y76" s="24" t="str">
        <v>Dr. Wasino, S.Kom., M.Kom.</v>
      </c>
      <c r="AE76">
        <v>3</v>
      </c>
      <c r="AF76">
        <v>1</v>
      </c>
      <c r="AG76">
        <v>1</v>
      </c>
      <c r="AH76" s="25">
        <f t="shared" si="6"/>
        <v>0</v>
      </c>
      <c r="AI76" s="32">
        <f t="shared" si="7"/>
        <v>0</v>
      </c>
    </row>
    <row r="77" spans="1:35" ht="15" x14ac:dyDescent="0.2">
      <c r="A77" s="8">
        <v>1</v>
      </c>
      <c r="B77" s="8">
        <v>1</v>
      </c>
      <c r="C77" s="8">
        <v>1</v>
      </c>
      <c r="D77" s="3">
        <v>535220149</v>
      </c>
      <c r="E77" s="3" t="s">
        <v>142</v>
      </c>
      <c r="F77" t="s">
        <v>164</v>
      </c>
      <c r="G77" s="25" cm="1">
        <f t="array" ref="G77">IF(AND(A77:C77=S77:U77),IF((F77=Y77),1,0),999)</f>
        <v>999</v>
      </c>
      <c r="K77" s="5">
        <v>5</v>
      </c>
      <c r="L77" s="5">
        <v>0</v>
      </c>
      <c r="M77" s="5">
        <v>0</v>
      </c>
      <c r="N77" s="5" t="s">
        <v>963</v>
      </c>
      <c r="O77" s="5" t="s">
        <v>252</v>
      </c>
      <c r="P77" s="5" t="s">
        <v>143</v>
      </c>
      <c r="Q77" s="5" t="s">
        <v>159</v>
      </c>
      <c r="S77" s="24">
        <v>1</v>
      </c>
      <c r="T77" s="24">
        <v>0</v>
      </c>
      <c r="U77" s="24">
        <v>2</v>
      </c>
      <c r="V77" s="24" t="str">
        <v xml:space="preserve">MARCELL BUDIMAN </v>
      </c>
      <c r="W77" s="24" t="str">
        <v>825220041</v>
      </c>
      <c r="X77" s="24" t="str">
        <v>Magang</v>
      </c>
      <c r="Y77" s="24" t="str">
        <v>Dr. Wasino, S.Kom., M.Kom.</v>
      </c>
      <c r="AE77">
        <v>3</v>
      </c>
      <c r="AF77">
        <v>1</v>
      </c>
      <c r="AG77">
        <v>2</v>
      </c>
      <c r="AH77" s="25">
        <f t="shared" si="6"/>
        <v>0</v>
      </c>
      <c r="AI77" s="32">
        <f t="shared" si="7"/>
        <v>0</v>
      </c>
    </row>
    <row r="78" spans="1:35" ht="15" x14ac:dyDescent="0.2">
      <c r="A78" s="8">
        <v>1</v>
      </c>
      <c r="B78" s="8">
        <v>1</v>
      </c>
      <c r="C78" s="8">
        <v>1</v>
      </c>
      <c r="D78" s="3">
        <v>535220058</v>
      </c>
      <c r="E78" s="3" t="s">
        <v>142</v>
      </c>
      <c r="F78" t="s">
        <v>169</v>
      </c>
      <c r="G78" s="25" cm="1">
        <f t="array" ref="G78">IF(AND(A78:C78=S78:U78),IF((F78=Y78),1,0),999)</f>
        <v>999</v>
      </c>
      <c r="K78" s="5">
        <v>5</v>
      </c>
      <c r="L78" s="5">
        <v>0</v>
      </c>
      <c r="M78" s="5">
        <v>0</v>
      </c>
      <c r="N78" s="5" t="s">
        <v>964</v>
      </c>
      <c r="O78" s="5" t="s">
        <v>253</v>
      </c>
      <c r="P78" s="5" t="s">
        <v>143</v>
      </c>
      <c r="Q78" s="5" t="s">
        <v>159</v>
      </c>
      <c r="S78" s="24">
        <v>1</v>
      </c>
      <c r="T78" s="24">
        <v>0</v>
      </c>
      <c r="U78" s="24">
        <v>2</v>
      </c>
      <c r="V78" s="24" t="str">
        <v>GUSTIAN ROSADI</v>
      </c>
      <c r="W78" s="24" t="str">
        <v>825220065</v>
      </c>
      <c r="X78" s="24" t="str">
        <v>Magang</v>
      </c>
      <c r="Y78" s="24" t="str">
        <v>Dr. Wasino, S.Kom., M.Kom.</v>
      </c>
      <c r="AE78">
        <v>3</v>
      </c>
      <c r="AF78">
        <v>1</v>
      </c>
      <c r="AG78">
        <v>3</v>
      </c>
      <c r="AH78" s="25">
        <f t="shared" si="6"/>
        <v>0</v>
      </c>
      <c r="AI78" s="32">
        <f t="shared" si="7"/>
        <v>0</v>
      </c>
    </row>
    <row r="79" spans="1:35" ht="15" x14ac:dyDescent="0.2">
      <c r="A79" s="8">
        <v>1</v>
      </c>
      <c r="B79" s="8">
        <v>1</v>
      </c>
      <c r="C79" s="8">
        <v>1</v>
      </c>
      <c r="D79" s="3">
        <v>535220059</v>
      </c>
      <c r="E79" s="3" t="s">
        <v>142</v>
      </c>
      <c r="F79" t="s">
        <v>169</v>
      </c>
      <c r="G79" s="25" cm="1">
        <f t="array" ref="G79">IF(AND(A79:C79=S79:U79),IF((F79=Y79),1,0),999)</f>
        <v>999</v>
      </c>
      <c r="K79" s="5">
        <v>5</v>
      </c>
      <c r="L79" s="5">
        <v>0</v>
      </c>
      <c r="M79" s="5">
        <v>0</v>
      </c>
      <c r="N79" s="5" t="s">
        <v>965</v>
      </c>
      <c r="O79" s="5" t="s">
        <v>254</v>
      </c>
      <c r="P79" s="5" t="s">
        <v>143</v>
      </c>
      <c r="Q79" s="5" t="s">
        <v>159</v>
      </c>
      <c r="S79" s="24">
        <v>1</v>
      </c>
      <c r="T79" s="24">
        <v>0</v>
      </c>
      <c r="U79" s="24">
        <v>2</v>
      </c>
      <c r="V79" s="24" t="str">
        <v>VEREN THIOVANDA</v>
      </c>
      <c r="W79" s="24" t="str">
        <v>825220067</v>
      </c>
      <c r="X79" s="24" t="str">
        <v>Magang</v>
      </c>
      <c r="Y79" s="24" t="str">
        <v>Dr. Wasino, S.Kom., M.Kom.</v>
      </c>
      <c r="AE79">
        <v>3</v>
      </c>
      <c r="AF79">
        <v>1</v>
      </c>
      <c r="AG79">
        <v>4</v>
      </c>
      <c r="AH79" s="25">
        <f t="shared" si="6"/>
        <v>0</v>
      </c>
      <c r="AI79" s="32">
        <f t="shared" si="7"/>
        <v>0</v>
      </c>
    </row>
    <row r="80" spans="1:35" ht="15" x14ac:dyDescent="0.2">
      <c r="A80" s="8">
        <v>1</v>
      </c>
      <c r="B80" s="8">
        <v>1</v>
      </c>
      <c r="C80" s="8">
        <v>1</v>
      </c>
      <c r="D80" s="4">
        <v>535220069</v>
      </c>
      <c r="E80" s="3" t="s">
        <v>142</v>
      </c>
      <c r="F80" t="s">
        <v>169</v>
      </c>
      <c r="G80" s="25" cm="1">
        <f t="array" ref="G80">IF(AND(A80:C80=S80:U80),IF((F80=Y80),1,0),999)</f>
        <v>999</v>
      </c>
      <c r="K80" s="5">
        <v>5</v>
      </c>
      <c r="L80" s="5">
        <v>0</v>
      </c>
      <c r="M80" s="5">
        <v>0</v>
      </c>
      <c r="N80" s="5" t="s">
        <v>966</v>
      </c>
      <c r="O80" s="5" t="s">
        <v>255</v>
      </c>
      <c r="P80" s="5" t="s">
        <v>143</v>
      </c>
      <c r="Q80" s="5" t="s">
        <v>159</v>
      </c>
      <c r="S80" s="24">
        <v>1</v>
      </c>
      <c r="T80" s="24">
        <v>0</v>
      </c>
      <c r="U80" s="24">
        <v>2</v>
      </c>
      <c r="V80" s="24" t="str">
        <v>VALENTINO</v>
      </c>
      <c r="W80" s="24" t="str">
        <v>825220083</v>
      </c>
      <c r="X80" s="24" t="str">
        <v>Magang</v>
      </c>
      <c r="Y80" s="24" t="str">
        <v>Dr. Wasino, S.Kom., M.Kom.</v>
      </c>
      <c r="AE80">
        <v>3</v>
      </c>
      <c r="AF80">
        <v>1</v>
      </c>
      <c r="AG80">
        <v>5</v>
      </c>
      <c r="AH80" s="25">
        <f t="shared" si="6"/>
        <v>0</v>
      </c>
      <c r="AI80" s="32">
        <f t="shared" si="7"/>
        <v>0</v>
      </c>
    </row>
    <row r="81" spans="1:35" ht="15" x14ac:dyDescent="0.2">
      <c r="A81" s="8">
        <v>1</v>
      </c>
      <c r="B81" s="8">
        <v>1</v>
      </c>
      <c r="C81" s="8">
        <v>1</v>
      </c>
      <c r="D81" s="3">
        <v>535220110</v>
      </c>
      <c r="E81" s="3" t="s">
        <v>142</v>
      </c>
      <c r="F81" t="s">
        <v>169</v>
      </c>
      <c r="G81" s="25" cm="1">
        <f t="array" ref="G81">IF(AND(A81:C81=S81:U81),IF((F81=Y81),1,0),999)</f>
        <v>999</v>
      </c>
      <c r="K81" s="5">
        <v>5</v>
      </c>
      <c r="L81" s="5">
        <v>0</v>
      </c>
      <c r="M81" s="5">
        <v>0</v>
      </c>
      <c r="N81" s="5" t="s">
        <v>967</v>
      </c>
      <c r="O81" s="5" t="s">
        <v>256</v>
      </c>
      <c r="P81" s="5" t="s">
        <v>143</v>
      </c>
      <c r="Q81" s="5" t="s">
        <v>159</v>
      </c>
      <c r="S81" s="24">
        <v>1</v>
      </c>
      <c r="T81" s="24">
        <v>0</v>
      </c>
      <c r="U81" s="24">
        <v>2</v>
      </c>
      <c r="V81" s="24" t="str">
        <v>VALENCIA</v>
      </c>
      <c r="W81" s="24" t="str">
        <v>825220108</v>
      </c>
      <c r="X81" s="24" t="str">
        <v>Magang</v>
      </c>
      <c r="Y81" s="24" t="str">
        <v>Dr. Wasino, S.Kom., M.Kom.</v>
      </c>
      <c r="AE81">
        <v>3</v>
      </c>
      <c r="AF81">
        <v>1</v>
      </c>
      <c r="AG81">
        <v>6</v>
      </c>
      <c r="AH81" s="25">
        <f t="shared" si="6"/>
        <v>0</v>
      </c>
      <c r="AI81" s="32">
        <f t="shared" si="7"/>
        <v>0</v>
      </c>
    </row>
    <row r="82" spans="1:35" ht="15" x14ac:dyDescent="0.2">
      <c r="A82" s="8">
        <v>2</v>
      </c>
      <c r="B82" s="8">
        <v>1</v>
      </c>
      <c r="C82" s="8">
        <v>1</v>
      </c>
      <c r="D82" s="3">
        <v>535220117</v>
      </c>
      <c r="E82" s="3" t="s">
        <v>142</v>
      </c>
      <c r="F82" t="s">
        <v>169</v>
      </c>
      <c r="G82" s="25" cm="1">
        <f t="array" ref="G82">IF(AND(A82:C82=S82:U82),IF((F82=Y82),1,0),999)</f>
        <v>999</v>
      </c>
      <c r="K82" s="5">
        <v>5</v>
      </c>
      <c r="L82" s="5">
        <v>0</v>
      </c>
      <c r="M82" s="5">
        <v>1</v>
      </c>
      <c r="N82" s="5" t="s">
        <v>968</v>
      </c>
      <c r="O82" s="5" t="s">
        <v>257</v>
      </c>
      <c r="P82" s="5" t="s">
        <v>142</v>
      </c>
      <c r="Q82" s="5" t="s">
        <v>160</v>
      </c>
      <c r="S82" s="24">
        <v>2</v>
      </c>
      <c r="T82" s="24">
        <v>0</v>
      </c>
      <c r="U82" s="24">
        <v>2</v>
      </c>
      <c r="V82" s="24" t="str">
        <v>GRACE TRIFOSA SAGALA</v>
      </c>
      <c r="W82" s="24" t="str">
        <v>825220125</v>
      </c>
      <c r="X82" s="24" t="str">
        <v>Magang</v>
      </c>
      <c r="Y82" s="24" t="str">
        <v>Dr. Wasino, S.Kom., M.Kom.</v>
      </c>
      <c r="AE82">
        <v>3</v>
      </c>
      <c r="AF82">
        <v>2</v>
      </c>
      <c r="AG82">
        <v>0</v>
      </c>
      <c r="AH82" s="25">
        <f t="shared" si="6"/>
        <v>0</v>
      </c>
      <c r="AI82" s="32">
        <f t="shared" si="7"/>
        <v>0</v>
      </c>
    </row>
    <row r="83" spans="1:35" ht="15" x14ac:dyDescent="0.2">
      <c r="A83" s="8">
        <v>2</v>
      </c>
      <c r="B83" s="8">
        <v>1</v>
      </c>
      <c r="C83" s="8">
        <v>1</v>
      </c>
      <c r="D83" s="3">
        <v>535220177</v>
      </c>
      <c r="E83" s="3" t="s">
        <v>142</v>
      </c>
      <c r="F83" t="s">
        <v>169</v>
      </c>
      <c r="G83" s="25" cm="1">
        <f t="array" ref="G83">IF(AND(A83:C83=S83:U83),IF((F83=Y83),1,0),999)</f>
        <v>999</v>
      </c>
      <c r="K83" s="5">
        <v>5</v>
      </c>
      <c r="L83" s="5">
        <v>0</v>
      </c>
      <c r="M83" s="5">
        <v>1</v>
      </c>
      <c r="N83" s="5" t="s">
        <v>969</v>
      </c>
      <c r="O83" s="5" t="s">
        <v>258</v>
      </c>
      <c r="P83" s="5" t="s">
        <v>142</v>
      </c>
      <c r="Q83" s="5" t="s">
        <v>160</v>
      </c>
      <c r="S83" s="24">
        <v>2</v>
      </c>
      <c r="T83" s="24">
        <v>0</v>
      </c>
      <c r="U83" s="24">
        <v>2</v>
      </c>
      <c r="V83" s="24" t="str">
        <v>PUTRI DEWI ZABITA</v>
      </c>
      <c r="W83" s="24" t="str">
        <v>825220135</v>
      </c>
      <c r="X83" s="24" t="str">
        <v>Magang</v>
      </c>
      <c r="Y83" s="24" t="str">
        <v>Dr. Wasino, S.Kom., M.Kom.</v>
      </c>
      <c r="AE83">
        <v>3</v>
      </c>
      <c r="AF83">
        <v>2</v>
      </c>
      <c r="AG83">
        <v>1</v>
      </c>
      <c r="AH83" s="25">
        <f t="shared" si="6"/>
        <v>0</v>
      </c>
      <c r="AI83" s="32">
        <f t="shared" si="7"/>
        <v>0</v>
      </c>
    </row>
    <row r="84" spans="1:35" ht="15" x14ac:dyDescent="0.2">
      <c r="A84" s="8">
        <v>2</v>
      </c>
      <c r="B84" s="8">
        <v>1</v>
      </c>
      <c r="C84" s="8">
        <v>1</v>
      </c>
      <c r="D84" s="3">
        <v>535220180</v>
      </c>
      <c r="E84" s="3" t="s">
        <v>142</v>
      </c>
      <c r="F84" t="s">
        <v>169</v>
      </c>
      <c r="G84" s="25" cm="1">
        <f t="array" ref="G84">IF(AND(A84:C84=S84:U84),IF((F84=Y84),1,0),999)</f>
        <v>999</v>
      </c>
      <c r="K84" s="5">
        <v>5</v>
      </c>
      <c r="L84" s="5">
        <v>0</v>
      </c>
      <c r="M84" s="5">
        <v>1</v>
      </c>
      <c r="N84" s="5" t="s">
        <v>970</v>
      </c>
      <c r="O84" s="5" t="s">
        <v>259</v>
      </c>
      <c r="P84" s="5" t="s">
        <v>142</v>
      </c>
      <c r="Q84" s="5" t="s">
        <v>160</v>
      </c>
      <c r="S84" s="24">
        <v>2</v>
      </c>
      <c r="T84" s="24">
        <v>0</v>
      </c>
      <c r="U84" s="24">
        <v>2</v>
      </c>
      <c r="V84" s="24" t="str">
        <v>ANDREAN PUTRA OSMAN</v>
      </c>
      <c r="W84" s="24" t="str">
        <v>825220136</v>
      </c>
      <c r="X84" s="24" t="str">
        <v>Magang</v>
      </c>
      <c r="Y84" s="24" t="str">
        <v>Dr. Wasino, S.Kom., M.Kom.</v>
      </c>
      <c r="AE84">
        <v>3</v>
      </c>
      <c r="AF84">
        <v>2</v>
      </c>
      <c r="AG84">
        <v>2</v>
      </c>
      <c r="AH84" s="25">
        <f t="shared" si="6"/>
        <v>0</v>
      </c>
      <c r="AI84" s="32">
        <f t="shared" si="7"/>
        <v>0</v>
      </c>
    </row>
    <row r="85" spans="1:35" ht="15" x14ac:dyDescent="0.2">
      <c r="A85" s="8">
        <v>2</v>
      </c>
      <c r="B85" s="8">
        <v>1</v>
      </c>
      <c r="C85" s="8">
        <v>1</v>
      </c>
      <c r="D85" s="3">
        <v>535220181</v>
      </c>
      <c r="E85" s="3" t="s">
        <v>142</v>
      </c>
      <c r="F85" t="s">
        <v>169</v>
      </c>
      <c r="G85" s="25" cm="1">
        <f t="array" ref="G85">IF(AND(A85:C85=S85:U85),IF((F85=Y85),1,0),999)</f>
        <v>999</v>
      </c>
      <c r="K85" s="5">
        <v>5</v>
      </c>
      <c r="L85" s="5">
        <v>0</v>
      </c>
      <c r="M85" s="5">
        <v>1</v>
      </c>
      <c r="N85" s="5" t="s">
        <v>971</v>
      </c>
      <c r="O85" s="5" t="s">
        <v>260</v>
      </c>
      <c r="P85" s="5" t="s">
        <v>142</v>
      </c>
      <c r="Q85" s="5" t="s">
        <v>160</v>
      </c>
      <c r="S85" s="24">
        <v>2</v>
      </c>
      <c r="T85" s="24">
        <v>0</v>
      </c>
      <c r="U85" s="24">
        <v>2</v>
      </c>
      <c r="V85" s="24" t="str">
        <v>BINTANG NOVIANSYAH SYAMSU</v>
      </c>
      <c r="W85" s="24" t="str">
        <v>825220138</v>
      </c>
      <c r="X85" s="24" t="str">
        <v>Magang</v>
      </c>
      <c r="Y85" s="24" t="str">
        <v>Dr. Wasino, S.Kom., M.Kom.</v>
      </c>
      <c r="AE85">
        <v>3</v>
      </c>
      <c r="AF85">
        <v>2</v>
      </c>
      <c r="AG85">
        <v>3</v>
      </c>
      <c r="AH85" s="25">
        <f t="shared" si="6"/>
        <v>0</v>
      </c>
      <c r="AI85" s="32">
        <f t="shared" si="7"/>
        <v>0</v>
      </c>
    </row>
    <row r="86" spans="1:35" ht="15" x14ac:dyDescent="0.2">
      <c r="A86" s="8">
        <v>2</v>
      </c>
      <c r="B86" s="8">
        <v>1</v>
      </c>
      <c r="C86" s="8">
        <v>1</v>
      </c>
      <c r="D86" s="3">
        <v>535220263</v>
      </c>
      <c r="E86" s="3" t="s">
        <v>142</v>
      </c>
      <c r="F86" t="s">
        <v>169</v>
      </c>
      <c r="G86" s="25" cm="1">
        <f t="array" ref="G86">IF(AND(A86:C86=S86:U86),IF((F86=Y86),1,0),999)</f>
        <v>999</v>
      </c>
      <c r="K86" s="5">
        <v>5</v>
      </c>
      <c r="L86" s="5">
        <v>0</v>
      </c>
      <c r="M86" s="5">
        <v>1</v>
      </c>
      <c r="N86" s="5" t="s">
        <v>972</v>
      </c>
      <c r="O86" s="5" t="s">
        <v>261</v>
      </c>
      <c r="P86" s="5" t="s">
        <v>142</v>
      </c>
      <c r="Q86" s="5" t="s">
        <v>160</v>
      </c>
      <c r="S86" s="24">
        <v>2</v>
      </c>
      <c r="T86" s="24">
        <v>0</v>
      </c>
      <c r="U86" s="24">
        <v>2</v>
      </c>
      <c r="V86" s="24" t="str">
        <v>THIRZA JUAN HALIM</v>
      </c>
      <c r="W86" s="24" t="str">
        <v>825220139</v>
      </c>
      <c r="X86" s="24" t="str">
        <v>Magang</v>
      </c>
      <c r="Y86" s="24" t="str">
        <v>Dr. Wasino, S.Kom., M.Kom.</v>
      </c>
      <c r="AE86">
        <v>3</v>
      </c>
      <c r="AF86">
        <v>2</v>
      </c>
      <c r="AG86">
        <v>4</v>
      </c>
      <c r="AH86" s="25">
        <f t="shared" si="6"/>
        <v>0</v>
      </c>
      <c r="AI86" s="32">
        <f t="shared" si="7"/>
        <v>0</v>
      </c>
    </row>
    <row r="87" spans="1:35" ht="15" x14ac:dyDescent="0.2">
      <c r="A87" s="8">
        <v>3</v>
      </c>
      <c r="B87" s="8">
        <v>1</v>
      </c>
      <c r="C87" s="8">
        <v>1</v>
      </c>
      <c r="D87" s="3">
        <v>535220093</v>
      </c>
      <c r="E87" s="3" t="s">
        <v>142</v>
      </c>
      <c r="F87" t="s">
        <v>157</v>
      </c>
      <c r="G87" s="25" cm="1">
        <f t="array" ref="G87">IF(AND(A87:C87=S87:U87),IF((F87=Y87),1,0),999)</f>
        <v>999</v>
      </c>
      <c r="K87" s="5">
        <v>5</v>
      </c>
      <c r="L87" s="5">
        <v>0</v>
      </c>
      <c r="M87" s="5">
        <v>2</v>
      </c>
      <c r="N87" s="5" t="s">
        <v>973</v>
      </c>
      <c r="O87" s="5" t="s">
        <v>262</v>
      </c>
      <c r="P87" s="5" t="s">
        <v>142</v>
      </c>
      <c r="Q87" s="5" t="s">
        <v>161</v>
      </c>
      <c r="S87" s="24">
        <v>3</v>
      </c>
      <c r="T87" s="24">
        <v>0</v>
      </c>
      <c r="U87" s="24">
        <v>2</v>
      </c>
      <c r="V87" s="24" t="str">
        <v>JASON SUTANTO</v>
      </c>
      <c r="W87" s="24" t="str">
        <v>535220052</v>
      </c>
      <c r="X87" s="24" t="str">
        <v>Magang</v>
      </c>
      <c r="Y87" s="24" t="str">
        <v>Herman Tusiadi, S.Kom., MM</v>
      </c>
      <c r="AE87">
        <v>3</v>
      </c>
      <c r="AF87">
        <v>2</v>
      </c>
      <c r="AG87">
        <v>5</v>
      </c>
      <c r="AH87" s="25">
        <f t="shared" si="6"/>
        <v>0</v>
      </c>
      <c r="AI87" s="32">
        <f t="shared" si="7"/>
        <v>0</v>
      </c>
    </row>
    <row r="88" spans="1:35" ht="15" x14ac:dyDescent="0.2">
      <c r="A88" s="8">
        <v>3</v>
      </c>
      <c r="B88" s="8">
        <v>1</v>
      </c>
      <c r="C88" s="8">
        <v>1</v>
      </c>
      <c r="D88" s="3">
        <v>535220095</v>
      </c>
      <c r="E88" s="3" t="s">
        <v>142</v>
      </c>
      <c r="F88" t="s">
        <v>157</v>
      </c>
      <c r="G88" s="25" cm="1">
        <f t="array" ref="G88">IF(AND(A88:C88=S88:U88),IF((F88=Y88),1,0),999)</f>
        <v>999</v>
      </c>
      <c r="K88" s="5">
        <v>5</v>
      </c>
      <c r="L88" s="5">
        <v>0</v>
      </c>
      <c r="M88" s="5">
        <v>2</v>
      </c>
      <c r="N88" s="5" t="s">
        <v>974</v>
      </c>
      <c r="O88" s="5" t="s">
        <v>263</v>
      </c>
      <c r="P88" s="5" t="s">
        <v>142</v>
      </c>
      <c r="Q88" s="5" t="s">
        <v>161</v>
      </c>
      <c r="S88" s="24">
        <v>3</v>
      </c>
      <c r="T88" s="24">
        <v>0</v>
      </c>
      <c r="U88" s="24">
        <v>2</v>
      </c>
      <c r="V88" s="24" t="str">
        <v>GREGORIO MELVIN KARNIKOV</v>
      </c>
      <c r="W88" s="24" t="str">
        <v>535220085</v>
      </c>
      <c r="X88" s="24" t="str">
        <v>Magang</v>
      </c>
      <c r="Y88" s="24" t="str">
        <v>Herman Tusiadi, S.Kom., MM</v>
      </c>
      <c r="AE88">
        <v>3</v>
      </c>
      <c r="AF88">
        <v>2</v>
      </c>
      <c r="AG88">
        <v>6</v>
      </c>
      <c r="AH88" s="25">
        <f t="shared" si="6"/>
        <v>0</v>
      </c>
      <c r="AI88" s="32">
        <f t="shared" si="7"/>
        <v>0</v>
      </c>
    </row>
    <row r="89" spans="1:35" ht="15" x14ac:dyDescent="0.2">
      <c r="A89" s="8">
        <v>3</v>
      </c>
      <c r="B89" s="8">
        <v>1</v>
      </c>
      <c r="C89" s="8">
        <v>1</v>
      </c>
      <c r="D89" s="3">
        <v>535220112</v>
      </c>
      <c r="E89" s="3" t="s">
        <v>142</v>
      </c>
      <c r="F89" t="s">
        <v>157</v>
      </c>
      <c r="G89" s="25" cm="1">
        <f t="array" ref="G89">IF(AND(A89:C89=S89:U89),IF((F89=Y89),1,0),999)</f>
        <v>999</v>
      </c>
      <c r="K89" s="5">
        <v>5</v>
      </c>
      <c r="L89" s="5">
        <v>0</v>
      </c>
      <c r="M89" s="5">
        <v>2</v>
      </c>
      <c r="N89" s="5" t="s">
        <v>975</v>
      </c>
      <c r="O89" s="5" t="s">
        <v>264</v>
      </c>
      <c r="P89" s="5" t="s">
        <v>142</v>
      </c>
      <c r="Q89" s="5" t="s">
        <v>161</v>
      </c>
      <c r="S89" s="24">
        <v>3</v>
      </c>
      <c r="T89" s="24">
        <v>0</v>
      </c>
      <c r="U89" s="24">
        <v>2</v>
      </c>
      <c r="V89" s="24" t="str">
        <v>FIGO VINCENZO</v>
      </c>
      <c r="W89" s="24" t="str">
        <v>535220087</v>
      </c>
      <c r="X89" s="24" t="str">
        <v>Magang</v>
      </c>
      <c r="Y89" s="24" t="str">
        <v>Herman Tusiadi, S.Kom., MM</v>
      </c>
    </row>
    <row r="90" spans="1:35" ht="15" x14ac:dyDescent="0.2">
      <c r="A90" s="8">
        <v>3</v>
      </c>
      <c r="B90" s="8">
        <v>1</v>
      </c>
      <c r="C90" s="8">
        <v>1</v>
      </c>
      <c r="D90" s="3">
        <v>535220207</v>
      </c>
      <c r="E90" s="3" t="s">
        <v>142</v>
      </c>
      <c r="F90" t="s">
        <v>157</v>
      </c>
      <c r="G90" s="25" cm="1">
        <f t="array" ref="G90">IF(AND(A90:C90=S90:U90),IF((F90=Y90),1,0),999)</f>
        <v>999</v>
      </c>
      <c r="K90" s="5">
        <v>5</v>
      </c>
      <c r="L90" s="5">
        <v>0</v>
      </c>
      <c r="M90" s="5">
        <v>2</v>
      </c>
      <c r="N90" s="5" t="s">
        <v>976</v>
      </c>
      <c r="O90" s="5" t="s">
        <v>265</v>
      </c>
      <c r="P90" s="5" t="s">
        <v>142</v>
      </c>
      <c r="Q90" s="5" t="s">
        <v>161</v>
      </c>
      <c r="S90" s="24">
        <v>3</v>
      </c>
      <c r="T90" s="24">
        <v>0</v>
      </c>
      <c r="U90" s="24">
        <v>2</v>
      </c>
      <c r="V90" s="24" t="str">
        <v>DEVANSKA UZIELTAMA MARDANUS</v>
      </c>
      <c r="W90" s="24" t="str">
        <v>535220089</v>
      </c>
      <c r="X90" s="24" t="str">
        <v>Magang</v>
      </c>
      <c r="Y90" s="24" t="str">
        <v>Herman Tusiadi, S.Kom., MM</v>
      </c>
      <c r="AE90">
        <v>4</v>
      </c>
      <c r="AF90">
        <v>0</v>
      </c>
      <c r="AG90">
        <v>0</v>
      </c>
      <c r="AH90" s="25">
        <f t="shared" ref="AH90:AH110" si="8">COUNTIFS(A:A,AG90,B:B,AE90,C:C,AF90)</f>
        <v>0</v>
      </c>
      <c r="AI90" s="32">
        <f t="shared" ref="AI90:AI110" si="9">COUNTIFS(S:S,AG90,T:T,AE90,U:U,AF90)</f>
        <v>0</v>
      </c>
    </row>
    <row r="91" spans="1:35" ht="15" x14ac:dyDescent="0.2">
      <c r="A91" s="8">
        <v>3</v>
      </c>
      <c r="B91" s="8">
        <v>1</v>
      </c>
      <c r="C91" s="8">
        <v>1</v>
      </c>
      <c r="D91" s="3">
        <v>535220245</v>
      </c>
      <c r="E91" s="3" t="s">
        <v>142</v>
      </c>
      <c r="F91" t="s">
        <v>157</v>
      </c>
      <c r="G91" s="25" cm="1">
        <f t="array" ref="G91">IF(AND(A91:C91=S91:U91),IF((F91=Y91),1,0),999)</f>
        <v>999</v>
      </c>
      <c r="K91" s="5">
        <v>5</v>
      </c>
      <c r="L91" s="5">
        <v>0</v>
      </c>
      <c r="M91" s="5">
        <v>2</v>
      </c>
      <c r="N91" s="5" t="s">
        <v>977</v>
      </c>
      <c r="O91" s="5" t="s">
        <v>266</v>
      </c>
      <c r="P91" s="5" t="s">
        <v>142</v>
      </c>
      <c r="Q91" s="5" t="s">
        <v>161</v>
      </c>
      <c r="S91" s="24">
        <v>3</v>
      </c>
      <c r="T91" s="24">
        <v>0</v>
      </c>
      <c r="U91" s="24">
        <v>2</v>
      </c>
      <c r="V91" s="24" t="str">
        <v>STEVEN</v>
      </c>
      <c r="W91" s="24" t="str">
        <v>535220091</v>
      </c>
      <c r="X91" s="24" t="str">
        <v>Magang</v>
      </c>
      <c r="Y91" s="24" t="str">
        <v>Herman Tusiadi, S.Kom., MM</v>
      </c>
      <c r="AE91">
        <v>4</v>
      </c>
      <c r="AF91">
        <v>0</v>
      </c>
      <c r="AG91">
        <v>1</v>
      </c>
      <c r="AH91" s="25">
        <f t="shared" si="8"/>
        <v>0</v>
      </c>
      <c r="AI91" s="32">
        <f t="shared" si="9"/>
        <v>0</v>
      </c>
    </row>
    <row r="92" spans="1:35" ht="15" x14ac:dyDescent="0.2">
      <c r="A92" s="8">
        <v>4</v>
      </c>
      <c r="B92" s="8">
        <v>1</v>
      </c>
      <c r="C92" s="8">
        <v>1</v>
      </c>
      <c r="D92" s="3">
        <v>535200033</v>
      </c>
      <c r="E92" s="3" t="s">
        <v>143</v>
      </c>
      <c r="F92" t="s">
        <v>154</v>
      </c>
      <c r="G92" s="25" cm="1">
        <f t="array" ref="G92">IF(AND(A92:C92=S92:U92),IF((F92=Y92),1,0),999)</f>
        <v>999</v>
      </c>
      <c r="K92" s="5">
        <v>6</v>
      </c>
      <c r="L92" s="5">
        <v>0</v>
      </c>
      <c r="M92" s="5">
        <v>0</v>
      </c>
      <c r="N92" s="5" t="s">
        <v>978</v>
      </c>
      <c r="O92" s="5" t="s">
        <v>267</v>
      </c>
      <c r="P92" s="5" t="s">
        <v>143</v>
      </c>
      <c r="Q92" s="5" t="s">
        <v>159</v>
      </c>
      <c r="S92" s="24">
        <v>4</v>
      </c>
      <c r="T92" s="24">
        <v>0</v>
      </c>
      <c r="U92" s="24">
        <v>2</v>
      </c>
      <c r="V92" s="24" t="str">
        <v>MARCO HADISURYA</v>
      </c>
      <c r="W92" s="24" t="str">
        <v>825220003</v>
      </c>
      <c r="X92" s="24" t="str">
        <v>Magang</v>
      </c>
      <c r="Y92" s="24" t="str">
        <v>Tri Sutrisno, S.Si., M.Sc.</v>
      </c>
      <c r="AE92">
        <v>4</v>
      </c>
      <c r="AF92">
        <v>0</v>
      </c>
      <c r="AG92">
        <v>2</v>
      </c>
      <c r="AH92" s="25">
        <f t="shared" si="8"/>
        <v>0</v>
      </c>
      <c r="AI92" s="32">
        <f t="shared" si="9"/>
        <v>0</v>
      </c>
    </row>
    <row r="93" spans="1:35" ht="15" x14ac:dyDescent="0.2">
      <c r="A93" s="8">
        <v>4</v>
      </c>
      <c r="B93" s="8">
        <v>1</v>
      </c>
      <c r="C93" s="8">
        <v>1</v>
      </c>
      <c r="D93" s="3">
        <v>825220006</v>
      </c>
      <c r="E93" s="3" t="s">
        <v>143</v>
      </c>
      <c r="F93" t="s">
        <v>160</v>
      </c>
      <c r="G93" s="25" cm="1">
        <f t="array" ref="G93">IF(AND(A93:C93=S93:U93),IF((F93=Y93),1,0),999)</f>
        <v>999</v>
      </c>
      <c r="K93" s="5">
        <v>6</v>
      </c>
      <c r="L93" s="5">
        <v>0</v>
      </c>
      <c r="M93" s="5">
        <v>0</v>
      </c>
      <c r="N93" s="5" t="s">
        <v>979</v>
      </c>
      <c r="O93" s="5" t="s">
        <v>268</v>
      </c>
      <c r="P93" s="5" t="s">
        <v>143</v>
      </c>
      <c r="Q93" s="5" t="s">
        <v>159</v>
      </c>
      <c r="S93" s="24">
        <v>4</v>
      </c>
      <c r="T93" s="24">
        <v>0</v>
      </c>
      <c r="U93" s="24">
        <v>2</v>
      </c>
      <c r="V93" s="24" t="str">
        <v>MILLY MILLAGROS</v>
      </c>
      <c r="W93" s="24" t="str">
        <v>825220014</v>
      </c>
      <c r="X93" s="24" t="str">
        <v>Magang</v>
      </c>
      <c r="Y93" s="24" t="str">
        <v>Tri Sutrisno, S.Si., M.Sc.</v>
      </c>
      <c r="AE93">
        <v>4</v>
      </c>
      <c r="AF93">
        <v>0</v>
      </c>
      <c r="AG93">
        <v>3</v>
      </c>
      <c r="AH93" s="25">
        <f t="shared" si="8"/>
        <v>0</v>
      </c>
      <c r="AI93" s="32">
        <f t="shared" si="9"/>
        <v>0</v>
      </c>
    </row>
    <row r="94" spans="1:35" ht="15" x14ac:dyDescent="0.2">
      <c r="A94" s="8">
        <v>4</v>
      </c>
      <c r="B94" s="8">
        <v>1</v>
      </c>
      <c r="C94" s="8">
        <v>1</v>
      </c>
      <c r="D94" s="3">
        <v>825220011</v>
      </c>
      <c r="E94" s="3" t="s">
        <v>143</v>
      </c>
      <c r="F94" t="s">
        <v>160</v>
      </c>
      <c r="G94" s="25" cm="1">
        <f t="array" ref="G94">IF(AND(A94:C94=S94:U94),IF((F94=Y94),1,0),999)</f>
        <v>999</v>
      </c>
      <c r="K94" s="5">
        <v>6</v>
      </c>
      <c r="L94" s="5">
        <v>0</v>
      </c>
      <c r="M94" s="5">
        <v>0</v>
      </c>
      <c r="N94" s="5" t="s">
        <v>980</v>
      </c>
      <c r="O94" s="5" t="s">
        <v>269</v>
      </c>
      <c r="P94" s="5" t="s">
        <v>143</v>
      </c>
      <c r="Q94" s="5" t="s">
        <v>159</v>
      </c>
      <c r="S94" s="24">
        <v>4</v>
      </c>
      <c r="T94" s="24">
        <v>0</v>
      </c>
      <c r="U94" s="24">
        <v>2</v>
      </c>
      <c r="V94" s="24" t="str">
        <v>CINDY ANGELLINE</v>
      </c>
      <c r="W94" s="24" t="str">
        <v>825220019</v>
      </c>
      <c r="X94" s="24" t="str">
        <v>Magang</v>
      </c>
      <c r="Y94" s="24" t="str">
        <v>Tri Sutrisno, S.Si., M.Sc.</v>
      </c>
      <c r="AE94">
        <v>4</v>
      </c>
      <c r="AF94">
        <v>0</v>
      </c>
      <c r="AG94">
        <v>4</v>
      </c>
      <c r="AH94" s="25">
        <f t="shared" si="8"/>
        <v>0</v>
      </c>
      <c r="AI94" s="32">
        <f t="shared" si="9"/>
        <v>0</v>
      </c>
    </row>
    <row r="95" spans="1:35" ht="15" x14ac:dyDescent="0.2">
      <c r="A95" s="8">
        <v>4</v>
      </c>
      <c r="B95" s="8">
        <v>1</v>
      </c>
      <c r="C95" s="8">
        <v>1</v>
      </c>
      <c r="D95" s="3">
        <v>825220002</v>
      </c>
      <c r="E95" s="3" t="s">
        <v>142</v>
      </c>
      <c r="F95" t="s">
        <v>160</v>
      </c>
      <c r="G95" s="25" cm="1">
        <f t="array" ref="G95">IF(AND(A95:C95=S95:U95),IF((F95=Y95),1,0),999)</f>
        <v>999</v>
      </c>
      <c r="K95" s="5">
        <v>6</v>
      </c>
      <c r="L95" s="5">
        <v>0</v>
      </c>
      <c r="M95" s="5">
        <v>0</v>
      </c>
      <c r="N95" s="5" t="s">
        <v>981</v>
      </c>
      <c r="O95" s="5" t="s">
        <v>270</v>
      </c>
      <c r="P95" s="5" t="s">
        <v>143</v>
      </c>
      <c r="Q95" s="5" t="s">
        <v>159</v>
      </c>
      <c r="S95" s="24">
        <v>4</v>
      </c>
      <c r="T95" s="24">
        <v>0</v>
      </c>
      <c r="U95" s="24">
        <v>2</v>
      </c>
      <c r="V95" s="24" t="str">
        <v>MICHAEL</v>
      </c>
      <c r="W95" s="24" t="str">
        <v>825220036</v>
      </c>
      <c r="X95" s="24" t="str">
        <v>Magang</v>
      </c>
      <c r="Y95" s="24" t="str">
        <v>Tri Sutrisno, S.Si., M.Sc.</v>
      </c>
      <c r="AE95">
        <v>4</v>
      </c>
      <c r="AF95">
        <v>0</v>
      </c>
      <c r="AG95">
        <v>5</v>
      </c>
      <c r="AH95" s="25">
        <f t="shared" si="8"/>
        <v>0</v>
      </c>
      <c r="AI95" s="32">
        <f t="shared" si="9"/>
        <v>0</v>
      </c>
    </row>
    <row r="96" spans="1:35" ht="15" x14ac:dyDescent="0.2">
      <c r="A96" s="8">
        <v>4</v>
      </c>
      <c r="B96" s="8">
        <v>1</v>
      </c>
      <c r="C96" s="8">
        <v>1</v>
      </c>
      <c r="D96" s="3">
        <v>825220009</v>
      </c>
      <c r="E96" s="3" t="s">
        <v>142</v>
      </c>
      <c r="F96" t="s">
        <v>160</v>
      </c>
      <c r="G96" s="25" cm="1">
        <f t="array" ref="G96">IF(AND(A96:C96=S96:U96),IF((F96=Y96),1,0),999)</f>
        <v>999</v>
      </c>
      <c r="K96" s="5">
        <v>6</v>
      </c>
      <c r="L96" s="5">
        <v>0</v>
      </c>
      <c r="M96" s="5">
        <v>0</v>
      </c>
      <c r="N96" s="5" t="s">
        <v>982</v>
      </c>
      <c r="O96" s="5" t="s">
        <v>271</v>
      </c>
      <c r="P96" s="5" t="s">
        <v>143</v>
      </c>
      <c r="Q96" s="5" t="s">
        <v>159</v>
      </c>
      <c r="S96" s="24">
        <v>4</v>
      </c>
      <c r="T96" s="24">
        <v>0</v>
      </c>
      <c r="U96" s="24">
        <v>2</v>
      </c>
      <c r="V96" s="24" t="str">
        <v>JOSHUA MARVIN</v>
      </c>
      <c r="W96" s="24" t="str">
        <v>825220062</v>
      </c>
      <c r="X96" s="24" t="str">
        <v>Magang</v>
      </c>
      <c r="Y96" s="24" t="str">
        <v>Tri Sutrisno, S.Si., M.Sc.</v>
      </c>
      <c r="AE96">
        <v>4</v>
      </c>
      <c r="AF96">
        <v>0</v>
      </c>
      <c r="AG96">
        <v>6</v>
      </c>
      <c r="AH96" s="25">
        <f t="shared" si="8"/>
        <v>0</v>
      </c>
      <c r="AI96" s="32">
        <f t="shared" si="9"/>
        <v>0</v>
      </c>
    </row>
    <row r="97" spans="1:35" ht="15" x14ac:dyDescent="0.2">
      <c r="A97" s="8">
        <v>5</v>
      </c>
      <c r="B97" s="8">
        <v>1</v>
      </c>
      <c r="C97" s="8">
        <v>1</v>
      </c>
      <c r="D97" s="3">
        <v>535220022</v>
      </c>
      <c r="E97" s="3" t="s">
        <v>142</v>
      </c>
      <c r="F97" t="s">
        <v>154</v>
      </c>
      <c r="G97" s="25" cm="1">
        <f t="array" ref="G97">IF(AND(A97:C97=S97:U97),IF((F97=Y97),1,0),999)</f>
        <v>999</v>
      </c>
      <c r="K97" s="5">
        <v>6</v>
      </c>
      <c r="L97" s="5">
        <v>0</v>
      </c>
      <c r="M97" s="5">
        <v>1</v>
      </c>
      <c r="N97" s="5" t="s">
        <v>983</v>
      </c>
      <c r="O97" s="5" t="s">
        <v>272</v>
      </c>
      <c r="P97" s="5" t="s">
        <v>142</v>
      </c>
      <c r="Q97" s="5" t="s">
        <v>160</v>
      </c>
      <c r="S97" s="24">
        <v>5</v>
      </c>
      <c r="T97" s="24">
        <v>0</v>
      </c>
      <c r="U97" s="24">
        <v>2</v>
      </c>
      <c r="V97" s="24" t="str">
        <v>AURELIA PANGESTU</v>
      </c>
      <c r="W97" s="24" t="str">
        <v>825220120</v>
      </c>
      <c r="X97" s="24" t="str">
        <v>Magang</v>
      </c>
      <c r="Y97" s="24" t="str">
        <v>Tri Sutrisno, S.Si., M.Sc.</v>
      </c>
      <c r="AE97">
        <v>4</v>
      </c>
      <c r="AF97">
        <v>1</v>
      </c>
      <c r="AG97">
        <v>0</v>
      </c>
      <c r="AH97" s="25">
        <f t="shared" si="8"/>
        <v>0</v>
      </c>
      <c r="AI97" s="32">
        <f t="shared" si="9"/>
        <v>0</v>
      </c>
    </row>
    <row r="98" spans="1:35" ht="15" x14ac:dyDescent="0.2">
      <c r="A98" s="8">
        <v>5</v>
      </c>
      <c r="B98" s="8">
        <v>1</v>
      </c>
      <c r="C98" s="8">
        <v>1</v>
      </c>
      <c r="D98" s="3">
        <v>535220023</v>
      </c>
      <c r="E98" s="3" t="s">
        <v>142</v>
      </c>
      <c r="F98" t="s">
        <v>154</v>
      </c>
      <c r="G98" s="25" cm="1">
        <f t="array" ref="G98">IF(AND(A98:C98=S98:U98),IF((F98=Y98),1,0),999)</f>
        <v>999</v>
      </c>
      <c r="K98" s="5">
        <v>6</v>
      </c>
      <c r="L98" s="5">
        <v>0</v>
      </c>
      <c r="M98" s="5">
        <v>1</v>
      </c>
      <c r="N98" s="5" t="s">
        <v>984</v>
      </c>
      <c r="O98" s="5" t="s">
        <v>273</v>
      </c>
      <c r="P98" s="5" t="s">
        <v>143</v>
      </c>
      <c r="Q98" s="5" t="s">
        <v>160</v>
      </c>
      <c r="S98" s="24">
        <v>5</v>
      </c>
      <c r="T98" s="24">
        <v>0</v>
      </c>
      <c r="U98" s="24">
        <v>2</v>
      </c>
      <c r="V98" s="24" t="str">
        <v>SAOLOAN NATAN YOEL SILALAHI</v>
      </c>
      <c r="W98" s="24" t="str">
        <v>825220134</v>
      </c>
      <c r="X98" s="24" t="str">
        <v>Magang</v>
      </c>
      <c r="Y98" s="24" t="str">
        <v>Tri Sutrisno, S.Si., M.Sc.</v>
      </c>
      <c r="AE98">
        <v>4</v>
      </c>
      <c r="AF98">
        <v>1</v>
      </c>
      <c r="AG98">
        <v>1</v>
      </c>
      <c r="AH98" s="25">
        <f t="shared" si="8"/>
        <v>0</v>
      </c>
      <c r="AI98" s="32">
        <f t="shared" si="9"/>
        <v>0</v>
      </c>
    </row>
    <row r="99" spans="1:35" ht="15" x14ac:dyDescent="0.2">
      <c r="A99" s="8">
        <v>5</v>
      </c>
      <c r="B99" s="8">
        <v>1</v>
      </c>
      <c r="C99" s="8">
        <v>1</v>
      </c>
      <c r="D99" s="3">
        <v>535220028</v>
      </c>
      <c r="E99" s="3" t="s">
        <v>142</v>
      </c>
      <c r="F99" t="s">
        <v>154</v>
      </c>
      <c r="G99" s="25" cm="1">
        <f t="array" ref="G99">IF(AND(A99:C99=S99:U99),IF((F99=Y99),1,0),999)</f>
        <v>999</v>
      </c>
      <c r="K99" s="5">
        <v>6</v>
      </c>
      <c r="L99" s="5">
        <v>0</v>
      </c>
      <c r="M99" s="5">
        <v>1</v>
      </c>
      <c r="N99" s="5" t="s">
        <v>985</v>
      </c>
      <c r="O99" s="5" t="s">
        <v>274</v>
      </c>
      <c r="P99" s="5" t="s">
        <v>143</v>
      </c>
      <c r="Q99" s="5" t="s">
        <v>160</v>
      </c>
      <c r="S99" s="24">
        <v>5</v>
      </c>
      <c r="T99" s="24">
        <v>0</v>
      </c>
      <c r="U99" s="24">
        <v>2</v>
      </c>
      <c r="V99" s="24" t="str">
        <v>DIMAS PRATAMA MARCEL</v>
      </c>
      <c r="W99" s="24" t="str">
        <v>825220155</v>
      </c>
      <c r="X99" s="24" t="str">
        <v>Magang</v>
      </c>
      <c r="Y99" s="24" t="str">
        <v>Tri Sutrisno, S.Si., M.Sc.</v>
      </c>
      <c r="AE99">
        <v>4</v>
      </c>
      <c r="AF99">
        <v>1</v>
      </c>
      <c r="AG99">
        <v>2</v>
      </c>
      <c r="AH99" s="25">
        <f t="shared" si="8"/>
        <v>0</v>
      </c>
      <c r="AI99" s="32">
        <f t="shared" si="9"/>
        <v>0</v>
      </c>
    </row>
    <row r="100" spans="1:35" ht="15" x14ac:dyDescent="0.2">
      <c r="A100" s="8">
        <v>5</v>
      </c>
      <c r="B100" s="8">
        <v>1</v>
      </c>
      <c r="C100" s="8">
        <v>1</v>
      </c>
      <c r="D100" s="3">
        <v>535220031</v>
      </c>
      <c r="E100" s="3" t="s">
        <v>142</v>
      </c>
      <c r="F100" t="s">
        <v>154</v>
      </c>
      <c r="G100" s="25" cm="1">
        <f t="array" ref="G100">IF(AND(A100:C100=S100:U100),IF((F100=Y100),1,0),999)</f>
        <v>999</v>
      </c>
      <c r="K100" s="5">
        <v>6</v>
      </c>
      <c r="L100" s="5">
        <v>0</v>
      </c>
      <c r="M100" s="5">
        <v>1</v>
      </c>
      <c r="N100" s="5" t="s">
        <v>986</v>
      </c>
      <c r="O100" s="5" t="s">
        <v>275</v>
      </c>
      <c r="P100" s="5" t="s">
        <v>144</v>
      </c>
      <c r="Q100" s="5" t="s">
        <v>160</v>
      </c>
      <c r="S100" s="24">
        <v>5</v>
      </c>
      <c r="T100" s="24">
        <v>0</v>
      </c>
      <c r="U100" s="24">
        <v>2</v>
      </c>
      <c r="V100" s="24" t="str">
        <v>MIGUEL FLORENSIUS SUSANTO</v>
      </c>
      <c r="W100" s="24" t="str">
        <v>825220182</v>
      </c>
      <c r="X100" s="24" t="str">
        <v>Magang</v>
      </c>
      <c r="Y100" s="24" t="str">
        <v>Tri Sutrisno, S.Si., M.Sc.</v>
      </c>
      <c r="AE100">
        <v>4</v>
      </c>
      <c r="AF100">
        <v>1</v>
      </c>
      <c r="AG100">
        <v>3</v>
      </c>
      <c r="AH100" s="25">
        <f t="shared" si="8"/>
        <v>0</v>
      </c>
      <c r="AI100" s="32">
        <f t="shared" si="9"/>
        <v>0</v>
      </c>
    </row>
    <row r="101" spans="1:35" ht="15" x14ac:dyDescent="0.2">
      <c r="A101" s="8">
        <v>5</v>
      </c>
      <c r="B101" s="8">
        <v>1</v>
      </c>
      <c r="C101" s="8">
        <v>1</v>
      </c>
      <c r="D101" s="4">
        <v>535220060</v>
      </c>
      <c r="E101" s="3" t="s">
        <v>142</v>
      </c>
      <c r="F101" t="s">
        <v>154</v>
      </c>
      <c r="G101" s="25" cm="1">
        <f t="array" ref="G101">IF(AND(A101:C101=S101:U101),IF((F101=Y101),1,0),999)</f>
        <v>999</v>
      </c>
      <c r="K101" s="5">
        <v>6</v>
      </c>
      <c r="L101" s="5">
        <v>0</v>
      </c>
      <c r="M101" s="5">
        <v>1</v>
      </c>
      <c r="N101" s="5" t="s">
        <v>987</v>
      </c>
      <c r="O101" s="5" t="s">
        <v>276</v>
      </c>
      <c r="P101" s="5" t="s">
        <v>144</v>
      </c>
      <c r="Q101" s="5" t="s">
        <v>160</v>
      </c>
      <c r="S101" s="24">
        <v>5</v>
      </c>
      <c r="T101" s="24">
        <v>0</v>
      </c>
      <c r="U101" s="24">
        <v>2</v>
      </c>
      <c r="V101" s="24" t="str">
        <v xml:space="preserve">RADEN RORY SOLOMON REKSOHADINOTO </v>
      </c>
      <c r="W101" s="24" t="str">
        <v>825249102</v>
      </c>
      <c r="X101" s="24" t="str">
        <v>Magang</v>
      </c>
      <c r="Y101" s="24" t="str">
        <v>Tri Sutrisno, S.Si., M.Sc.</v>
      </c>
      <c r="AE101">
        <v>4</v>
      </c>
      <c r="AF101">
        <v>1</v>
      </c>
      <c r="AG101">
        <v>4</v>
      </c>
      <c r="AH101" s="25">
        <f t="shared" si="8"/>
        <v>0</v>
      </c>
      <c r="AI101" s="32">
        <f t="shared" si="9"/>
        <v>0</v>
      </c>
    </row>
    <row r="102" spans="1:35" ht="15" x14ac:dyDescent="0.2">
      <c r="A102" s="8">
        <v>0</v>
      </c>
      <c r="B102" s="8">
        <v>2</v>
      </c>
      <c r="C102" s="8">
        <v>0</v>
      </c>
      <c r="D102" s="3">
        <v>825220162</v>
      </c>
      <c r="E102" s="3" t="s">
        <v>144</v>
      </c>
      <c r="F102" t="s">
        <v>160</v>
      </c>
      <c r="G102" s="25" cm="1">
        <f t="array" ref="G102">IF(AND(A102:C102=S102:U102),IF((F102=Y102),1,0),999)</f>
        <v>999</v>
      </c>
      <c r="K102" s="5">
        <v>6</v>
      </c>
      <c r="L102" s="5">
        <v>0</v>
      </c>
      <c r="M102" s="5">
        <v>2</v>
      </c>
      <c r="N102" s="5" t="s">
        <v>988</v>
      </c>
      <c r="O102" s="5" t="s">
        <v>277</v>
      </c>
      <c r="P102" s="5" t="s">
        <v>143</v>
      </c>
      <c r="Q102" s="5" t="s">
        <v>161</v>
      </c>
      <c r="S102" s="24">
        <v>6</v>
      </c>
      <c r="T102" s="24">
        <v>0</v>
      </c>
      <c r="U102" s="24">
        <v>2</v>
      </c>
      <c r="V102" s="24" t="str">
        <v>VIONA</v>
      </c>
      <c r="W102" s="24" t="str">
        <v>825220145</v>
      </c>
      <c r="X102" s="24" t="str">
        <v>Stupen</v>
      </c>
      <c r="Y102" s="24" t="str">
        <v>Tri Sutrisno, S.Si., M.Sc.</v>
      </c>
      <c r="AE102">
        <v>4</v>
      </c>
      <c r="AF102">
        <v>1</v>
      </c>
      <c r="AG102">
        <v>5</v>
      </c>
      <c r="AH102" s="25">
        <f t="shared" si="8"/>
        <v>0</v>
      </c>
      <c r="AI102" s="32">
        <f t="shared" si="9"/>
        <v>0</v>
      </c>
    </row>
    <row r="103" spans="1:35" ht="15" x14ac:dyDescent="0.2">
      <c r="A103" s="8">
        <v>0</v>
      </c>
      <c r="B103" s="8">
        <v>2</v>
      </c>
      <c r="C103" s="8">
        <v>0</v>
      </c>
      <c r="D103" s="3">
        <v>825220183</v>
      </c>
      <c r="E103" s="3" t="s">
        <v>144</v>
      </c>
      <c r="F103" t="s">
        <v>160</v>
      </c>
      <c r="G103" s="25" cm="1">
        <f t="array" ref="G103">IF(AND(A103:C103=S103:U103),IF((F103=Y103),1,0),999)</f>
        <v>999</v>
      </c>
      <c r="K103" s="5">
        <v>6</v>
      </c>
      <c r="L103" s="5">
        <v>0</v>
      </c>
      <c r="M103" s="5">
        <v>2</v>
      </c>
      <c r="N103" s="5" t="s">
        <v>989</v>
      </c>
      <c r="O103" s="5" t="s">
        <v>278</v>
      </c>
      <c r="P103" s="5" t="s">
        <v>143</v>
      </c>
      <c r="Q103" s="5" t="s">
        <v>161</v>
      </c>
      <c r="S103" s="24">
        <v>6</v>
      </c>
      <c r="T103" s="24">
        <v>0</v>
      </c>
      <c r="U103" s="24">
        <v>2</v>
      </c>
      <c r="V103" s="24" t="str">
        <v>CARLSON JINGGA</v>
      </c>
      <c r="W103" s="24" t="str">
        <v>825220148</v>
      </c>
      <c r="X103" s="24" t="str">
        <v>Stupen</v>
      </c>
      <c r="Y103" s="24" t="str">
        <v>Tri Sutrisno, S.Si., M.Sc.</v>
      </c>
      <c r="AE103">
        <v>4</v>
      </c>
      <c r="AF103">
        <v>1</v>
      </c>
      <c r="AG103">
        <v>6</v>
      </c>
      <c r="AH103" s="25">
        <f t="shared" si="8"/>
        <v>0</v>
      </c>
      <c r="AI103" s="32">
        <f t="shared" si="9"/>
        <v>0</v>
      </c>
    </row>
    <row r="104" spans="1:35" ht="15" x14ac:dyDescent="0.2">
      <c r="A104" s="8">
        <v>0</v>
      </c>
      <c r="B104" s="8">
        <v>2</v>
      </c>
      <c r="C104" s="8">
        <v>0</v>
      </c>
      <c r="D104" s="3">
        <v>535220079</v>
      </c>
      <c r="E104" s="3" t="s">
        <v>144</v>
      </c>
      <c r="F104" t="s">
        <v>168</v>
      </c>
      <c r="G104" s="25" cm="1">
        <f t="array" ref="G104">IF(AND(A104:C104=S104:U104),IF((F104=Y104),1,0),999)</f>
        <v>999</v>
      </c>
      <c r="K104" s="5">
        <v>6</v>
      </c>
      <c r="L104" s="5">
        <v>0</v>
      </c>
      <c r="M104" s="5">
        <v>2</v>
      </c>
      <c r="N104" s="5" t="s">
        <v>990</v>
      </c>
      <c r="O104" s="5" t="s">
        <v>279</v>
      </c>
      <c r="P104" s="5" t="s">
        <v>143</v>
      </c>
      <c r="Q104" s="5" t="s">
        <v>161</v>
      </c>
      <c r="S104" s="24">
        <v>6</v>
      </c>
      <c r="T104" s="24">
        <v>0</v>
      </c>
      <c r="U104" s="24">
        <v>2</v>
      </c>
      <c r="V104" s="24" t="str">
        <v>ARIEFAH NANDA EKA PUTRIANTI</v>
      </c>
      <c r="W104" s="24" t="str">
        <v>825220150</v>
      </c>
      <c r="X104" s="24" t="str">
        <v>Stupen</v>
      </c>
      <c r="Y104" s="24" t="str">
        <v>Tri Sutrisno, S.Si., M.Sc.</v>
      </c>
      <c r="AE104">
        <v>4</v>
      </c>
      <c r="AF104">
        <v>2</v>
      </c>
      <c r="AG104">
        <v>0</v>
      </c>
      <c r="AH104" s="25">
        <f t="shared" si="8"/>
        <v>0</v>
      </c>
      <c r="AI104" s="32">
        <f t="shared" si="9"/>
        <v>0</v>
      </c>
    </row>
    <row r="105" spans="1:35" ht="15" x14ac:dyDescent="0.2">
      <c r="A105" s="8">
        <v>0</v>
      </c>
      <c r="B105" s="8">
        <v>2</v>
      </c>
      <c r="C105" s="8">
        <v>0</v>
      </c>
      <c r="D105" s="3">
        <v>535220016</v>
      </c>
      <c r="E105" s="3" t="s">
        <v>142</v>
      </c>
      <c r="F105" t="s">
        <v>169</v>
      </c>
      <c r="G105" s="25" cm="1">
        <f t="array" ref="G105">IF(AND(A105:C105=S105:U105),IF((F105=Y105),1,0),999)</f>
        <v>999</v>
      </c>
      <c r="K105" s="5">
        <v>6</v>
      </c>
      <c r="L105" s="5">
        <v>0</v>
      </c>
      <c r="M105" s="5">
        <v>2</v>
      </c>
      <c r="N105" s="5" t="s">
        <v>991</v>
      </c>
      <c r="O105" s="5" t="s">
        <v>280</v>
      </c>
      <c r="P105" s="5" t="s">
        <v>143</v>
      </c>
      <c r="Q105" s="5" t="s">
        <v>161</v>
      </c>
      <c r="S105" s="24">
        <v>6</v>
      </c>
      <c r="T105" s="24">
        <v>0</v>
      </c>
      <c r="U105" s="24">
        <v>2</v>
      </c>
      <c r="V105" s="24" t="str">
        <v>SUDHIVADDHANA GOEN</v>
      </c>
      <c r="W105" s="24" t="str">
        <v>825220181</v>
      </c>
      <c r="X105" s="24" t="str">
        <v>Stupen</v>
      </c>
      <c r="Y105" s="24" t="str">
        <v>Tri Sutrisno, S.Si., M.Sc.</v>
      </c>
      <c r="AE105">
        <v>4</v>
      </c>
      <c r="AF105">
        <v>2</v>
      </c>
      <c r="AG105">
        <v>1</v>
      </c>
      <c r="AH105" s="25">
        <f t="shared" si="8"/>
        <v>0</v>
      </c>
      <c r="AI105" s="32">
        <f t="shared" si="9"/>
        <v>0</v>
      </c>
    </row>
    <row r="106" spans="1:35" ht="15" x14ac:dyDescent="0.2">
      <c r="A106" s="8">
        <v>0</v>
      </c>
      <c r="B106" s="8">
        <v>2</v>
      </c>
      <c r="C106" s="8">
        <v>0</v>
      </c>
      <c r="D106" s="3">
        <v>535220018</v>
      </c>
      <c r="E106" s="3" t="s">
        <v>142</v>
      </c>
      <c r="F106" t="s">
        <v>169</v>
      </c>
      <c r="G106" s="25" cm="1">
        <f t="array" ref="G106">IF(AND(A106:C106=S106:U106),IF((F106=Y106),1,0),999)</f>
        <v>999</v>
      </c>
      <c r="K106" s="5">
        <v>6</v>
      </c>
      <c r="L106" s="5">
        <v>0</v>
      </c>
      <c r="M106" s="5">
        <v>2</v>
      </c>
      <c r="N106" s="5" t="s">
        <v>992</v>
      </c>
      <c r="O106" s="5" t="s">
        <v>281</v>
      </c>
      <c r="P106" s="5" t="s">
        <v>143</v>
      </c>
      <c r="Q106" s="5" t="s">
        <v>161</v>
      </c>
      <c r="S106" s="24">
        <v>6</v>
      </c>
      <c r="T106" s="24">
        <v>0</v>
      </c>
      <c r="U106" s="24">
        <v>2</v>
      </c>
      <c r="V106" s="24" t="str">
        <v>JASSEN SANDRIO</v>
      </c>
      <c r="W106" s="24" t="str">
        <v>825239201</v>
      </c>
      <c r="X106" s="24" t="str">
        <v>Stupen</v>
      </c>
      <c r="Y106" s="24" t="str">
        <v>Tri Sutrisno, S.Si., M.Sc.</v>
      </c>
      <c r="AE106">
        <v>4</v>
      </c>
      <c r="AF106">
        <v>2</v>
      </c>
      <c r="AG106">
        <v>2</v>
      </c>
      <c r="AH106" s="25">
        <f t="shared" si="8"/>
        <v>0</v>
      </c>
      <c r="AI106" s="32">
        <f t="shared" si="9"/>
        <v>0</v>
      </c>
    </row>
    <row r="107" spans="1:35" ht="15" x14ac:dyDescent="0.2">
      <c r="A107" s="8">
        <v>4</v>
      </c>
      <c r="B107" s="8">
        <v>2</v>
      </c>
      <c r="C107" s="8">
        <v>0</v>
      </c>
      <c r="D107" s="3">
        <v>535220001</v>
      </c>
      <c r="E107" s="3" t="s">
        <v>142</v>
      </c>
      <c r="F107" t="s">
        <v>166</v>
      </c>
      <c r="G107" s="25" cm="1">
        <f t="array" ref="G107">IF(AND(A107:C107=S107:U107),IF((F107=Y107),1,0),999)</f>
        <v>999</v>
      </c>
      <c r="K107" s="5">
        <v>0</v>
      </c>
      <c r="L107" s="5">
        <v>1</v>
      </c>
      <c r="M107" s="5">
        <v>0</v>
      </c>
      <c r="N107" s="5" t="s">
        <v>993</v>
      </c>
      <c r="O107" s="5" t="s">
        <v>282</v>
      </c>
      <c r="P107" s="5" t="s">
        <v>142</v>
      </c>
      <c r="Q107" s="5" t="s">
        <v>162</v>
      </c>
      <c r="S107" s="24">
        <v>0</v>
      </c>
      <c r="T107" s="24">
        <v>1</v>
      </c>
      <c r="U107" s="24">
        <v>0</v>
      </c>
      <c r="V107" s="24" t="str">
        <v>NICOLAS PHI</v>
      </c>
      <c r="W107" s="24" t="str">
        <v>825220075</v>
      </c>
      <c r="X107" s="24" t="str">
        <v>Magang</v>
      </c>
      <c r="Y107" s="24" t="str">
        <v>Desi Arisandi, S.Kom., MTI</v>
      </c>
      <c r="AE107">
        <v>4</v>
      </c>
      <c r="AF107">
        <v>2</v>
      </c>
      <c r="AG107">
        <v>3</v>
      </c>
      <c r="AH107" s="25">
        <f t="shared" si="8"/>
        <v>0</v>
      </c>
      <c r="AI107" s="32">
        <f t="shared" si="9"/>
        <v>0</v>
      </c>
    </row>
    <row r="108" spans="1:35" ht="15" x14ac:dyDescent="0.2">
      <c r="A108" s="8">
        <v>4</v>
      </c>
      <c r="B108" s="8">
        <v>2</v>
      </c>
      <c r="C108" s="8">
        <v>0</v>
      </c>
      <c r="D108" s="3">
        <v>535220010</v>
      </c>
      <c r="E108" s="3" t="s">
        <v>142</v>
      </c>
      <c r="F108" t="s">
        <v>166</v>
      </c>
      <c r="G108" s="25" cm="1">
        <f t="array" ref="G108">IF(AND(A108:C108=S108:U108),IF((F108=Y108),1,0),999)</f>
        <v>999</v>
      </c>
      <c r="K108" s="5">
        <v>0</v>
      </c>
      <c r="L108" s="5">
        <v>1</v>
      </c>
      <c r="M108" s="5">
        <v>0</v>
      </c>
      <c r="N108" s="5" t="s">
        <v>994</v>
      </c>
      <c r="O108" s="5" t="s">
        <v>283</v>
      </c>
      <c r="P108" s="5" t="s">
        <v>142</v>
      </c>
      <c r="Q108" s="5" t="s">
        <v>162</v>
      </c>
      <c r="S108" s="24">
        <v>0</v>
      </c>
      <c r="T108" s="24">
        <v>1</v>
      </c>
      <c r="U108" s="24">
        <v>0</v>
      </c>
      <c r="V108" s="24" t="str">
        <v>WILLIAM</v>
      </c>
      <c r="W108" s="24" t="str">
        <v>825220084</v>
      </c>
      <c r="X108" s="24" t="str">
        <v>Magang</v>
      </c>
      <c r="Y108" s="24" t="str">
        <v>Desi Arisandi, S.Kom., MTI</v>
      </c>
      <c r="AE108">
        <v>4</v>
      </c>
      <c r="AF108">
        <v>2</v>
      </c>
      <c r="AG108">
        <v>4</v>
      </c>
      <c r="AH108" s="25">
        <f t="shared" si="8"/>
        <v>0</v>
      </c>
      <c r="AI108" s="32">
        <f t="shared" si="9"/>
        <v>0</v>
      </c>
    </row>
    <row r="109" spans="1:35" ht="15" x14ac:dyDescent="0.2">
      <c r="A109" s="8">
        <v>4</v>
      </c>
      <c r="B109" s="8">
        <v>2</v>
      </c>
      <c r="C109" s="8">
        <v>0</v>
      </c>
      <c r="D109" s="3">
        <v>535220017</v>
      </c>
      <c r="E109" s="3" t="s">
        <v>142</v>
      </c>
      <c r="F109" t="s">
        <v>166</v>
      </c>
      <c r="G109" s="25" cm="1">
        <f t="array" ref="G109">IF(AND(A109:C109=S109:U109),IF((F109=Y109),1,0),999)</f>
        <v>999</v>
      </c>
      <c r="K109" s="5">
        <v>0</v>
      </c>
      <c r="L109" s="5">
        <v>1</v>
      </c>
      <c r="M109" s="5">
        <v>0</v>
      </c>
      <c r="N109" s="5" t="s">
        <v>995</v>
      </c>
      <c r="O109" s="5" t="s">
        <v>284</v>
      </c>
      <c r="P109" s="5" t="s">
        <v>143</v>
      </c>
      <c r="Q109" s="5" t="s">
        <v>162</v>
      </c>
      <c r="S109" s="24">
        <v>0</v>
      </c>
      <c r="T109" s="24">
        <v>1</v>
      </c>
      <c r="U109" s="24">
        <v>0</v>
      </c>
      <c r="V109" s="24" t="str">
        <v>EDWARD HARLLEYANDY CUANGARTA</v>
      </c>
      <c r="W109" s="24" t="str">
        <v>825220087</v>
      </c>
      <c r="X109" s="24" t="str">
        <v>Stupen</v>
      </c>
      <c r="Y109" s="24" t="str">
        <v>Desi Arisandi, S.Kom., MTI</v>
      </c>
      <c r="AE109">
        <v>4</v>
      </c>
      <c r="AF109">
        <v>2</v>
      </c>
      <c r="AG109">
        <v>5</v>
      </c>
      <c r="AH109" s="25">
        <f t="shared" si="8"/>
        <v>0</v>
      </c>
      <c r="AI109" s="32">
        <f t="shared" si="9"/>
        <v>0</v>
      </c>
    </row>
    <row r="110" spans="1:35" ht="15" x14ac:dyDescent="0.2">
      <c r="A110" s="8">
        <v>4</v>
      </c>
      <c r="B110" s="8">
        <v>2</v>
      </c>
      <c r="C110" s="8">
        <v>0</v>
      </c>
      <c r="D110" s="3">
        <v>535220019</v>
      </c>
      <c r="E110" s="3" t="s">
        <v>142</v>
      </c>
      <c r="F110" t="s">
        <v>166</v>
      </c>
      <c r="G110" s="25" cm="1">
        <f t="array" ref="G110">IF(AND(A110:C110=S110:U110),IF((F110=Y110),1,0),999)</f>
        <v>999</v>
      </c>
      <c r="K110" s="5">
        <v>0</v>
      </c>
      <c r="L110" s="5">
        <v>1</v>
      </c>
      <c r="M110" s="5">
        <v>0</v>
      </c>
      <c r="N110" s="5" t="s">
        <v>996</v>
      </c>
      <c r="O110" s="5" t="s">
        <v>285</v>
      </c>
      <c r="P110" s="5" t="s">
        <v>143</v>
      </c>
      <c r="Q110" s="5" t="s">
        <v>162</v>
      </c>
      <c r="S110" s="24">
        <v>0</v>
      </c>
      <c r="T110" s="24">
        <v>1</v>
      </c>
      <c r="U110" s="24">
        <v>0</v>
      </c>
      <c r="V110" s="24" t="str">
        <v>LUIS FEBRY</v>
      </c>
      <c r="W110" s="24" t="str">
        <v>825220088</v>
      </c>
      <c r="X110" s="24" t="str">
        <v>Stupen</v>
      </c>
      <c r="Y110" s="24" t="str">
        <v>Desi Arisandi, S.Kom., MTI</v>
      </c>
      <c r="AE110">
        <v>4</v>
      </c>
      <c r="AF110">
        <v>2</v>
      </c>
      <c r="AG110">
        <v>6</v>
      </c>
      <c r="AH110" s="25">
        <f t="shared" si="8"/>
        <v>0</v>
      </c>
      <c r="AI110" s="32">
        <f t="shared" si="9"/>
        <v>0</v>
      </c>
    </row>
    <row r="111" spans="1:35" ht="15" x14ac:dyDescent="0.2">
      <c r="A111" s="8">
        <v>4</v>
      </c>
      <c r="B111" s="8">
        <v>2</v>
      </c>
      <c r="C111" s="8">
        <v>0</v>
      </c>
      <c r="D111" s="3">
        <v>535220262</v>
      </c>
      <c r="E111" s="3" t="s">
        <v>142</v>
      </c>
      <c r="F111" t="s">
        <v>166</v>
      </c>
      <c r="G111" s="25" cm="1">
        <f t="array" ref="G111">IF(AND(A111:C111=S111:U111),IF((F111=Y111),1,0),999)</f>
        <v>999</v>
      </c>
      <c r="K111" s="5">
        <v>0</v>
      </c>
      <c r="L111" s="5">
        <v>1</v>
      </c>
      <c r="M111" s="5">
        <v>0</v>
      </c>
      <c r="N111" s="5" t="s">
        <v>997</v>
      </c>
      <c r="O111" s="5" t="s">
        <v>286</v>
      </c>
      <c r="P111" s="5" t="s">
        <v>143</v>
      </c>
      <c r="Q111" s="5" t="s">
        <v>162</v>
      </c>
      <c r="S111" s="24">
        <v>0</v>
      </c>
      <c r="T111" s="24">
        <v>1</v>
      </c>
      <c r="U111" s="24">
        <v>0</v>
      </c>
      <c r="V111" s="24" t="str">
        <v>ALLEGRA FLAVIA FELITA</v>
      </c>
      <c r="W111" s="24" t="str">
        <v>825220093</v>
      </c>
      <c r="X111" s="24" t="str">
        <v>Stupen</v>
      </c>
      <c r="Y111" s="24" t="str">
        <v>Desi Arisandi, S.Kom., MTI</v>
      </c>
    </row>
    <row r="112" spans="1:35" ht="15" x14ac:dyDescent="0.2">
      <c r="A112" s="8">
        <v>5</v>
      </c>
      <c r="B112" s="8">
        <v>2</v>
      </c>
      <c r="C112" s="8">
        <v>0</v>
      </c>
      <c r="D112" s="3">
        <v>825220138</v>
      </c>
      <c r="E112" s="3" t="s">
        <v>142</v>
      </c>
      <c r="F112" t="s">
        <v>155</v>
      </c>
      <c r="G112" s="25" cm="1">
        <f t="array" ref="G112">IF(AND(A112:C112=S112:U112),IF((F112=Y112),1,0),999)</f>
        <v>999</v>
      </c>
      <c r="K112" s="5">
        <v>0</v>
      </c>
      <c r="L112" s="5">
        <v>1</v>
      </c>
      <c r="M112" s="5">
        <v>1</v>
      </c>
      <c r="N112" s="5" t="s">
        <v>998</v>
      </c>
      <c r="O112" s="5" t="s">
        <v>287</v>
      </c>
      <c r="P112" s="5" t="s">
        <v>142</v>
      </c>
      <c r="Q112" s="5" t="s">
        <v>163</v>
      </c>
      <c r="S112" s="24">
        <v>1</v>
      </c>
      <c r="T112" s="24">
        <v>1</v>
      </c>
      <c r="U112" s="24">
        <v>0</v>
      </c>
      <c r="V112" s="24" t="str">
        <v>GARY ANDERSON THENG</v>
      </c>
      <c r="W112" s="24" t="str">
        <v>825220094</v>
      </c>
      <c r="X112" s="24" t="str">
        <v>Stupen</v>
      </c>
      <c r="Y112" s="24" t="str">
        <v>Desi Arisandi, S.Kom., MTI</v>
      </c>
      <c r="AE112">
        <v>5</v>
      </c>
      <c r="AF112">
        <v>0</v>
      </c>
      <c r="AG112">
        <v>0</v>
      </c>
      <c r="AH112" s="25">
        <f t="shared" ref="AH112:AH132" si="10">COUNTIFS(A:A,AG112,B:B,AE112,C:C,AF112)</f>
        <v>0</v>
      </c>
      <c r="AI112" s="32">
        <f t="shared" ref="AI112:AI132" si="11">COUNTIFS(S:S,AG112,T:T,AE112,U:U,AF112)</f>
        <v>5</v>
      </c>
    </row>
    <row r="113" spans="1:35" ht="15" x14ac:dyDescent="0.2">
      <c r="A113" s="8">
        <v>5</v>
      </c>
      <c r="B113" s="8">
        <v>2</v>
      </c>
      <c r="C113" s="8">
        <v>0</v>
      </c>
      <c r="D113" s="3">
        <v>825220139</v>
      </c>
      <c r="E113" s="3" t="s">
        <v>142</v>
      </c>
      <c r="F113" t="s">
        <v>155</v>
      </c>
      <c r="G113" s="25" cm="1">
        <f t="array" ref="G113">IF(AND(A113:C113=S113:U113),IF((F113=Y113),1,0),999)</f>
        <v>999</v>
      </c>
      <c r="K113" s="5">
        <v>0</v>
      </c>
      <c r="L113" s="5">
        <v>1</v>
      </c>
      <c r="M113" s="5">
        <v>1</v>
      </c>
      <c r="N113" s="5" t="s">
        <v>999</v>
      </c>
      <c r="O113" s="5" t="s">
        <v>288</v>
      </c>
      <c r="P113" s="5" t="s">
        <v>142</v>
      </c>
      <c r="Q113" s="5" t="s">
        <v>163</v>
      </c>
      <c r="S113" s="24">
        <v>1</v>
      </c>
      <c r="T113" s="24">
        <v>1</v>
      </c>
      <c r="U113" s="24">
        <v>0</v>
      </c>
      <c r="V113" s="24" t="str">
        <v>JOURDAN TANARDI</v>
      </c>
      <c r="W113" s="24" t="str">
        <v>825220095</v>
      </c>
      <c r="X113" s="24" t="str">
        <v>Stupen</v>
      </c>
      <c r="Y113" s="24" t="str">
        <v>Desi Arisandi, S.Kom., MTI</v>
      </c>
      <c r="AE113">
        <v>5</v>
      </c>
      <c r="AF113">
        <v>0</v>
      </c>
      <c r="AG113">
        <v>1</v>
      </c>
      <c r="AH113" s="25">
        <f t="shared" si="10"/>
        <v>0</v>
      </c>
      <c r="AI113" s="32">
        <f t="shared" si="11"/>
        <v>5</v>
      </c>
    </row>
    <row r="114" spans="1:35" ht="15" x14ac:dyDescent="0.2">
      <c r="A114" s="8">
        <v>5</v>
      </c>
      <c r="B114" s="8">
        <v>2</v>
      </c>
      <c r="C114" s="8">
        <v>0</v>
      </c>
      <c r="D114" s="3">
        <v>825220165</v>
      </c>
      <c r="E114" s="3" t="s">
        <v>142</v>
      </c>
      <c r="F114" t="s">
        <v>155</v>
      </c>
      <c r="G114" s="25" cm="1">
        <f t="array" ref="G114">IF(AND(A114:C114=S114:U114),IF((F114=Y114),1,0),999)</f>
        <v>999</v>
      </c>
      <c r="K114" s="5">
        <v>0</v>
      </c>
      <c r="L114" s="5">
        <v>1</v>
      </c>
      <c r="M114" s="5">
        <v>1</v>
      </c>
      <c r="N114" s="5" t="s">
        <v>1000</v>
      </c>
      <c r="O114" s="5" t="s">
        <v>289</v>
      </c>
      <c r="P114" s="5" t="s">
        <v>142</v>
      </c>
      <c r="Q114" s="5" t="s">
        <v>163</v>
      </c>
      <c r="S114" s="24">
        <v>1</v>
      </c>
      <c r="T114" s="24">
        <v>1</v>
      </c>
      <c r="U114" s="24">
        <v>0</v>
      </c>
      <c r="V114" s="24" t="str">
        <v>JUSTIN AARON HO</v>
      </c>
      <c r="W114" s="24" t="str">
        <v>825220105</v>
      </c>
      <c r="X114" s="24" t="str">
        <v>Stupen</v>
      </c>
      <c r="Y114" s="24" t="str">
        <v>Desi Arisandi, S.Kom., MTI</v>
      </c>
      <c r="AE114">
        <v>5</v>
      </c>
      <c r="AF114">
        <v>0</v>
      </c>
      <c r="AG114">
        <v>2</v>
      </c>
      <c r="AH114" s="25">
        <f t="shared" si="10"/>
        <v>0</v>
      </c>
      <c r="AI114" s="32">
        <f t="shared" si="11"/>
        <v>5</v>
      </c>
    </row>
    <row r="115" spans="1:35" ht="15" x14ac:dyDescent="0.2">
      <c r="A115" s="8">
        <v>5</v>
      </c>
      <c r="B115" s="8">
        <v>2</v>
      </c>
      <c r="C115" s="8">
        <v>0</v>
      </c>
      <c r="D115" s="3">
        <v>535220140</v>
      </c>
      <c r="E115" s="3" t="s">
        <v>142</v>
      </c>
      <c r="F115" t="s">
        <v>167</v>
      </c>
      <c r="G115" s="25" cm="1">
        <f t="array" ref="G115">IF(AND(A115:C115=S115:U115),IF((F115=Y115),1,0),999)</f>
        <v>999</v>
      </c>
      <c r="K115" s="5">
        <v>0</v>
      </c>
      <c r="L115" s="5">
        <v>1</v>
      </c>
      <c r="M115" s="5">
        <v>1</v>
      </c>
      <c r="N115" s="5" t="s">
        <v>1001</v>
      </c>
      <c r="O115" s="5" t="s">
        <v>290</v>
      </c>
      <c r="P115" s="5" t="s">
        <v>142</v>
      </c>
      <c r="Q115" s="5" t="s">
        <v>163</v>
      </c>
      <c r="S115" s="24">
        <v>1</v>
      </c>
      <c r="T115" s="24">
        <v>1</v>
      </c>
      <c r="U115" s="24">
        <v>0</v>
      </c>
      <c r="V115" s="24" t="str">
        <v>FERNANDO EDISON</v>
      </c>
      <c r="W115" s="24" t="str">
        <v>825220113</v>
      </c>
      <c r="X115" s="24" t="str">
        <v>Stupen</v>
      </c>
      <c r="Y115" s="24" t="str">
        <v>Desi Arisandi, S.Kom., MTI</v>
      </c>
      <c r="AE115">
        <v>5</v>
      </c>
      <c r="AF115">
        <v>0</v>
      </c>
      <c r="AG115">
        <v>3</v>
      </c>
      <c r="AH115" s="25">
        <f t="shared" si="10"/>
        <v>0</v>
      </c>
      <c r="AI115" s="32">
        <f t="shared" si="11"/>
        <v>1</v>
      </c>
    </row>
    <row r="116" spans="1:35" ht="15" x14ac:dyDescent="0.2">
      <c r="A116" s="8">
        <v>5</v>
      </c>
      <c r="B116" s="8">
        <v>2</v>
      </c>
      <c r="C116" s="8">
        <v>0</v>
      </c>
      <c r="D116" s="4">
        <v>535220148</v>
      </c>
      <c r="E116" s="3" t="s">
        <v>142</v>
      </c>
      <c r="F116" t="s">
        <v>167</v>
      </c>
      <c r="G116" s="25" cm="1">
        <f t="array" ref="G116">IF(AND(A116:C116=S116:U116),IF((F116=Y116),1,0),999)</f>
        <v>999</v>
      </c>
      <c r="K116" s="5">
        <v>0</v>
      </c>
      <c r="L116" s="5">
        <v>1</v>
      </c>
      <c r="M116" s="5">
        <v>1</v>
      </c>
      <c r="N116" s="5" t="s">
        <v>1002</v>
      </c>
      <c r="O116" s="5" t="s">
        <v>291</v>
      </c>
      <c r="P116" s="5" t="s">
        <v>142</v>
      </c>
      <c r="Q116" s="5" t="s">
        <v>163</v>
      </c>
      <c r="S116" s="24">
        <v>1</v>
      </c>
      <c r="T116" s="24">
        <v>1</v>
      </c>
      <c r="U116" s="24">
        <v>0</v>
      </c>
      <c r="V116" s="24" t="str">
        <v>DAFFA IMANI SAPUTRA</v>
      </c>
      <c r="W116" s="24" t="str">
        <v>825220114</v>
      </c>
      <c r="X116" s="24" t="str">
        <v>Stupen</v>
      </c>
      <c r="Y116" s="24" t="str">
        <v>Desi Arisandi, S.Kom., MTI</v>
      </c>
      <c r="AE116">
        <v>5</v>
      </c>
      <c r="AF116">
        <v>0</v>
      </c>
      <c r="AG116">
        <v>4</v>
      </c>
      <c r="AH116" s="25">
        <f t="shared" si="10"/>
        <v>0</v>
      </c>
      <c r="AI116" s="32">
        <f t="shared" si="11"/>
        <v>0</v>
      </c>
    </row>
    <row r="117" spans="1:35" ht="15" x14ac:dyDescent="0.2">
      <c r="A117" s="8">
        <v>6</v>
      </c>
      <c r="B117" s="8">
        <v>2</v>
      </c>
      <c r="C117" s="8">
        <v>0</v>
      </c>
      <c r="D117" s="3">
        <v>535220176</v>
      </c>
      <c r="E117" s="3" t="s">
        <v>142</v>
      </c>
      <c r="F117" t="s">
        <v>167</v>
      </c>
      <c r="G117" s="25" cm="1">
        <f t="array" ref="G117">IF(AND(A117:C117=S117:U117),IF((F117=Y117),1,0),999)</f>
        <v>999</v>
      </c>
      <c r="K117" s="5">
        <v>0</v>
      </c>
      <c r="L117" s="5">
        <v>1</v>
      </c>
      <c r="M117" s="5">
        <v>2</v>
      </c>
      <c r="N117" s="5" t="s">
        <v>1003</v>
      </c>
      <c r="O117" s="5" t="s">
        <v>292</v>
      </c>
      <c r="P117" s="5" t="s">
        <v>142</v>
      </c>
      <c r="Q117" s="5" t="s">
        <v>156</v>
      </c>
      <c r="S117" s="24">
        <v>2</v>
      </c>
      <c r="T117" s="24">
        <v>1</v>
      </c>
      <c r="U117" s="24">
        <v>0</v>
      </c>
      <c r="V117" s="24" t="str">
        <v>SAYYIDINAA ALI</v>
      </c>
      <c r="W117" s="24" t="str">
        <v>825220115</v>
      </c>
      <c r="X117" s="24" t="str">
        <v>Stupen</v>
      </c>
      <c r="Y117" s="24" t="str">
        <v>Desi Arisandi, S.Kom., MTI</v>
      </c>
      <c r="AE117">
        <v>5</v>
      </c>
      <c r="AF117">
        <v>0</v>
      </c>
      <c r="AG117">
        <v>5</v>
      </c>
      <c r="AH117" s="25">
        <f t="shared" si="10"/>
        <v>0</v>
      </c>
      <c r="AI117" s="32">
        <f t="shared" si="11"/>
        <v>0</v>
      </c>
    </row>
    <row r="118" spans="1:35" ht="15" x14ac:dyDescent="0.2">
      <c r="A118" s="8">
        <v>6</v>
      </c>
      <c r="B118" s="8">
        <v>2</v>
      </c>
      <c r="C118" s="8">
        <v>0</v>
      </c>
      <c r="D118" s="3">
        <v>535220182</v>
      </c>
      <c r="E118" s="3" t="s">
        <v>142</v>
      </c>
      <c r="F118" t="s">
        <v>167</v>
      </c>
      <c r="G118" s="25" cm="1">
        <f t="array" ref="G118">IF(AND(A118:C118=S118:U118),IF((F118=Y118),1,0),999)</f>
        <v>999</v>
      </c>
      <c r="K118" s="5">
        <v>0</v>
      </c>
      <c r="L118" s="5">
        <v>1</v>
      </c>
      <c r="M118" s="5">
        <v>2</v>
      </c>
      <c r="N118" s="5" t="s">
        <v>1004</v>
      </c>
      <c r="O118" s="5" t="s">
        <v>293</v>
      </c>
      <c r="P118" s="5" t="s">
        <v>142</v>
      </c>
      <c r="Q118" s="5" t="s">
        <v>156</v>
      </c>
      <c r="S118" s="24">
        <v>2</v>
      </c>
      <c r="T118" s="24">
        <v>1</v>
      </c>
      <c r="U118" s="24">
        <v>0</v>
      </c>
      <c r="V118" s="24" t="str">
        <v>ROBERT</v>
      </c>
      <c r="W118" s="24" t="str">
        <v>825220121</v>
      </c>
      <c r="X118" s="24" t="str">
        <v>Stupen</v>
      </c>
      <c r="Y118" s="24" t="str">
        <v>Desi Arisandi, S.Kom., MTI</v>
      </c>
      <c r="AE118">
        <v>5</v>
      </c>
      <c r="AF118">
        <v>0</v>
      </c>
      <c r="AG118">
        <v>6</v>
      </c>
      <c r="AH118" s="25">
        <f t="shared" si="10"/>
        <v>0</v>
      </c>
      <c r="AI118" s="32">
        <f t="shared" si="11"/>
        <v>0</v>
      </c>
    </row>
    <row r="119" spans="1:35" ht="15" x14ac:dyDescent="0.2">
      <c r="A119" s="8">
        <v>6</v>
      </c>
      <c r="B119" s="8">
        <v>2</v>
      </c>
      <c r="C119" s="8">
        <v>0</v>
      </c>
      <c r="D119" s="3">
        <v>535220183</v>
      </c>
      <c r="E119" s="3" t="s">
        <v>142</v>
      </c>
      <c r="F119" t="s">
        <v>167</v>
      </c>
      <c r="G119" s="25" cm="1">
        <f t="array" ref="G119">IF(AND(A119:C119=S119:U119),IF((F119=Y119),1,0),999)</f>
        <v>999</v>
      </c>
      <c r="K119" s="5">
        <v>0</v>
      </c>
      <c r="L119" s="5">
        <v>1</v>
      </c>
      <c r="M119" s="5">
        <v>2</v>
      </c>
      <c r="N119" s="5" t="s">
        <v>1005</v>
      </c>
      <c r="O119" s="5" t="s">
        <v>294</v>
      </c>
      <c r="P119" s="5" t="s">
        <v>142</v>
      </c>
      <c r="Q119" s="5" t="s">
        <v>156</v>
      </c>
      <c r="S119" s="24">
        <v>2</v>
      </c>
      <c r="T119" s="24">
        <v>1</v>
      </c>
      <c r="U119" s="24">
        <v>0</v>
      </c>
      <c r="V119" s="24" t="str">
        <v>DENNIS MATTHEW</v>
      </c>
      <c r="W119" s="24" t="str">
        <v>825220124</v>
      </c>
      <c r="X119" s="24" t="str">
        <v>Stupen</v>
      </c>
      <c r="Y119" s="24" t="str">
        <v>Desi Arisandi, S.Kom., MTI</v>
      </c>
      <c r="AE119">
        <v>5</v>
      </c>
      <c r="AF119">
        <v>1</v>
      </c>
      <c r="AG119">
        <v>0</v>
      </c>
      <c r="AH119" s="25">
        <f t="shared" si="10"/>
        <v>0</v>
      </c>
      <c r="AI119" s="32">
        <f t="shared" si="11"/>
        <v>5</v>
      </c>
    </row>
    <row r="120" spans="1:35" ht="15" x14ac:dyDescent="0.2">
      <c r="A120" s="8">
        <v>6</v>
      </c>
      <c r="B120" s="8">
        <v>2</v>
      </c>
      <c r="C120" s="8">
        <v>0</v>
      </c>
      <c r="D120" s="3">
        <v>535220189</v>
      </c>
      <c r="E120" s="3" t="s">
        <v>142</v>
      </c>
      <c r="F120" t="s">
        <v>167</v>
      </c>
      <c r="G120" s="25" cm="1">
        <f t="array" ref="G120">IF(AND(A120:C120=S120:U120),IF((F120=Y120),1,0),999)</f>
        <v>999</v>
      </c>
      <c r="K120" s="5">
        <v>0</v>
      </c>
      <c r="L120" s="5">
        <v>1</v>
      </c>
      <c r="M120" s="5">
        <v>2</v>
      </c>
      <c r="N120" s="5" t="s">
        <v>1006</v>
      </c>
      <c r="O120" s="5" t="s">
        <v>295</v>
      </c>
      <c r="P120" s="5" t="s">
        <v>142</v>
      </c>
      <c r="Q120" s="5" t="s">
        <v>156</v>
      </c>
      <c r="S120" s="24">
        <v>2</v>
      </c>
      <c r="T120" s="24">
        <v>1</v>
      </c>
      <c r="U120" s="24">
        <v>0</v>
      </c>
      <c r="V120" s="24" t="str">
        <v xml:space="preserve">JAVIER ELIAN PUTRA KARJADI </v>
      </c>
      <c r="W120" s="24" t="str">
        <v>825220131</v>
      </c>
      <c r="X120" s="24" t="str">
        <v>Stupen</v>
      </c>
      <c r="Y120" s="24" t="str">
        <v>Desi Arisandi, S.Kom., MTI</v>
      </c>
      <c r="AE120">
        <v>5</v>
      </c>
      <c r="AF120">
        <v>1</v>
      </c>
      <c r="AG120">
        <v>1</v>
      </c>
      <c r="AH120" s="25">
        <f t="shared" si="10"/>
        <v>0</v>
      </c>
      <c r="AI120" s="32">
        <f t="shared" si="11"/>
        <v>5</v>
      </c>
    </row>
    <row r="121" spans="1:35" ht="15" x14ac:dyDescent="0.2">
      <c r="A121" s="8">
        <v>6</v>
      </c>
      <c r="B121" s="8">
        <v>2</v>
      </c>
      <c r="C121" s="8">
        <v>0</v>
      </c>
      <c r="D121" s="3">
        <v>535220259</v>
      </c>
      <c r="E121" s="3" t="s">
        <v>142</v>
      </c>
      <c r="F121" t="s">
        <v>167</v>
      </c>
      <c r="G121" s="25" cm="1">
        <f t="array" ref="G121">IF(AND(A121:C121=S121:U121),IF((F121=Y121),1,0),999)</f>
        <v>999</v>
      </c>
      <c r="K121" s="5">
        <v>0</v>
      </c>
      <c r="L121" s="5">
        <v>1</v>
      </c>
      <c r="M121" s="5">
        <v>2</v>
      </c>
      <c r="N121" s="5" t="s">
        <v>1007</v>
      </c>
      <c r="O121" s="5" t="s">
        <v>296</v>
      </c>
      <c r="P121" s="5" t="s">
        <v>142</v>
      </c>
      <c r="Q121" s="5" t="s">
        <v>156</v>
      </c>
      <c r="S121" s="24">
        <v>2</v>
      </c>
      <c r="T121" s="24">
        <v>1</v>
      </c>
      <c r="U121" s="24">
        <v>0</v>
      </c>
      <c r="V121" s="24" t="str">
        <v>NATHANAEL DENNIS GUNAWAN</v>
      </c>
      <c r="W121" s="24" t="str">
        <v>825220133</v>
      </c>
      <c r="X121" s="24" t="str">
        <v>Stupen</v>
      </c>
      <c r="Y121" s="24" t="str">
        <v>Desi Arisandi, S.Kom., MTI</v>
      </c>
      <c r="AE121">
        <v>5</v>
      </c>
      <c r="AF121">
        <v>1</v>
      </c>
      <c r="AG121">
        <v>2</v>
      </c>
      <c r="AH121" s="25">
        <f t="shared" si="10"/>
        <v>0</v>
      </c>
      <c r="AI121" s="32">
        <f t="shared" si="11"/>
        <v>1</v>
      </c>
    </row>
    <row r="122" spans="1:35" ht="15" x14ac:dyDescent="0.2">
      <c r="A122" s="8">
        <v>0</v>
      </c>
      <c r="B122" s="8">
        <v>2</v>
      </c>
      <c r="C122" s="8">
        <v>1</v>
      </c>
      <c r="D122" s="3">
        <v>535220152</v>
      </c>
      <c r="E122" s="3" t="s">
        <v>142</v>
      </c>
      <c r="F122" t="s">
        <v>164</v>
      </c>
      <c r="G122" s="25" cm="1">
        <f t="array" ref="G122">IF(AND(A122:C122=S122:U122),IF((F122=Y122),1,0),999)</f>
        <v>999</v>
      </c>
      <c r="K122" s="5">
        <v>1</v>
      </c>
      <c r="L122" s="5">
        <v>1</v>
      </c>
      <c r="M122" s="5">
        <v>0</v>
      </c>
      <c r="N122" s="5" t="s">
        <v>1008</v>
      </c>
      <c r="O122" s="5" t="s">
        <v>297</v>
      </c>
      <c r="P122" s="5" t="s">
        <v>143</v>
      </c>
      <c r="Q122" s="5" t="s">
        <v>162</v>
      </c>
      <c r="S122" s="24">
        <v>3</v>
      </c>
      <c r="T122" s="24">
        <v>1</v>
      </c>
      <c r="U122" s="24">
        <v>0</v>
      </c>
      <c r="V122" s="24" t="str">
        <v>ZAKI RAMDANI</v>
      </c>
      <c r="W122" s="24" t="str">
        <v>825220137</v>
      </c>
      <c r="X122" s="24" t="str">
        <v>Stupen</v>
      </c>
      <c r="Y122" s="24" t="str">
        <v>Desi Arisandi, S.Kom., MTI</v>
      </c>
      <c r="AE122">
        <v>5</v>
      </c>
      <c r="AF122">
        <v>1</v>
      </c>
      <c r="AG122">
        <v>3</v>
      </c>
      <c r="AH122" s="25">
        <f t="shared" si="10"/>
        <v>0</v>
      </c>
      <c r="AI122" s="32">
        <f t="shared" si="11"/>
        <v>0</v>
      </c>
    </row>
    <row r="123" spans="1:35" ht="15" x14ac:dyDescent="0.2">
      <c r="A123" s="8">
        <v>0</v>
      </c>
      <c r="B123" s="8">
        <v>2</v>
      </c>
      <c r="C123" s="8">
        <v>1</v>
      </c>
      <c r="D123" s="3">
        <v>535220154</v>
      </c>
      <c r="E123" s="3" t="s">
        <v>142</v>
      </c>
      <c r="F123" t="s">
        <v>164</v>
      </c>
      <c r="G123" s="25" cm="1">
        <f t="array" ref="G123">IF(AND(A123:C123=S123:U123),IF((F123=Y123),1,0),999)</f>
        <v>999</v>
      </c>
      <c r="K123" s="5">
        <v>1</v>
      </c>
      <c r="L123" s="5">
        <v>1</v>
      </c>
      <c r="M123" s="5">
        <v>0</v>
      </c>
      <c r="N123" s="5" t="s">
        <v>1009</v>
      </c>
      <c r="O123" s="5" t="s">
        <v>298</v>
      </c>
      <c r="P123" s="5" t="s">
        <v>143</v>
      </c>
      <c r="Q123" s="5" t="s">
        <v>162</v>
      </c>
      <c r="S123" s="24">
        <v>3</v>
      </c>
      <c r="T123" s="24">
        <v>1</v>
      </c>
      <c r="U123" s="24">
        <v>0</v>
      </c>
      <c r="V123" s="24" t="str">
        <v>GAVRIEL JOSEPH LIM</v>
      </c>
      <c r="W123" s="24" t="str">
        <v>535220049</v>
      </c>
      <c r="X123" s="24" t="str">
        <v>Magang</v>
      </c>
      <c r="Y123" s="24" t="str">
        <v>Irvan Lewenusa, S.Kom., M.Kom.</v>
      </c>
      <c r="AE123">
        <v>5</v>
      </c>
      <c r="AF123">
        <v>1</v>
      </c>
      <c r="AG123">
        <v>4</v>
      </c>
      <c r="AH123" s="25">
        <f t="shared" si="10"/>
        <v>0</v>
      </c>
      <c r="AI123" s="32">
        <f t="shared" si="11"/>
        <v>0</v>
      </c>
    </row>
    <row r="124" spans="1:35" ht="15" x14ac:dyDescent="0.2">
      <c r="A124" s="8">
        <v>0</v>
      </c>
      <c r="B124" s="8">
        <v>2</v>
      </c>
      <c r="C124" s="8">
        <v>1</v>
      </c>
      <c r="D124" s="3">
        <v>535220191</v>
      </c>
      <c r="E124" s="3" t="s">
        <v>142</v>
      </c>
      <c r="F124" t="s">
        <v>164</v>
      </c>
      <c r="G124" s="25" cm="1">
        <f t="array" ref="G124">IF(AND(A124:C124=S124:U124),IF((F124=Y124),1,0),999)</f>
        <v>999</v>
      </c>
      <c r="K124" s="5">
        <v>1</v>
      </c>
      <c r="L124" s="5">
        <v>1</v>
      </c>
      <c r="M124" s="5">
        <v>0</v>
      </c>
      <c r="N124" s="5" t="s">
        <v>1010</v>
      </c>
      <c r="O124" s="5" t="s">
        <v>299</v>
      </c>
      <c r="P124" s="5" t="s">
        <v>143</v>
      </c>
      <c r="Q124" s="5" t="s">
        <v>162</v>
      </c>
      <c r="S124" s="24">
        <v>3</v>
      </c>
      <c r="T124" s="24">
        <v>1</v>
      </c>
      <c r="U124" s="24">
        <v>0</v>
      </c>
      <c r="V124" s="24" t="str">
        <v>MICHAEL PANGIHUTAN PARDOMUAN MANALU</v>
      </c>
      <c r="W124" s="24" t="str">
        <v>535220073</v>
      </c>
      <c r="X124" s="24" t="str">
        <v>Magang</v>
      </c>
      <c r="Y124" s="24" t="str">
        <v>Irvan Lewenusa, S.Kom., M.Kom.</v>
      </c>
      <c r="AE124">
        <v>5</v>
      </c>
      <c r="AF124">
        <v>1</v>
      </c>
      <c r="AG124">
        <v>5</v>
      </c>
      <c r="AH124" s="25">
        <f t="shared" si="10"/>
        <v>0</v>
      </c>
      <c r="AI124" s="32">
        <f t="shared" si="11"/>
        <v>0</v>
      </c>
    </row>
    <row r="125" spans="1:35" ht="15" x14ac:dyDescent="0.2">
      <c r="A125" s="8">
        <v>0</v>
      </c>
      <c r="B125" s="8">
        <v>2</v>
      </c>
      <c r="C125" s="8">
        <v>1</v>
      </c>
      <c r="D125" s="3">
        <v>535220206</v>
      </c>
      <c r="E125" s="3" t="s">
        <v>142</v>
      </c>
      <c r="F125" t="s">
        <v>164</v>
      </c>
      <c r="G125" s="25" cm="1">
        <f t="array" ref="G125">IF(AND(A125:C125=S125:U125),IF((F125=Y125),1,0),999)</f>
        <v>999</v>
      </c>
      <c r="K125" s="5">
        <v>1</v>
      </c>
      <c r="L125" s="5">
        <v>1</v>
      </c>
      <c r="M125" s="5">
        <v>0</v>
      </c>
      <c r="N125" s="5" t="s">
        <v>1011</v>
      </c>
      <c r="O125" s="5" t="s">
        <v>300</v>
      </c>
      <c r="P125" s="5" t="s">
        <v>143</v>
      </c>
      <c r="Q125" s="5" t="s">
        <v>162</v>
      </c>
      <c r="S125" s="24">
        <v>3</v>
      </c>
      <c r="T125" s="24">
        <v>1</v>
      </c>
      <c r="U125" s="24">
        <v>0</v>
      </c>
      <c r="V125" s="24" t="str">
        <v>RYAN ANTHONY</v>
      </c>
      <c r="W125" s="24" t="str">
        <v>535220074</v>
      </c>
      <c r="X125" s="24" t="str">
        <v>Magang</v>
      </c>
      <c r="Y125" s="24" t="str">
        <v>Irvan Lewenusa, S.Kom., M.Kom.</v>
      </c>
      <c r="AE125">
        <v>5</v>
      </c>
      <c r="AF125">
        <v>1</v>
      </c>
      <c r="AG125">
        <v>6</v>
      </c>
      <c r="AH125" s="25">
        <f t="shared" si="10"/>
        <v>0</v>
      </c>
      <c r="AI125" s="32">
        <f t="shared" si="11"/>
        <v>0</v>
      </c>
    </row>
    <row r="126" spans="1:35" ht="15" x14ac:dyDescent="0.2">
      <c r="A126" s="8">
        <v>0</v>
      </c>
      <c r="B126" s="8">
        <v>2</v>
      </c>
      <c r="C126" s="8">
        <v>1</v>
      </c>
      <c r="D126" s="3">
        <v>535220210</v>
      </c>
      <c r="E126" s="3" t="s">
        <v>142</v>
      </c>
      <c r="F126" t="s">
        <v>164</v>
      </c>
      <c r="G126" s="25" cm="1">
        <f t="array" ref="G126">IF(AND(A126:C126=S126:U126),IF((F126=Y126),1,0),999)</f>
        <v>999</v>
      </c>
      <c r="K126" s="5">
        <v>1</v>
      </c>
      <c r="L126" s="5">
        <v>1</v>
      </c>
      <c r="M126" s="5">
        <v>0</v>
      </c>
      <c r="N126" s="5" t="s">
        <v>1012</v>
      </c>
      <c r="O126" s="5" t="s">
        <v>301</v>
      </c>
      <c r="P126" s="5" t="s">
        <v>143</v>
      </c>
      <c r="Q126" s="5" t="s">
        <v>162</v>
      </c>
      <c r="S126" s="24">
        <v>3</v>
      </c>
      <c r="T126" s="24">
        <v>1</v>
      </c>
      <c r="U126" s="24">
        <v>0</v>
      </c>
      <c r="V126" s="24" t="str">
        <v>JECHENTHIA MARIA TASO</v>
      </c>
      <c r="W126" s="24" t="str">
        <v>535220081</v>
      </c>
      <c r="X126" s="24" t="str">
        <v>Magang</v>
      </c>
      <c r="Y126" s="24" t="str">
        <v>Irvan Lewenusa, S.Kom., M.Kom.</v>
      </c>
      <c r="AE126">
        <v>5</v>
      </c>
      <c r="AF126">
        <v>2</v>
      </c>
      <c r="AG126">
        <v>0</v>
      </c>
      <c r="AH126" s="25">
        <f t="shared" si="10"/>
        <v>0</v>
      </c>
      <c r="AI126" s="32">
        <f t="shared" si="11"/>
        <v>0</v>
      </c>
    </row>
    <row r="127" spans="1:35" ht="15" x14ac:dyDescent="0.2">
      <c r="A127" s="8">
        <v>1</v>
      </c>
      <c r="B127" s="8">
        <v>2</v>
      </c>
      <c r="C127" s="8">
        <v>1</v>
      </c>
      <c r="D127" s="3">
        <v>535220213</v>
      </c>
      <c r="E127" s="3" t="s">
        <v>142</v>
      </c>
      <c r="F127" t="s">
        <v>164</v>
      </c>
      <c r="G127" s="25" cm="1">
        <f t="array" ref="G127">IF(AND(A127:C127=S127:U127),IF((F127=Y127),1,0),999)</f>
        <v>999</v>
      </c>
      <c r="K127" s="5">
        <v>1</v>
      </c>
      <c r="L127" s="5">
        <v>1</v>
      </c>
      <c r="M127" s="5">
        <v>1</v>
      </c>
      <c r="N127" s="5" t="s">
        <v>1013</v>
      </c>
      <c r="O127" s="5" t="s">
        <v>302</v>
      </c>
      <c r="P127" s="5" t="s">
        <v>142</v>
      </c>
      <c r="Q127" s="5" t="s">
        <v>163</v>
      </c>
      <c r="S127" s="24">
        <v>4</v>
      </c>
      <c r="T127" s="24">
        <v>1</v>
      </c>
      <c r="U127" s="24">
        <v>0</v>
      </c>
      <c r="V127" s="24" t="str">
        <v>GREGORIUS SATRIONAN PAMUNGKAS</v>
      </c>
      <c r="W127" s="24" t="str">
        <v>535220244</v>
      </c>
      <c r="X127" s="24" t="str">
        <v>Stupen</v>
      </c>
      <c r="Y127" s="24" t="str">
        <v>Janson Hendryli, S.Kom., M.Kom.</v>
      </c>
      <c r="AE127">
        <v>5</v>
      </c>
      <c r="AF127">
        <v>2</v>
      </c>
      <c r="AG127">
        <v>1</v>
      </c>
      <c r="AH127" s="25">
        <f t="shared" si="10"/>
        <v>0</v>
      </c>
      <c r="AI127" s="32">
        <f t="shared" si="11"/>
        <v>0</v>
      </c>
    </row>
    <row r="128" spans="1:35" ht="15" x14ac:dyDescent="0.2">
      <c r="A128" s="8">
        <v>1</v>
      </c>
      <c r="B128" s="8">
        <v>2</v>
      </c>
      <c r="C128" s="8">
        <v>1</v>
      </c>
      <c r="D128" s="3">
        <v>535220247</v>
      </c>
      <c r="E128" s="3" t="s">
        <v>142</v>
      </c>
      <c r="F128" t="s">
        <v>164</v>
      </c>
      <c r="G128" s="25" cm="1">
        <f t="array" ref="G128">IF(AND(A128:C128=S128:U128),IF((F128=Y128),1,0),999)</f>
        <v>999</v>
      </c>
      <c r="K128" s="5">
        <v>1</v>
      </c>
      <c r="L128" s="5">
        <v>1</v>
      </c>
      <c r="M128" s="5">
        <v>1</v>
      </c>
      <c r="N128" s="5" t="s">
        <v>1014</v>
      </c>
      <c r="O128" s="5" t="s">
        <v>303</v>
      </c>
      <c r="P128" s="5" t="s">
        <v>142</v>
      </c>
      <c r="Q128" s="5" t="s">
        <v>163</v>
      </c>
      <c r="S128" s="24">
        <v>4</v>
      </c>
      <c r="T128" s="24">
        <v>1</v>
      </c>
      <c r="U128" s="24">
        <v>0</v>
      </c>
      <c r="V128" s="24" t="str">
        <v>RIDHWAN KAUTSAR DWI JULIANTO</v>
      </c>
      <c r="W128" s="24" t="str">
        <v>535220267</v>
      </c>
      <c r="X128" s="24" t="str">
        <v>Stupen</v>
      </c>
      <c r="Y128" s="24" t="str">
        <v>Janson Hendryli, S.Kom., M.Kom.</v>
      </c>
      <c r="AE128">
        <v>5</v>
      </c>
      <c r="AF128">
        <v>2</v>
      </c>
      <c r="AG128">
        <v>2</v>
      </c>
      <c r="AH128" s="25">
        <f t="shared" si="10"/>
        <v>0</v>
      </c>
      <c r="AI128" s="32">
        <f t="shared" si="11"/>
        <v>0</v>
      </c>
    </row>
    <row r="129" spans="1:35" ht="15" x14ac:dyDescent="0.2">
      <c r="A129" s="8">
        <v>1</v>
      </c>
      <c r="B129" s="8">
        <v>2</v>
      </c>
      <c r="C129" s="8">
        <v>1</v>
      </c>
      <c r="D129" s="3">
        <v>535220014</v>
      </c>
      <c r="E129" s="3" t="s">
        <v>142</v>
      </c>
      <c r="F129" t="s">
        <v>165</v>
      </c>
      <c r="G129" s="25" cm="1">
        <f t="array" ref="G129">IF(AND(A129:C129=S129:U129),IF((F129=Y129),1,0),999)</f>
        <v>999</v>
      </c>
      <c r="K129" s="5">
        <v>1</v>
      </c>
      <c r="L129" s="5">
        <v>1</v>
      </c>
      <c r="M129" s="5">
        <v>1</v>
      </c>
      <c r="N129" s="5" t="s">
        <v>1015</v>
      </c>
      <c r="O129" s="5" t="s">
        <v>304</v>
      </c>
      <c r="P129" s="5" t="s">
        <v>142</v>
      </c>
      <c r="Q129" s="5" t="s">
        <v>163</v>
      </c>
      <c r="S129" s="24">
        <v>4</v>
      </c>
      <c r="T129" s="24">
        <v>1</v>
      </c>
      <c r="U129" s="24">
        <v>0</v>
      </c>
      <c r="V129" s="24" t="str">
        <v>HANSON NICHOLAS</v>
      </c>
      <c r="W129" s="24" t="str">
        <v>535220121</v>
      </c>
      <c r="X129" s="24" t="str">
        <v>Magang</v>
      </c>
      <c r="Y129" s="24" t="str">
        <v>Darius Andana Haris, S.Kom., MTI</v>
      </c>
      <c r="AE129">
        <v>5</v>
      </c>
      <c r="AF129">
        <v>2</v>
      </c>
      <c r="AG129">
        <v>3</v>
      </c>
      <c r="AH129" s="25">
        <f t="shared" si="10"/>
        <v>0</v>
      </c>
      <c r="AI129" s="32">
        <f t="shared" si="11"/>
        <v>0</v>
      </c>
    </row>
    <row r="130" spans="1:35" ht="15" x14ac:dyDescent="0.2">
      <c r="A130" s="8">
        <v>1</v>
      </c>
      <c r="B130" s="8">
        <v>2</v>
      </c>
      <c r="C130" s="8">
        <v>1</v>
      </c>
      <c r="D130" s="3">
        <v>535220020</v>
      </c>
      <c r="E130" s="3" t="s">
        <v>142</v>
      </c>
      <c r="F130" t="s">
        <v>165</v>
      </c>
      <c r="G130" s="25" cm="1">
        <f t="array" ref="G130">IF(AND(A130:C130=S130:U130),IF((F130=Y130),1,0),999)</f>
        <v>999</v>
      </c>
      <c r="K130" s="5">
        <v>1</v>
      </c>
      <c r="L130" s="5">
        <v>1</v>
      </c>
      <c r="M130" s="5">
        <v>1</v>
      </c>
      <c r="N130" s="5" t="s">
        <v>1016</v>
      </c>
      <c r="O130" s="5" t="s">
        <v>305</v>
      </c>
      <c r="P130" s="5" t="s">
        <v>142</v>
      </c>
      <c r="Q130" s="5" t="s">
        <v>163</v>
      </c>
      <c r="S130" s="24">
        <v>4</v>
      </c>
      <c r="T130" s="24">
        <v>1</v>
      </c>
      <c r="U130" s="24">
        <v>0</v>
      </c>
      <c r="V130" s="24" t="str">
        <v>LEONARDEZ FLOBERT GUNAWAN</v>
      </c>
      <c r="W130" s="24" t="str">
        <v>535220097</v>
      </c>
      <c r="X130" s="24" t="str">
        <v>Stupen</v>
      </c>
      <c r="Y130" s="24" t="str">
        <v>Darius Andana Haris, S.Kom., MTI</v>
      </c>
      <c r="AE130">
        <v>5</v>
      </c>
      <c r="AF130">
        <v>2</v>
      </c>
      <c r="AG130">
        <v>4</v>
      </c>
      <c r="AH130" s="25">
        <f t="shared" si="10"/>
        <v>0</v>
      </c>
      <c r="AI130" s="32">
        <f t="shared" si="11"/>
        <v>0</v>
      </c>
    </row>
    <row r="131" spans="1:35" ht="15" x14ac:dyDescent="0.2">
      <c r="A131" s="8">
        <v>1</v>
      </c>
      <c r="B131" s="8">
        <v>2</v>
      </c>
      <c r="C131" s="8">
        <v>1</v>
      </c>
      <c r="D131" s="3">
        <v>535220121</v>
      </c>
      <c r="E131" s="3" t="s">
        <v>142</v>
      </c>
      <c r="F131" t="s">
        <v>165</v>
      </c>
      <c r="G131" s="25" cm="1">
        <f t="array" ref="G131">IF(AND(A131:C131=S131:U131),IF((F131=Y131),1,0),999)</f>
        <v>999</v>
      </c>
      <c r="K131" s="5">
        <v>1</v>
      </c>
      <c r="L131" s="5">
        <v>1</v>
      </c>
      <c r="M131" s="5">
        <v>1</v>
      </c>
      <c r="N131" s="5" t="s">
        <v>1017</v>
      </c>
      <c r="O131" s="5" t="s">
        <v>306</v>
      </c>
      <c r="P131" s="5" t="s">
        <v>142</v>
      </c>
      <c r="Q131" s="5" t="s">
        <v>163</v>
      </c>
      <c r="S131" s="24">
        <v>4</v>
      </c>
      <c r="T131" s="24">
        <v>1</v>
      </c>
      <c r="U131" s="24">
        <v>0</v>
      </c>
      <c r="V131" s="24" t="str">
        <v>STEPHEN YOHANES CHRISTOPHER</v>
      </c>
      <c r="W131" s="24" t="str">
        <v>535220105</v>
      </c>
      <c r="X131" s="24" t="str">
        <v>Stupen</v>
      </c>
      <c r="Y131" s="24" t="str">
        <v>Darius Andana Haris, S.Kom., MTI</v>
      </c>
      <c r="AE131">
        <v>5</v>
      </c>
      <c r="AF131">
        <v>2</v>
      </c>
      <c r="AG131">
        <v>5</v>
      </c>
      <c r="AH131" s="25">
        <f t="shared" si="10"/>
        <v>0</v>
      </c>
      <c r="AI131" s="32">
        <f t="shared" si="11"/>
        <v>0</v>
      </c>
    </row>
    <row r="132" spans="1:35" ht="15" x14ac:dyDescent="0.2">
      <c r="A132" s="8">
        <v>2</v>
      </c>
      <c r="B132" s="8">
        <v>2</v>
      </c>
      <c r="C132" s="8">
        <v>1</v>
      </c>
      <c r="D132" s="3">
        <v>535220021</v>
      </c>
      <c r="E132" s="3" t="s">
        <v>142</v>
      </c>
      <c r="F132" t="s">
        <v>163</v>
      </c>
      <c r="G132" s="25" cm="1">
        <f t="array" ref="G132">IF(AND(A132:C132=S132:U132),IF((F132=Y132),1,0),999)</f>
        <v>999</v>
      </c>
      <c r="K132" s="5">
        <v>1</v>
      </c>
      <c r="L132" s="5">
        <v>1</v>
      </c>
      <c r="M132" s="5">
        <v>2</v>
      </c>
      <c r="N132" s="5" t="s">
        <v>1018</v>
      </c>
      <c r="O132" s="5" t="s">
        <v>307</v>
      </c>
      <c r="P132" s="5" t="s">
        <v>142</v>
      </c>
      <c r="Q132" s="5" t="s">
        <v>156</v>
      </c>
      <c r="S132" s="24">
        <v>5</v>
      </c>
      <c r="T132" s="24">
        <v>1</v>
      </c>
      <c r="U132" s="24">
        <v>0</v>
      </c>
      <c r="V132" s="24" t="str">
        <v>JONATHAN KENNEDY TORSANDY</v>
      </c>
      <c r="W132" s="24" t="str">
        <v>535220127</v>
      </c>
      <c r="X132" s="24" t="str">
        <v>Stupen</v>
      </c>
      <c r="Y132" s="24" t="str">
        <v>Darius Andana Haris, S.Kom., MTI</v>
      </c>
      <c r="AE132">
        <v>5</v>
      </c>
      <c r="AF132">
        <v>2</v>
      </c>
      <c r="AG132">
        <v>6</v>
      </c>
      <c r="AH132" s="25">
        <f t="shared" si="10"/>
        <v>0</v>
      </c>
      <c r="AI132" s="32">
        <f t="shared" si="11"/>
        <v>0</v>
      </c>
    </row>
    <row r="133" spans="1:35" ht="15" x14ac:dyDescent="0.2">
      <c r="A133" s="8">
        <v>2</v>
      </c>
      <c r="B133" s="8">
        <v>2</v>
      </c>
      <c r="C133" s="8">
        <v>1</v>
      </c>
      <c r="D133" s="3">
        <v>535220050</v>
      </c>
      <c r="E133" s="3" t="s">
        <v>142</v>
      </c>
      <c r="F133" t="s">
        <v>163</v>
      </c>
      <c r="G133" s="25" cm="1">
        <f t="array" ref="G133">IF(AND(A133:C133=S133:U133),IF((F133=Y133),1,0),999)</f>
        <v>999</v>
      </c>
      <c r="K133" s="5">
        <v>1</v>
      </c>
      <c r="L133" s="5">
        <v>1</v>
      </c>
      <c r="M133" s="5">
        <v>2</v>
      </c>
      <c r="N133" s="5" t="s">
        <v>1019</v>
      </c>
      <c r="O133" s="5" t="s">
        <v>308</v>
      </c>
      <c r="P133" s="5" t="s">
        <v>142</v>
      </c>
      <c r="Q133" s="5" t="s">
        <v>156</v>
      </c>
      <c r="S133" s="24">
        <v>5</v>
      </c>
      <c r="T133" s="24">
        <v>1</v>
      </c>
      <c r="U133" s="24">
        <v>0</v>
      </c>
      <c r="V133" s="24" t="str">
        <v>MARYANTO</v>
      </c>
      <c r="W133" s="24" t="str">
        <v>535220130</v>
      </c>
      <c r="X133" s="24" t="str">
        <v>Stupen</v>
      </c>
      <c r="Y133" s="24" t="str">
        <v>Darius Andana Haris, S.Kom., MTI</v>
      </c>
    </row>
    <row r="134" spans="1:35" ht="15" x14ac:dyDescent="0.2">
      <c r="A134" s="8">
        <v>2</v>
      </c>
      <c r="B134" s="8">
        <v>2</v>
      </c>
      <c r="C134" s="8">
        <v>1</v>
      </c>
      <c r="D134" s="3">
        <v>535220076</v>
      </c>
      <c r="E134" s="3" t="s">
        <v>142</v>
      </c>
      <c r="F134" t="s">
        <v>163</v>
      </c>
      <c r="G134" s="25" cm="1">
        <f t="array" ref="G134">IF(AND(A134:C134=S134:U134),IF((F134=Y134),1,0),999)</f>
        <v>999</v>
      </c>
      <c r="K134" s="5">
        <v>1</v>
      </c>
      <c r="L134" s="5">
        <v>1</v>
      </c>
      <c r="M134" s="5">
        <v>2</v>
      </c>
      <c r="N134" s="5" t="s">
        <v>1020</v>
      </c>
      <c r="O134" s="5" t="s">
        <v>309</v>
      </c>
      <c r="P134" s="5" t="s">
        <v>142</v>
      </c>
      <c r="Q134" s="5" t="s">
        <v>156</v>
      </c>
      <c r="S134" s="24">
        <v>5</v>
      </c>
      <c r="T134" s="24">
        <v>1</v>
      </c>
      <c r="U134" s="24">
        <v>0</v>
      </c>
      <c r="V134" s="24" t="str">
        <v>CARISHA PUSPA GOZALI</v>
      </c>
      <c r="W134" s="24" t="str">
        <v>535220185</v>
      </c>
      <c r="X134" s="24" t="str">
        <v>Mengajar</v>
      </c>
      <c r="Y134" s="24" t="str">
        <v>Darius Andana Haris, S.Kom., MTI</v>
      </c>
      <c r="AE134">
        <v>6</v>
      </c>
      <c r="AF134">
        <v>0</v>
      </c>
      <c r="AG134">
        <v>0</v>
      </c>
      <c r="AH134" s="25">
        <f t="shared" ref="AH134:AH154" si="12">COUNTIFS(A:A,AG134,B:B,AE134,C:C,AF134)</f>
        <v>5</v>
      </c>
      <c r="AI134" s="32">
        <f t="shared" ref="AI134:AI154" si="13">COUNTIFS(S:S,AG134,T:T,AE134,U:U,AF134)</f>
        <v>5</v>
      </c>
    </row>
    <row r="135" spans="1:35" ht="15" x14ac:dyDescent="0.2">
      <c r="A135" s="8">
        <v>2</v>
      </c>
      <c r="B135" s="8">
        <v>2</v>
      </c>
      <c r="C135" s="8">
        <v>1</v>
      </c>
      <c r="D135" s="3">
        <v>535220172</v>
      </c>
      <c r="E135" s="3" t="s">
        <v>142</v>
      </c>
      <c r="F135" t="s">
        <v>163</v>
      </c>
      <c r="G135" s="25" cm="1">
        <f t="array" ref="G135">IF(AND(A135:C135=S135:U135),IF((F135=Y135),1,0),999)</f>
        <v>999</v>
      </c>
      <c r="K135" s="5">
        <v>1</v>
      </c>
      <c r="L135" s="5">
        <v>1</v>
      </c>
      <c r="M135" s="5">
        <v>2</v>
      </c>
      <c r="N135" s="5" t="s">
        <v>1021</v>
      </c>
      <c r="O135" s="5" t="s">
        <v>310</v>
      </c>
      <c r="P135" s="5" t="s">
        <v>147</v>
      </c>
      <c r="Q135" s="5" t="s">
        <v>156</v>
      </c>
      <c r="S135" s="24">
        <v>5</v>
      </c>
      <c r="T135" s="24">
        <v>1</v>
      </c>
      <c r="U135" s="24">
        <v>0</v>
      </c>
      <c r="V135" s="24" t="str">
        <v>RYAN SATRIA</v>
      </c>
      <c r="W135" s="24" t="str">
        <v>535220190</v>
      </c>
      <c r="X135" s="24" t="str">
        <v>Mengajar</v>
      </c>
      <c r="Y135" s="24" t="str">
        <v>Darius Andana Haris, S.Kom., MTI</v>
      </c>
      <c r="AE135">
        <v>6</v>
      </c>
      <c r="AF135">
        <v>0</v>
      </c>
      <c r="AG135">
        <v>1</v>
      </c>
      <c r="AH135" s="25">
        <f t="shared" si="12"/>
        <v>5</v>
      </c>
      <c r="AI135" s="32">
        <f t="shared" si="13"/>
        <v>5</v>
      </c>
    </row>
    <row r="136" spans="1:35" ht="15" x14ac:dyDescent="0.2">
      <c r="A136" s="8">
        <v>2</v>
      </c>
      <c r="B136" s="8">
        <v>2</v>
      </c>
      <c r="C136" s="8">
        <v>1</v>
      </c>
      <c r="D136" s="4">
        <v>535220173</v>
      </c>
      <c r="E136" s="3" t="s">
        <v>142</v>
      </c>
      <c r="F136" t="s">
        <v>163</v>
      </c>
      <c r="G136" s="25" cm="1">
        <f t="array" ref="G136">IF(AND(A136:C136=S136:U136),IF((F136=Y136),1,0),999)</f>
        <v>999</v>
      </c>
      <c r="K136" s="5">
        <v>1</v>
      </c>
      <c r="L136" s="5">
        <v>1</v>
      </c>
      <c r="M136" s="5">
        <v>2</v>
      </c>
      <c r="N136" s="5" t="s">
        <v>1022</v>
      </c>
      <c r="O136" s="5" t="s">
        <v>311</v>
      </c>
      <c r="P136" s="5" t="s">
        <v>147</v>
      </c>
      <c r="Q136" s="5" t="s">
        <v>156</v>
      </c>
      <c r="S136" s="24">
        <v>5</v>
      </c>
      <c r="T136" s="24">
        <v>1</v>
      </c>
      <c r="U136" s="24">
        <v>0</v>
      </c>
      <c r="V136" s="24" t="str">
        <v>ADANG IRAWAN</v>
      </c>
      <c r="W136" s="24" t="str">
        <v>535220192</v>
      </c>
      <c r="X136" s="24" t="str">
        <v>Mengajar</v>
      </c>
      <c r="Y136" s="24" t="str">
        <v>Darius Andana Haris, S.Kom., MTI</v>
      </c>
      <c r="AE136">
        <v>6</v>
      </c>
      <c r="AF136">
        <v>0</v>
      </c>
      <c r="AG136">
        <v>2</v>
      </c>
      <c r="AH136" s="25">
        <f t="shared" si="12"/>
        <v>5</v>
      </c>
      <c r="AI136" s="32">
        <f t="shared" si="13"/>
        <v>5</v>
      </c>
    </row>
    <row r="137" spans="1:35" ht="15" x14ac:dyDescent="0.2">
      <c r="A137" s="8">
        <v>3</v>
      </c>
      <c r="B137" s="8">
        <v>2</v>
      </c>
      <c r="C137" s="8">
        <v>1</v>
      </c>
      <c r="D137" s="3">
        <v>535220013</v>
      </c>
      <c r="E137" s="3" t="s">
        <v>142</v>
      </c>
      <c r="F137" t="s">
        <v>157</v>
      </c>
      <c r="G137" s="25" cm="1">
        <f t="array" ref="G137">IF(AND(A137:C137=S137:U137),IF((F137=Y137),1,0),999)</f>
        <v>999</v>
      </c>
      <c r="K137" s="5">
        <v>2</v>
      </c>
      <c r="L137" s="5">
        <v>1</v>
      </c>
      <c r="M137" s="5">
        <v>0</v>
      </c>
      <c r="N137" s="5" t="s">
        <v>1023</v>
      </c>
      <c r="O137" s="5" t="s">
        <v>312</v>
      </c>
      <c r="P137" s="5" t="s">
        <v>143</v>
      </c>
      <c r="Q137" s="5" t="s">
        <v>162</v>
      </c>
      <c r="S137" s="24">
        <v>6</v>
      </c>
      <c r="T137" s="24">
        <v>1</v>
      </c>
      <c r="U137" s="24">
        <v>0</v>
      </c>
      <c r="V137" s="24" t="str">
        <v>TIGA WIRA PRASIDYA</v>
      </c>
      <c r="W137" s="24" t="str">
        <v>535220227</v>
      </c>
      <c r="X137" s="24" t="str">
        <v>Mengajar</v>
      </c>
      <c r="Y137" s="24" t="str">
        <v>Darius Andana Haris, S.Kom., MTI</v>
      </c>
      <c r="AE137">
        <v>6</v>
      </c>
      <c r="AF137">
        <v>0</v>
      </c>
      <c r="AG137">
        <v>3</v>
      </c>
      <c r="AH137" s="25">
        <f t="shared" si="12"/>
        <v>5</v>
      </c>
      <c r="AI137" s="32">
        <f t="shared" si="13"/>
        <v>2</v>
      </c>
    </row>
    <row r="138" spans="1:35" ht="15" x14ac:dyDescent="0.2">
      <c r="A138" s="8">
        <v>3</v>
      </c>
      <c r="B138" s="8">
        <v>2</v>
      </c>
      <c r="C138" s="8">
        <v>1</v>
      </c>
      <c r="D138" s="3">
        <v>535220033</v>
      </c>
      <c r="E138" s="3" t="s">
        <v>142</v>
      </c>
      <c r="F138" t="s">
        <v>157</v>
      </c>
      <c r="G138" s="25" cm="1">
        <f t="array" ref="G138">IF(AND(A138:C138=S138:U138),IF((F138=Y138),1,0),999)</f>
        <v>999</v>
      </c>
      <c r="K138" s="5">
        <v>2</v>
      </c>
      <c r="L138" s="5">
        <v>1</v>
      </c>
      <c r="M138" s="5">
        <v>0</v>
      </c>
      <c r="N138" s="5" t="s">
        <v>1024</v>
      </c>
      <c r="O138" s="5" t="s">
        <v>313</v>
      </c>
      <c r="P138" s="5" t="s">
        <v>143</v>
      </c>
      <c r="Q138" s="5" t="s">
        <v>162</v>
      </c>
      <c r="S138" s="24">
        <v>6</v>
      </c>
      <c r="T138" s="24">
        <v>1</v>
      </c>
      <c r="U138" s="24">
        <v>0</v>
      </c>
      <c r="V138" s="24" t="str">
        <v>STEVEN LUCIO AUSTEN</v>
      </c>
      <c r="W138" s="24" t="str">
        <v>825220001</v>
      </c>
      <c r="X138" s="24" t="str">
        <v>Mengajar</v>
      </c>
      <c r="Y138" s="24" t="str">
        <v>Darius Andana Haris, S.Kom., MTI</v>
      </c>
      <c r="AE138">
        <v>6</v>
      </c>
      <c r="AF138">
        <v>0</v>
      </c>
      <c r="AG138">
        <v>4</v>
      </c>
      <c r="AH138" s="25">
        <f t="shared" si="12"/>
        <v>0</v>
      </c>
      <c r="AI138" s="32">
        <f t="shared" si="13"/>
        <v>0</v>
      </c>
    </row>
    <row r="139" spans="1:35" ht="15" x14ac:dyDescent="0.2">
      <c r="A139" s="8">
        <v>3</v>
      </c>
      <c r="B139" s="8">
        <v>2</v>
      </c>
      <c r="C139" s="8">
        <v>1</v>
      </c>
      <c r="D139" s="3">
        <v>535220044</v>
      </c>
      <c r="E139" s="3" t="s">
        <v>142</v>
      </c>
      <c r="F139" t="s">
        <v>157</v>
      </c>
      <c r="G139" s="25" cm="1">
        <f t="array" ref="G139">IF(AND(A139:C139=S139:U139),IF((F139=Y139),1,0),999)</f>
        <v>999</v>
      </c>
      <c r="K139" s="5">
        <v>2</v>
      </c>
      <c r="L139" s="5">
        <v>1</v>
      </c>
      <c r="M139" s="5">
        <v>0</v>
      </c>
      <c r="N139" s="5" t="s">
        <v>1025</v>
      </c>
      <c r="O139" s="5" t="s">
        <v>314</v>
      </c>
      <c r="P139" s="5" t="s">
        <v>143</v>
      </c>
      <c r="Q139" s="5" t="s">
        <v>162</v>
      </c>
      <c r="S139" s="24">
        <v>6</v>
      </c>
      <c r="T139" s="24">
        <v>1</v>
      </c>
      <c r="U139" s="24">
        <v>0</v>
      </c>
      <c r="V139" s="24" t="str">
        <v>KENAZ REISHA</v>
      </c>
      <c r="W139" s="24" t="str">
        <v>825220029</v>
      </c>
      <c r="X139" s="24" t="str">
        <v>Mengajar</v>
      </c>
      <c r="Y139" s="24" t="str">
        <v>Darius Andana Haris, S.Kom., MTI</v>
      </c>
      <c r="AE139">
        <v>6</v>
      </c>
      <c r="AF139">
        <v>0</v>
      </c>
      <c r="AG139">
        <v>5</v>
      </c>
      <c r="AH139" s="25">
        <f t="shared" si="12"/>
        <v>0</v>
      </c>
      <c r="AI139" s="32">
        <f t="shared" si="13"/>
        <v>0</v>
      </c>
    </row>
    <row r="140" spans="1:35" ht="15" x14ac:dyDescent="0.2">
      <c r="A140" s="8">
        <v>3</v>
      </c>
      <c r="B140" s="8">
        <v>2</v>
      </c>
      <c r="C140" s="8">
        <v>1</v>
      </c>
      <c r="D140" s="3">
        <v>535220075</v>
      </c>
      <c r="E140" s="3" t="s">
        <v>142</v>
      </c>
      <c r="F140" t="s">
        <v>157</v>
      </c>
      <c r="G140" s="25" cm="1">
        <f t="array" ref="G140">IF(AND(A140:C140=S140:U140),IF((F140=Y140),1,0),999)</f>
        <v>999</v>
      </c>
      <c r="K140" s="5">
        <v>2</v>
      </c>
      <c r="L140" s="5">
        <v>1</v>
      </c>
      <c r="M140" s="5">
        <v>0</v>
      </c>
      <c r="N140" s="5" t="s">
        <v>1026</v>
      </c>
      <c r="O140" s="5" t="s">
        <v>315</v>
      </c>
      <c r="P140" s="5" t="s">
        <v>143</v>
      </c>
      <c r="Q140" s="5" t="s">
        <v>162</v>
      </c>
      <c r="S140" s="24">
        <v>6</v>
      </c>
      <c r="T140" s="24">
        <v>1</v>
      </c>
      <c r="U140" s="24">
        <v>0</v>
      </c>
      <c r="V140" s="24" t="str">
        <v>VINCENTIUS</v>
      </c>
      <c r="W140" s="24" t="str">
        <v>825220030</v>
      </c>
      <c r="X140" s="24" t="str">
        <v>Mengajar</v>
      </c>
      <c r="Y140" s="24" t="str">
        <v>Darius Andana Haris, S.Kom., MTI</v>
      </c>
      <c r="AE140">
        <v>6</v>
      </c>
      <c r="AF140">
        <v>0</v>
      </c>
      <c r="AG140">
        <v>6</v>
      </c>
      <c r="AH140" s="25">
        <f t="shared" si="12"/>
        <v>0</v>
      </c>
      <c r="AI140" s="32">
        <f t="shared" si="13"/>
        <v>0</v>
      </c>
    </row>
    <row r="141" spans="1:35" ht="15" x14ac:dyDescent="0.2">
      <c r="A141" s="8">
        <v>3</v>
      </c>
      <c r="B141" s="8">
        <v>2</v>
      </c>
      <c r="C141" s="8">
        <v>1</v>
      </c>
      <c r="D141" s="3">
        <v>535220090</v>
      </c>
      <c r="E141" s="3" t="s">
        <v>142</v>
      </c>
      <c r="F141" t="s">
        <v>157</v>
      </c>
      <c r="G141" s="25" cm="1">
        <f t="array" ref="G141">IF(AND(A141:C141=S141:U141),IF((F141=Y141),1,0),999)</f>
        <v>999</v>
      </c>
      <c r="K141" s="5">
        <v>2</v>
      </c>
      <c r="L141" s="5">
        <v>1</v>
      </c>
      <c r="M141" s="5">
        <v>0</v>
      </c>
      <c r="N141" s="5" t="s">
        <v>1027</v>
      </c>
      <c r="O141" s="5" t="s">
        <v>316</v>
      </c>
      <c r="P141" s="5" t="s">
        <v>143</v>
      </c>
      <c r="Q141" s="5" t="s">
        <v>162</v>
      </c>
      <c r="S141" s="24">
        <v>6</v>
      </c>
      <c r="T141" s="24">
        <v>1</v>
      </c>
      <c r="U141" s="24">
        <v>0</v>
      </c>
      <c r="V141" s="24" t="str">
        <v xml:space="preserve">CECILLIA CHUNG </v>
      </c>
      <c r="W141" s="24" t="str">
        <v>825220069</v>
      </c>
      <c r="X141" s="24" t="str">
        <v>Mengajar</v>
      </c>
      <c r="Y141" s="24" t="str">
        <v>Darius Andana Haris, S.Kom., MTI</v>
      </c>
      <c r="AE141">
        <v>6</v>
      </c>
      <c r="AF141">
        <v>1</v>
      </c>
      <c r="AG141">
        <v>0</v>
      </c>
      <c r="AH141" s="25">
        <f t="shared" si="12"/>
        <v>5</v>
      </c>
      <c r="AI141" s="32">
        <f t="shared" si="13"/>
        <v>5</v>
      </c>
    </row>
    <row r="142" spans="1:35" ht="15" x14ac:dyDescent="0.2">
      <c r="A142" s="8">
        <v>0</v>
      </c>
      <c r="B142" s="8">
        <v>2</v>
      </c>
      <c r="C142" s="8">
        <v>2</v>
      </c>
      <c r="D142" s="3">
        <v>825220125</v>
      </c>
      <c r="E142" s="3" t="s">
        <v>142</v>
      </c>
      <c r="F142" t="s">
        <v>155</v>
      </c>
      <c r="G142" s="25" cm="1">
        <f t="array" ref="G142">IF(AND(A142:C142=S142:U142),IF((F142=Y142),1,0),999)</f>
        <v>999</v>
      </c>
      <c r="K142" s="5">
        <v>2</v>
      </c>
      <c r="L142" s="5">
        <v>1</v>
      </c>
      <c r="M142" s="5">
        <v>1</v>
      </c>
      <c r="N142" s="5" t="s">
        <v>1028</v>
      </c>
      <c r="O142" s="5" t="s">
        <v>317</v>
      </c>
      <c r="P142" s="5" t="s">
        <v>147</v>
      </c>
      <c r="Q142" s="5" t="s">
        <v>156</v>
      </c>
      <c r="S142" s="24">
        <v>0</v>
      </c>
      <c r="T142" s="24">
        <v>1</v>
      </c>
      <c r="U142" s="24">
        <v>1</v>
      </c>
      <c r="V142" s="24" t="str">
        <v>NELSON</v>
      </c>
      <c r="W142" s="24" t="str">
        <v>535220021</v>
      </c>
      <c r="X142" s="24" t="str">
        <v>Magang</v>
      </c>
      <c r="Y142" s="24" t="str">
        <v>Ir. Jeanny Pragantha, M.Eng.</v>
      </c>
      <c r="AE142">
        <v>6</v>
      </c>
      <c r="AF142">
        <v>1</v>
      </c>
      <c r="AG142">
        <v>1</v>
      </c>
      <c r="AH142" s="25">
        <f t="shared" si="12"/>
        <v>5</v>
      </c>
      <c r="AI142" s="32">
        <f t="shared" si="13"/>
        <v>5</v>
      </c>
    </row>
    <row r="143" spans="1:35" ht="15" x14ac:dyDescent="0.2">
      <c r="A143" s="8">
        <v>0</v>
      </c>
      <c r="B143" s="8">
        <v>2</v>
      </c>
      <c r="C143" s="8">
        <v>2</v>
      </c>
      <c r="D143" s="3">
        <v>825220135</v>
      </c>
      <c r="E143" s="3" t="s">
        <v>142</v>
      </c>
      <c r="F143" t="s">
        <v>155</v>
      </c>
      <c r="G143" s="25" cm="1">
        <f t="array" ref="G143">IF(AND(A143:C143=S143:U143),IF((F143=Y143),1,0),999)</f>
        <v>999</v>
      </c>
      <c r="K143" s="5">
        <v>2</v>
      </c>
      <c r="L143" s="5">
        <v>1</v>
      </c>
      <c r="M143" s="5">
        <v>1</v>
      </c>
      <c r="N143" s="5" t="s">
        <v>1029</v>
      </c>
      <c r="O143" s="5" t="s">
        <v>318</v>
      </c>
      <c r="P143" s="5" t="s">
        <v>147</v>
      </c>
      <c r="Q143" s="5" t="s">
        <v>156</v>
      </c>
      <c r="S143" s="24">
        <v>0</v>
      </c>
      <c r="T143" s="24">
        <v>1</v>
      </c>
      <c r="U143" s="24">
        <v>1</v>
      </c>
      <c r="V143" s="24" t="str">
        <v>OLIVIA CLARABELLA KHOTIERA</v>
      </c>
      <c r="W143" s="24" t="str">
        <v>535220050</v>
      </c>
      <c r="X143" s="24" t="str">
        <v>Magang</v>
      </c>
      <c r="Y143" s="24" t="str">
        <v>Ir. Jeanny Pragantha, M.Eng.</v>
      </c>
      <c r="AE143">
        <v>6</v>
      </c>
      <c r="AF143">
        <v>1</v>
      </c>
      <c r="AG143">
        <v>2</v>
      </c>
      <c r="AH143" s="25">
        <f t="shared" si="12"/>
        <v>5</v>
      </c>
      <c r="AI143" s="32">
        <f t="shared" si="13"/>
        <v>5</v>
      </c>
    </row>
    <row r="144" spans="1:35" ht="15" x14ac:dyDescent="0.2">
      <c r="A144" s="8">
        <v>0</v>
      </c>
      <c r="B144" s="8">
        <v>2</v>
      </c>
      <c r="C144" s="8">
        <v>2</v>
      </c>
      <c r="D144" s="3">
        <v>825220136</v>
      </c>
      <c r="E144" s="3" t="s">
        <v>142</v>
      </c>
      <c r="F144" t="s">
        <v>155</v>
      </c>
      <c r="G144" s="25" cm="1">
        <f t="array" ref="G144">IF(AND(A144:C144=S144:U144),IF((F144=Y144),1,0),999)</f>
        <v>999</v>
      </c>
      <c r="K144" s="5">
        <v>2</v>
      </c>
      <c r="L144" s="5">
        <v>1</v>
      </c>
      <c r="M144" s="5">
        <v>1</v>
      </c>
      <c r="N144" s="5" t="s">
        <v>1030</v>
      </c>
      <c r="O144" s="5" t="s">
        <v>319</v>
      </c>
      <c r="P144" s="5" t="s">
        <v>142</v>
      </c>
      <c r="Q144" s="5" t="s">
        <v>164</v>
      </c>
      <c r="S144" s="24">
        <v>0</v>
      </c>
      <c r="T144" s="24">
        <v>1</v>
      </c>
      <c r="U144" s="24">
        <v>1</v>
      </c>
      <c r="V144" s="24" t="str">
        <v>ELSIE</v>
      </c>
      <c r="W144" s="24" t="str">
        <v>535220076</v>
      </c>
      <c r="X144" s="24" t="str">
        <v>Magang</v>
      </c>
      <c r="Y144" s="24" t="str">
        <v>Ir. Jeanny Pragantha, M.Eng.</v>
      </c>
      <c r="AE144">
        <v>6</v>
      </c>
      <c r="AF144">
        <v>1</v>
      </c>
      <c r="AG144">
        <v>3</v>
      </c>
      <c r="AH144" s="25">
        <f t="shared" si="12"/>
        <v>5</v>
      </c>
      <c r="AI144" s="32">
        <f t="shared" si="13"/>
        <v>0</v>
      </c>
    </row>
    <row r="145" spans="1:35" ht="15" x14ac:dyDescent="0.2">
      <c r="A145" s="8">
        <v>0</v>
      </c>
      <c r="B145" s="8">
        <v>2</v>
      </c>
      <c r="C145" s="8">
        <v>2</v>
      </c>
      <c r="D145" s="3">
        <v>825220003</v>
      </c>
      <c r="E145" s="3" t="s">
        <v>142</v>
      </c>
      <c r="F145" t="s">
        <v>161</v>
      </c>
      <c r="G145" s="25" cm="1">
        <f t="array" ref="G145">IF(AND(A145:C145=S145:U145),IF((F145=Y145),1,0),999)</f>
        <v>999</v>
      </c>
      <c r="K145" s="5">
        <v>2</v>
      </c>
      <c r="L145" s="5">
        <v>1</v>
      </c>
      <c r="M145" s="5">
        <v>1</v>
      </c>
      <c r="N145" s="5" t="s">
        <v>1031</v>
      </c>
      <c r="O145" s="5" t="s">
        <v>320</v>
      </c>
      <c r="P145" s="5" t="s">
        <v>142</v>
      </c>
      <c r="Q145" s="5" t="s">
        <v>164</v>
      </c>
      <c r="S145" s="24">
        <v>0</v>
      </c>
      <c r="T145" s="24">
        <v>1</v>
      </c>
      <c r="U145" s="24">
        <v>1</v>
      </c>
      <c r="V145" s="24" t="str">
        <v>ASRUL ALIF FATIHAH</v>
      </c>
      <c r="W145" s="24" t="str">
        <v>535220172</v>
      </c>
      <c r="X145" s="24" t="str">
        <v>Magang</v>
      </c>
      <c r="Y145" s="24" t="str">
        <v>Ir. Jeanny Pragantha, M.Eng.</v>
      </c>
      <c r="AE145">
        <v>6</v>
      </c>
      <c r="AF145">
        <v>1</v>
      </c>
      <c r="AG145">
        <v>4</v>
      </c>
      <c r="AH145" s="25">
        <f t="shared" si="12"/>
        <v>0</v>
      </c>
      <c r="AI145" s="32">
        <f t="shared" si="13"/>
        <v>0</v>
      </c>
    </row>
    <row r="146" spans="1:35" ht="15" x14ac:dyDescent="0.2">
      <c r="A146" s="8">
        <v>0</v>
      </c>
      <c r="B146" s="8">
        <v>2</v>
      </c>
      <c r="C146" s="8">
        <v>2</v>
      </c>
      <c r="D146" s="3">
        <v>825220014</v>
      </c>
      <c r="E146" s="3" t="s">
        <v>142</v>
      </c>
      <c r="F146" t="s">
        <v>161</v>
      </c>
      <c r="G146" s="25" cm="1">
        <f t="array" ref="G146">IF(AND(A146:C146=S146:U146),IF((F146=Y146),1,0),999)</f>
        <v>999</v>
      </c>
      <c r="K146" s="5">
        <v>2</v>
      </c>
      <c r="L146" s="5">
        <v>1</v>
      </c>
      <c r="M146" s="5">
        <v>1</v>
      </c>
      <c r="N146" s="5" t="s">
        <v>1032</v>
      </c>
      <c r="O146" s="5" t="s">
        <v>321</v>
      </c>
      <c r="P146" s="5" t="s">
        <v>142</v>
      </c>
      <c r="Q146" s="5" t="s">
        <v>164</v>
      </c>
      <c r="S146" s="24">
        <v>0</v>
      </c>
      <c r="T146" s="24">
        <v>1</v>
      </c>
      <c r="U146" s="24">
        <v>1</v>
      </c>
      <c r="V146" s="24" t="str">
        <v xml:space="preserve">GEORGE WEILIS JUNIOR </v>
      </c>
      <c r="W146" s="24" t="str">
        <v>535220173</v>
      </c>
      <c r="X146" s="24" t="str">
        <v>Magang</v>
      </c>
      <c r="Y146" s="24" t="str">
        <v>Ir. Jeanny Pragantha, M.Eng.</v>
      </c>
      <c r="AE146">
        <v>6</v>
      </c>
      <c r="AF146">
        <v>1</v>
      </c>
      <c r="AG146">
        <v>5</v>
      </c>
      <c r="AH146" s="25">
        <f t="shared" si="12"/>
        <v>0</v>
      </c>
      <c r="AI146" s="32">
        <f t="shared" si="13"/>
        <v>0</v>
      </c>
    </row>
    <row r="147" spans="1:35" ht="15" x14ac:dyDescent="0.2">
      <c r="A147" s="8">
        <v>1</v>
      </c>
      <c r="B147" s="8">
        <v>2</v>
      </c>
      <c r="C147" s="8">
        <v>2</v>
      </c>
      <c r="D147" s="3">
        <v>825220019</v>
      </c>
      <c r="E147" s="3" t="s">
        <v>142</v>
      </c>
      <c r="F147" t="s">
        <v>161</v>
      </c>
      <c r="G147" s="25" cm="1">
        <f t="array" ref="G147">IF(AND(A147:C147=S147:U147),IF((F147=Y147),1,0),999)</f>
        <v>999</v>
      </c>
      <c r="K147" s="5">
        <v>2</v>
      </c>
      <c r="L147" s="5">
        <v>1</v>
      </c>
      <c r="M147" s="5">
        <v>2</v>
      </c>
      <c r="N147" s="5" t="s">
        <v>1033</v>
      </c>
      <c r="O147" s="5" t="s">
        <v>322</v>
      </c>
      <c r="P147" s="5" t="s">
        <v>142</v>
      </c>
      <c r="Q147" s="5" t="s">
        <v>157</v>
      </c>
      <c r="S147" s="24">
        <v>1</v>
      </c>
      <c r="T147" s="24">
        <v>1</v>
      </c>
      <c r="U147" s="24">
        <v>1</v>
      </c>
      <c r="V147" s="24" t="str">
        <v>MUHAMMAD SYAUQI RASYID</v>
      </c>
      <c r="W147" s="24" t="str">
        <v>535220221</v>
      </c>
      <c r="X147" s="24" t="str">
        <v>Magang</v>
      </c>
      <c r="Y147" s="24" t="str">
        <v>Ir. Jeanny Pragantha, M.Eng.</v>
      </c>
      <c r="AE147">
        <v>6</v>
      </c>
      <c r="AF147">
        <v>1</v>
      </c>
      <c r="AG147">
        <v>6</v>
      </c>
      <c r="AH147" s="25">
        <f t="shared" si="12"/>
        <v>0</v>
      </c>
      <c r="AI147" s="32">
        <f t="shared" si="13"/>
        <v>0</v>
      </c>
    </row>
    <row r="148" spans="1:35" ht="15" x14ac:dyDescent="0.2">
      <c r="A148" s="8">
        <v>1</v>
      </c>
      <c r="B148" s="8">
        <v>2</v>
      </c>
      <c r="C148" s="8">
        <v>2</v>
      </c>
      <c r="D148" s="3">
        <v>825220036</v>
      </c>
      <c r="E148" s="3" t="s">
        <v>142</v>
      </c>
      <c r="F148" t="s">
        <v>161</v>
      </c>
      <c r="G148" s="25" cm="1">
        <f t="array" ref="G148">IF(AND(A148:C148=S148:U148),IF((F148=Y148),1,0),999)</f>
        <v>999</v>
      </c>
      <c r="K148" s="5">
        <v>2</v>
      </c>
      <c r="L148" s="5">
        <v>1</v>
      </c>
      <c r="M148" s="5">
        <v>2</v>
      </c>
      <c r="N148" s="5" t="s">
        <v>1034</v>
      </c>
      <c r="O148" s="5" t="s">
        <v>323</v>
      </c>
      <c r="P148" s="5" t="s">
        <v>142</v>
      </c>
      <c r="Q148" s="5" t="s">
        <v>157</v>
      </c>
      <c r="S148" s="24">
        <v>1</v>
      </c>
      <c r="T148" s="24">
        <v>1</v>
      </c>
      <c r="U148" s="24">
        <v>1</v>
      </c>
      <c r="V148" s="24" t="str">
        <v>RAFFI CAHYA TRIAPUTRA YASIN</v>
      </c>
      <c r="W148" s="24" t="str">
        <v>535220224</v>
      </c>
      <c r="X148" s="24" t="str">
        <v>Magang</v>
      </c>
      <c r="Y148" s="24" t="str">
        <v>Ir. Jeanny Pragantha, M.Eng.</v>
      </c>
      <c r="AE148">
        <v>6</v>
      </c>
      <c r="AF148">
        <v>2</v>
      </c>
      <c r="AG148">
        <v>0</v>
      </c>
      <c r="AH148" s="25">
        <f t="shared" si="12"/>
        <v>5</v>
      </c>
      <c r="AI148" s="32">
        <f t="shared" si="13"/>
        <v>5</v>
      </c>
    </row>
    <row r="149" spans="1:35" ht="15" x14ac:dyDescent="0.2">
      <c r="A149" s="8">
        <v>1</v>
      </c>
      <c r="B149" s="8">
        <v>2</v>
      </c>
      <c r="C149" s="8">
        <v>2</v>
      </c>
      <c r="D149" s="3">
        <v>825220062</v>
      </c>
      <c r="E149" s="3" t="s">
        <v>142</v>
      </c>
      <c r="F149" t="s">
        <v>161</v>
      </c>
      <c r="G149" s="25" cm="1">
        <f t="array" ref="G149">IF(AND(A149:C149=S149:U149),IF((F149=Y149),1,0),999)</f>
        <v>999</v>
      </c>
      <c r="K149" s="5">
        <v>2</v>
      </c>
      <c r="L149" s="5">
        <v>1</v>
      </c>
      <c r="M149" s="5">
        <v>2</v>
      </c>
      <c r="N149" s="5" t="s">
        <v>1035</v>
      </c>
      <c r="O149" s="5" t="s">
        <v>324</v>
      </c>
      <c r="P149" s="5" t="s">
        <v>142</v>
      </c>
      <c r="Q149" s="5" t="s">
        <v>157</v>
      </c>
      <c r="S149" s="24">
        <v>1</v>
      </c>
      <c r="T149" s="24">
        <v>1</v>
      </c>
      <c r="U149" s="24">
        <v>1</v>
      </c>
      <c r="V149" s="24" t="str">
        <v>JONATHAN SETIAWAN</v>
      </c>
      <c r="W149" s="24" t="str">
        <v>535220234</v>
      </c>
      <c r="X149" s="24" t="str">
        <v>Magang</v>
      </c>
      <c r="Y149" s="24" t="str">
        <v>Ir. Jeanny Pragantha, M.Eng.</v>
      </c>
      <c r="AE149">
        <v>6</v>
      </c>
      <c r="AF149">
        <v>2</v>
      </c>
      <c r="AG149">
        <v>1</v>
      </c>
      <c r="AH149" s="25">
        <f t="shared" si="12"/>
        <v>5</v>
      </c>
      <c r="AI149" s="32">
        <f t="shared" si="13"/>
        <v>5</v>
      </c>
    </row>
    <row r="150" spans="1:35" ht="15" x14ac:dyDescent="0.2">
      <c r="A150" s="8">
        <v>1</v>
      </c>
      <c r="B150" s="8">
        <v>2</v>
      </c>
      <c r="C150" s="8">
        <v>2</v>
      </c>
      <c r="D150" s="3">
        <v>825220120</v>
      </c>
      <c r="E150" s="3" t="s">
        <v>142</v>
      </c>
      <c r="F150" t="s">
        <v>161</v>
      </c>
      <c r="G150" s="25" cm="1">
        <f t="array" ref="G150">IF(AND(A150:C150=S150:U150),IF((F150=Y150),1,0),999)</f>
        <v>999</v>
      </c>
      <c r="K150" s="5">
        <v>2</v>
      </c>
      <c r="L150" s="5">
        <v>1</v>
      </c>
      <c r="M150" s="5">
        <v>2</v>
      </c>
      <c r="N150" s="5" t="s">
        <v>1036</v>
      </c>
      <c r="O150" s="5" t="s">
        <v>325</v>
      </c>
      <c r="P150" s="5" t="s">
        <v>142</v>
      </c>
      <c r="Q150" s="5" t="s">
        <v>157</v>
      </c>
      <c r="S150" s="24">
        <v>1</v>
      </c>
      <c r="T150" s="24">
        <v>1</v>
      </c>
      <c r="U150" s="24">
        <v>1</v>
      </c>
      <c r="V150" s="24" t="str">
        <v>CHRISTOPHER TITAN</v>
      </c>
      <c r="W150" s="24" t="str">
        <v>535220242</v>
      </c>
      <c r="X150" s="24" t="str">
        <v>Magang</v>
      </c>
      <c r="Y150" s="24" t="str">
        <v>Ir. Jeanny Pragantha, M.Eng.</v>
      </c>
      <c r="AE150">
        <v>6</v>
      </c>
      <c r="AF150">
        <v>2</v>
      </c>
      <c r="AG150">
        <v>2</v>
      </c>
      <c r="AH150" s="25">
        <f t="shared" si="12"/>
        <v>5</v>
      </c>
      <c r="AI150" s="32">
        <f t="shared" si="13"/>
        <v>5</v>
      </c>
    </row>
    <row r="151" spans="1:35" ht="15" x14ac:dyDescent="0.2">
      <c r="A151" s="8">
        <v>1</v>
      </c>
      <c r="B151" s="8">
        <v>2</v>
      </c>
      <c r="C151" s="8">
        <v>2</v>
      </c>
      <c r="D151" s="3">
        <v>825220134</v>
      </c>
      <c r="E151" s="3" t="s">
        <v>142</v>
      </c>
      <c r="F151" t="s">
        <v>161</v>
      </c>
      <c r="G151" s="25" cm="1">
        <f t="array" ref="G151">IF(AND(A151:C151=S151:U151),IF((F151=Y151),1,0),999)</f>
        <v>999</v>
      </c>
      <c r="K151" s="5">
        <v>2</v>
      </c>
      <c r="L151" s="5">
        <v>1</v>
      </c>
      <c r="M151" s="5">
        <v>2</v>
      </c>
      <c r="N151" s="5" t="s">
        <v>1037</v>
      </c>
      <c r="O151" s="5" t="s">
        <v>326</v>
      </c>
      <c r="P151" s="5" t="s">
        <v>142</v>
      </c>
      <c r="Q151" s="5" t="s">
        <v>157</v>
      </c>
      <c r="S151" s="24">
        <v>1</v>
      </c>
      <c r="T151" s="24">
        <v>1</v>
      </c>
      <c r="U151" s="24">
        <v>1</v>
      </c>
      <c r="V151" s="24" t="str">
        <v>BENAYA JUANDA</v>
      </c>
      <c r="W151" s="24" t="str">
        <v>535220266</v>
      </c>
      <c r="X151" s="24" t="str">
        <v>Magang</v>
      </c>
      <c r="Y151" s="24" t="str">
        <v>Ir. Jeanny Pragantha, M.Eng.</v>
      </c>
      <c r="AE151">
        <v>6</v>
      </c>
      <c r="AF151">
        <v>2</v>
      </c>
      <c r="AG151">
        <v>3</v>
      </c>
      <c r="AH151" s="25">
        <f t="shared" si="12"/>
        <v>0</v>
      </c>
      <c r="AI151" s="32">
        <f t="shared" si="13"/>
        <v>0</v>
      </c>
    </row>
    <row r="152" spans="1:35" ht="15" x14ac:dyDescent="0.2">
      <c r="A152" s="8">
        <v>2</v>
      </c>
      <c r="B152" s="8">
        <v>2</v>
      </c>
      <c r="C152" s="8">
        <v>2</v>
      </c>
      <c r="D152" s="3">
        <v>825220155</v>
      </c>
      <c r="E152" s="3" t="s">
        <v>142</v>
      </c>
      <c r="F152" t="s">
        <v>161</v>
      </c>
      <c r="G152" s="25" cm="1">
        <f t="array" ref="G152">IF(AND(A152:C152=S152:U152),IF((F152=Y152),1,0),999)</f>
        <v>999</v>
      </c>
      <c r="K152" s="5">
        <v>3</v>
      </c>
      <c r="L152" s="5">
        <v>1</v>
      </c>
      <c r="M152" s="5">
        <v>0</v>
      </c>
      <c r="N152" s="5" t="s">
        <v>1038</v>
      </c>
      <c r="O152" s="5" t="s">
        <v>327</v>
      </c>
      <c r="P152" s="5" t="s">
        <v>143</v>
      </c>
      <c r="Q152" s="5" t="s">
        <v>162</v>
      </c>
      <c r="S152" s="24">
        <v>2</v>
      </c>
      <c r="T152" s="24">
        <v>1</v>
      </c>
      <c r="U152" s="24">
        <v>1</v>
      </c>
      <c r="V152" s="24" t="str">
        <v>MUHAMMAD HAFIZH MULYANSYAH</v>
      </c>
      <c r="W152" s="24" t="str">
        <v>535220229</v>
      </c>
      <c r="X152" s="24" t="str">
        <v>Wirausaha</v>
      </c>
      <c r="Y152" s="24" t="str">
        <v>Manatap Dolok Lauro, S.Kom., MMSI</v>
      </c>
      <c r="AE152">
        <v>6</v>
      </c>
      <c r="AF152">
        <v>2</v>
      </c>
      <c r="AG152">
        <v>4</v>
      </c>
      <c r="AH152" s="25">
        <f t="shared" si="12"/>
        <v>0</v>
      </c>
      <c r="AI152" s="32">
        <f t="shared" si="13"/>
        <v>0</v>
      </c>
    </row>
    <row r="153" spans="1:35" ht="15" x14ac:dyDescent="0.2">
      <c r="A153" s="8">
        <v>2</v>
      </c>
      <c r="B153" s="8">
        <v>2</v>
      </c>
      <c r="C153" s="8">
        <v>2</v>
      </c>
      <c r="D153" s="3">
        <v>825220182</v>
      </c>
      <c r="E153" s="3" t="s">
        <v>142</v>
      </c>
      <c r="F153" t="s">
        <v>161</v>
      </c>
      <c r="G153" s="25" cm="1">
        <f t="array" ref="G153">IF(AND(A153:C153=S153:U153),IF((F153=Y153),1,0),999)</f>
        <v>999</v>
      </c>
      <c r="K153" s="5">
        <v>3</v>
      </c>
      <c r="L153" s="5">
        <v>1</v>
      </c>
      <c r="M153" s="5">
        <v>0</v>
      </c>
      <c r="N153" s="5" t="s">
        <v>1039</v>
      </c>
      <c r="O153" s="5" t="s">
        <v>328</v>
      </c>
      <c r="P153" s="5" t="s">
        <v>142</v>
      </c>
      <c r="Q153" s="5" t="s">
        <v>164</v>
      </c>
      <c r="S153" s="24">
        <v>2</v>
      </c>
      <c r="T153" s="24">
        <v>1</v>
      </c>
      <c r="U153" s="24">
        <v>1</v>
      </c>
      <c r="V153" s="24" t="str">
        <v>DIO FATURAMDANI</v>
      </c>
      <c r="W153" s="24" t="str">
        <v>825220022</v>
      </c>
      <c r="X153" s="24" t="str">
        <v>Wirausaha</v>
      </c>
      <c r="Y153" s="24" t="str">
        <v>Manatap Dolok Lauro, S.Kom., MMSI</v>
      </c>
      <c r="AE153">
        <v>6</v>
      </c>
      <c r="AF153">
        <v>2</v>
      </c>
      <c r="AG153">
        <v>5</v>
      </c>
      <c r="AH153" s="25">
        <f t="shared" si="12"/>
        <v>0</v>
      </c>
      <c r="AI153" s="32">
        <f t="shared" si="13"/>
        <v>0</v>
      </c>
    </row>
    <row r="154" spans="1:35" ht="15" x14ac:dyDescent="0.2">
      <c r="A154" s="8">
        <v>2</v>
      </c>
      <c r="B154" s="8">
        <v>2</v>
      </c>
      <c r="C154" s="8">
        <v>2</v>
      </c>
      <c r="D154" s="3">
        <v>825249102</v>
      </c>
      <c r="E154" s="3" t="s">
        <v>142</v>
      </c>
      <c r="F154" t="s">
        <v>161</v>
      </c>
      <c r="G154" s="25" cm="1">
        <f t="array" ref="G154">IF(AND(A154:C154=S154:U154),IF((F154=Y154),1,0),999)</f>
        <v>999</v>
      </c>
      <c r="K154" s="5">
        <v>3</v>
      </c>
      <c r="L154" s="5">
        <v>1</v>
      </c>
      <c r="M154" s="5">
        <v>0</v>
      </c>
      <c r="N154" s="5" t="s">
        <v>1040</v>
      </c>
      <c r="O154" s="5" t="s">
        <v>329</v>
      </c>
      <c r="P154" s="5" t="s">
        <v>142</v>
      </c>
      <c r="Q154" s="5" t="s">
        <v>164</v>
      </c>
      <c r="S154" s="24">
        <v>2</v>
      </c>
      <c r="T154" s="24">
        <v>1</v>
      </c>
      <c r="U154" s="24">
        <v>1</v>
      </c>
      <c r="V154" s="24" t="str">
        <v>RICHARD SOUWIKO</v>
      </c>
      <c r="W154" s="24" t="str">
        <v>535220042</v>
      </c>
      <c r="X154" s="24" t="str">
        <v>Magang</v>
      </c>
      <c r="Y154" s="24" t="str">
        <v>Irvan Lewenusa, S.Kom., M.Kom.</v>
      </c>
      <c r="AE154">
        <v>6</v>
      </c>
      <c r="AF154">
        <v>2</v>
      </c>
      <c r="AG154">
        <v>6</v>
      </c>
      <c r="AH154" s="25">
        <f t="shared" si="12"/>
        <v>0</v>
      </c>
      <c r="AI154" s="32">
        <f t="shared" si="13"/>
        <v>0</v>
      </c>
    </row>
    <row r="155" spans="1:35" ht="15" x14ac:dyDescent="0.2">
      <c r="A155" s="8">
        <v>2</v>
      </c>
      <c r="B155" s="8">
        <v>2</v>
      </c>
      <c r="C155" s="8">
        <v>2</v>
      </c>
      <c r="D155" s="3">
        <v>535220104</v>
      </c>
      <c r="E155" s="3" t="s">
        <v>142</v>
      </c>
      <c r="F155" t="s">
        <v>168</v>
      </c>
      <c r="G155" s="25" cm="1">
        <f t="array" ref="G155">IF(AND(A155:C155=S155:U155),IF((F155=Y155),1,0),999)</f>
        <v>999</v>
      </c>
      <c r="K155" s="5">
        <v>3</v>
      </c>
      <c r="L155" s="5">
        <v>1</v>
      </c>
      <c r="M155" s="5">
        <v>0</v>
      </c>
      <c r="N155" s="5" t="s">
        <v>1041</v>
      </c>
      <c r="O155" s="5" t="s">
        <v>330</v>
      </c>
      <c r="P155" s="5" t="s">
        <v>142</v>
      </c>
      <c r="Q155" s="5" t="s">
        <v>164</v>
      </c>
      <c r="S155" s="24">
        <v>2</v>
      </c>
      <c r="T155" s="24">
        <v>1</v>
      </c>
      <c r="U155" s="24">
        <v>1</v>
      </c>
      <c r="V155" s="24" t="str">
        <v>TIMOTY WAHYUDI PAKPAHAN</v>
      </c>
      <c r="W155" s="24" t="str">
        <v>535220043</v>
      </c>
      <c r="X155" s="24" t="str">
        <v>Magang</v>
      </c>
      <c r="Y155" s="24" t="str">
        <v>Irvan Lewenusa, S.Kom., M.Kom.</v>
      </c>
    </row>
    <row r="156" spans="1:35" ht="15" x14ac:dyDescent="0.2">
      <c r="A156" s="17">
        <v>2</v>
      </c>
      <c r="B156" s="8">
        <v>2</v>
      </c>
      <c r="C156" s="8">
        <v>2</v>
      </c>
      <c r="D156" s="6">
        <v>535220164</v>
      </c>
      <c r="E156" s="3" t="s">
        <v>142</v>
      </c>
      <c r="F156" t="s">
        <v>168</v>
      </c>
      <c r="G156" s="25" cm="1">
        <f t="array" ref="G156">IF(AND(A156:C156=S156:U156),IF((F156=Y156),1,0),999)</f>
        <v>999</v>
      </c>
      <c r="K156" s="5">
        <v>3</v>
      </c>
      <c r="L156" s="5">
        <v>1</v>
      </c>
      <c r="M156" s="5">
        <v>0</v>
      </c>
      <c r="N156" s="5" t="s">
        <v>1042</v>
      </c>
      <c r="O156" s="5" t="s">
        <v>331</v>
      </c>
      <c r="P156" s="5" t="s">
        <v>142</v>
      </c>
      <c r="Q156" s="5" t="s">
        <v>164</v>
      </c>
      <c r="S156" s="24">
        <v>2</v>
      </c>
      <c r="T156" s="24">
        <v>1</v>
      </c>
      <c r="U156" s="24">
        <v>1</v>
      </c>
      <c r="V156" s="24" t="str">
        <v>PAULINA AGUSIA</v>
      </c>
      <c r="W156" s="24" t="str">
        <v>535220048</v>
      </c>
      <c r="X156" s="24" t="str">
        <v>Magang</v>
      </c>
      <c r="Y156" s="24" t="str">
        <v>Irvan Lewenusa, S.Kom., M.Kom.</v>
      </c>
      <c r="AE156">
        <v>7</v>
      </c>
      <c r="AF156">
        <v>0</v>
      </c>
      <c r="AG156">
        <v>0</v>
      </c>
      <c r="AH156" s="25">
        <f t="shared" ref="AH156:AH176" si="14">COUNTIFS(A:A,AG156,B:B,AE156,C:C,AF156)</f>
        <v>5</v>
      </c>
      <c r="AI156" s="33">
        <f t="shared" ref="AI156:AI176" si="15">COUNTIFS(S:S,AG156,T:T,AE156,U:U,AF156)</f>
        <v>0</v>
      </c>
    </row>
    <row r="157" spans="1:35" ht="15" x14ac:dyDescent="0.2">
      <c r="A157" s="8">
        <v>3</v>
      </c>
      <c r="B157" s="8">
        <v>2</v>
      </c>
      <c r="C157" s="8">
        <v>2</v>
      </c>
      <c r="D157" s="3">
        <v>535220165</v>
      </c>
      <c r="E157" s="3" t="s">
        <v>142</v>
      </c>
      <c r="F157" t="s">
        <v>168</v>
      </c>
      <c r="G157" s="25" cm="1">
        <f t="array" ref="G157">IF(AND(A157:C157=S157:U157),IF((F157=Y157),1,0),999)</f>
        <v>999</v>
      </c>
      <c r="K157" s="5">
        <v>3</v>
      </c>
      <c r="L157" s="5">
        <v>1</v>
      </c>
      <c r="M157" s="5">
        <v>1</v>
      </c>
      <c r="N157" s="5" t="s">
        <v>1043</v>
      </c>
      <c r="O157" s="5" t="s">
        <v>332</v>
      </c>
      <c r="P157" s="5" t="s">
        <v>142</v>
      </c>
      <c r="Q157" s="5" t="s">
        <v>157</v>
      </c>
      <c r="S157" s="24">
        <v>3</v>
      </c>
      <c r="T157" s="24">
        <v>1</v>
      </c>
      <c r="U157" s="24">
        <v>1</v>
      </c>
      <c r="V157" s="24" t="str">
        <v>SHAREEN STEPHANIE</v>
      </c>
      <c r="W157" s="24" t="str">
        <v>535220112</v>
      </c>
      <c r="X157" s="24" t="str">
        <v>Magang</v>
      </c>
      <c r="Y157" s="24" t="str">
        <v>Dra. Chairisni Lubis, M.Kom.</v>
      </c>
      <c r="AE157">
        <v>7</v>
      </c>
      <c r="AF157">
        <v>0</v>
      </c>
      <c r="AG157">
        <v>1</v>
      </c>
      <c r="AH157" s="25">
        <f t="shared" si="14"/>
        <v>5</v>
      </c>
      <c r="AI157" s="32">
        <f t="shared" si="15"/>
        <v>0</v>
      </c>
    </row>
    <row r="158" spans="1:35" ht="15" x14ac:dyDescent="0.2">
      <c r="A158" s="8">
        <v>3</v>
      </c>
      <c r="B158" s="8">
        <v>2</v>
      </c>
      <c r="C158" s="8">
        <v>2</v>
      </c>
      <c r="D158" s="3">
        <v>535220197</v>
      </c>
      <c r="E158" s="3" t="s">
        <v>142</v>
      </c>
      <c r="F158" t="s">
        <v>168</v>
      </c>
      <c r="G158" s="25" cm="1">
        <f t="array" ref="G158">IF(AND(A158:C158=S158:U158),IF((F158=Y158),1,0),999)</f>
        <v>999</v>
      </c>
      <c r="K158" s="5">
        <v>3</v>
      </c>
      <c r="L158" s="5">
        <v>1</v>
      </c>
      <c r="M158" s="5">
        <v>1</v>
      </c>
      <c r="N158" s="5" t="s">
        <v>1044</v>
      </c>
      <c r="O158" s="5" t="s">
        <v>333</v>
      </c>
      <c r="P158" s="5" t="s">
        <v>142</v>
      </c>
      <c r="Q158" s="5" t="s">
        <v>157</v>
      </c>
      <c r="S158" s="24">
        <v>3</v>
      </c>
      <c r="T158" s="24">
        <v>1</v>
      </c>
      <c r="U158" s="24">
        <v>1</v>
      </c>
      <c r="V158" s="24" t="str">
        <v>KELLY CHRISTELLA GYWEN</v>
      </c>
      <c r="W158" s="24" t="str">
        <v>535220207</v>
      </c>
      <c r="X158" s="24" t="str">
        <v>Magang</v>
      </c>
      <c r="Y158" s="24" t="str">
        <v>Dra. Chairisni Lubis, M.Kom.</v>
      </c>
      <c r="AE158">
        <v>7</v>
      </c>
      <c r="AF158">
        <v>0</v>
      </c>
      <c r="AG158">
        <v>2</v>
      </c>
      <c r="AH158" s="25">
        <f t="shared" si="14"/>
        <v>5</v>
      </c>
      <c r="AI158" s="32">
        <f t="shared" si="15"/>
        <v>0</v>
      </c>
    </row>
    <row r="159" spans="1:35" ht="15" x14ac:dyDescent="0.2">
      <c r="A159" s="8">
        <v>3</v>
      </c>
      <c r="B159" s="8">
        <v>2</v>
      </c>
      <c r="C159" s="8">
        <v>2</v>
      </c>
      <c r="D159" s="3">
        <v>535220201</v>
      </c>
      <c r="E159" s="3" t="s">
        <v>142</v>
      </c>
      <c r="F159" t="s">
        <v>168</v>
      </c>
      <c r="G159" s="25" cm="1">
        <f t="array" ref="G159">IF(AND(A159:C159=S159:U159),IF((F159=Y159),1,0),999)</f>
        <v>999</v>
      </c>
      <c r="K159" s="5">
        <v>3</v>
      </c>
      <c r="L159" s="5">
        <v>1</v>
      </c>
      <c r="M159" s="5">
        <v>1</v>
      </c>
      <c r="N159" s="5" t="s">
        <v>1045</v>
      </c>
      <c r="O159" s="5" t="s">
        <v>334</v>
      </c>
      <c r="P159" s="5" t="s">
        <v>142</v>
      </c>
      <c r="Q159" s="5" t="s">
        <v>157</v>
      </c>
      <c r="S159" s="24">
        <v>3</v>
      </c>
      <c r="T159" s="24">
        <v>1</v>
      </c>
      <c r="U159" s="24">
        <v>1</v>
      </c>
      <c r="V159" s="24" t="str">
        <v xml:space="preserve">YUDO ALFARISZI </v>
      </c>
      <c r="W159" s="24" t="str">
        <v>535220245</v>
      </c>
      <c r="X159" s="24" t="str">
        <v>Magang</v>
      </c>
      <c r="Y159" s="24" t="str">
        <v>Dra. Chairisni Lubis, M.Kom.</v>
      </c>
      <c r="AE159">
        <v>7</v>
      </c>
      <c r="AF159">
        <v>0</v>
      </c>
      <c r="AG159">
        <v>3</v>
      </c>
      <c r="AH159" s="25">
        <f t="shared" si="14"/>
        <v>5</v>
      </c>
      <c r="AI159" s="32">
        <f t="shared" si="15"/>
        <v>0</v>
      </c>
    </row>
    <row r="160" spans="1:35" ht="15" x14ac:dyDescent="0.2">
      <c r="A160" s="8">
        <v>3</v>
      </c>
      <c r="B160" s="8">
        <v>2</v>
      </c>
      <c r="C160" s="8">
        <v>2</v>
      </c>
      <c r="D160" s="3">
        <v>535229202</v>
      </c>
      <c r="E160" s="3" t="s">
        <v>142</v>
      </c>
      <c r="F160" t="s">
        <v>168</v>
      </c>
      <c r="G160" s="25" cm="1">
        <f t="array" ref="G160">IF(AND(A160:C160=S160:U160),IF((F160=Y160),1,0),999)</f>
        <v>999</v>
      </c>
      <c r="K160" s="5">
        <v>3</v>
      </c>
      <c r="L160" s="5">
        <v>1</v>
      </c>
      <c r="M160" s="5">
        <v>1</v>
      </c>
      <c r="N160" s="5" t="s">
        <v>1046</v>
      </c>
      <c r="O160" s="5" t="s">
        <v>335</v>
      </c>
      <c r="P160" s="5" t="s">
        <v>142</v>
      </c>
      <c r="Q160" s="5" t="s">
        <v>165</v>
      </c>
      <c r="S160" s="24">
        <v>3</v>
      </c>
      <c r="T160" s="24">
        <v>1</v>
      </c>
      <c r="U160" s="24">
        <v>1</v>
      </c>
      <c r="V160" s="24" t="str">
        <v>ERIKO LEVINO SASMITRA</v>
      </c>
      <c r="W160" s="24" t="str">
        <v>535220014</v>
      </c>
      <c r="X160" s="24" t="str">
        <v>Magang</v>
      </c>
      <c r="Y160" s="24" t="str">
        <v>Darius Andana Haris, S.Kom., MTI</v>
      </c>
      <c r="AE160">
        <v>7</v>
      </c>
      <c r="AF160">
        <v>0</v>
      </c>
      <c r="AG160">
        <v>4</v>
      </c>
      <c r="AH160" s="25">
        <f t="shared" si="14"/>
        <v>5</v>
      </c>
      <c r="AI160" s="32">
        <f t="shared" si="15"/>
        <v>0</v>
      </c>
    </row>
    <row r="161" spans="1:35" ht="15" x14ac:dyDescent="0.2">
      <c r="A161" s="8">
        <v>3</v>
      </c>
      <c r="B161" s="8">
        <v>2</v>
      </c>
      <c r="C161" s="8">
        <v>2</v>
      </c>
      <c r="D161" s="3">
        <v>825220051</v>
      </c>
      <c r="E161" s="3" t="s">
        <v>142</v>
      </c>
      <c r="F161" t="s">
        <v>168</v>
      </c>
      <c r="G161" s="25" cm="1">
        <f t="array" ref="G161">IF(AND(A161:C161=S161:U161),IF((F161=Y161),1,0),999)</f>
        <v>999</v>
      </c>
      <c r="K161" s="5">
        <v>3</v>
      </c>
      <c r="L161" s="5">
        <v>1</v>
      </c>
      <c r="M161" s="5">
        <v>1</v>
      </c>
      <c r="N161" s="5" t="s">
        <v>1047</v>
      </c>
      <c r="O161" s="5" t="s">
        <v>336</v>
      </c>
      <c r="P161" s="5" t="s">
        <v>142</v>
      </c>
      <c r="Q161" s="5" t="s">
        <v>165</v>
      </c>
      <c r="S161" s="24">
        <v>3</v>
      </c>
      <c r="T161" s="24">
        <v>1</v>
      </c>
      <c r="U161" s="24">
        <v>1</v>
      </c>
      <c r="V161" s="24" t="str">
        <v>IVANDER</v>
      </c>
      <c r="W161" s="24" t="str">
        <v>535220020</v>
      </c>
      <c r="X161" s="24" t="str">
        <v>Magang</v>
      </c>
      <c r="Y161" s="24" t="str">
        <v>Darius Andana Haris, S.Kom., MTI</v>
      </c>
      <c r="AE161">
        <v>7</v>
      </c>
      <c r="AF161">
        <v>0</v>
      </c>
      <c r="AG161">
        <v>5</v>
      </c>
      <c r="AH161" s="25">
        <f t="shared" si="14"/>
        <v>5</v>
      </c>
      <c r="AI161" s="32">
        <f t="shared" si="15"/>
        <v>0</v>
      </c>
    </row>
    <row r="162" spans="1:35" ht="15" x14ac:dyDescent="0.2">
      <c r="A162" s="8">
        <v>0</v>
      </c>
      <c r="B162" s="8">
        <v>3</v>
      </c>
      <c r="C162" s="8">
        <v>0</v>
      </c>
      <c r="D162" s="3">
        <v>535220221</v>
      </c>
      <c r="E162" s="3" t="s">
        <v>142</v>
      </c>
      <c r="F162" t="s">
        <v>163</v>
      </c>
      <c r="G162" s="25" cm="1">
        <f t="array" ref="G162">IF(AND(A162:C162=S162:U162),IF((F162=Y162),1,0),999)</f>
        <v>999</v>
      </c>
      <c r="K162" s="5">
        <v>3</v>
      </c>
      <c r="L162" s="5">
        <v>1</v>
      </c>
      <c r="M162" s="5">
        <v>2</v>
      </c>
      <c r="N162" s="5" t="s">
        <v>1048</v>
      </c>
      <c r="O162" s="5" t="s">
        <v>337</v>
      </c>
      <c r="P162" s="5" t="s">
        <v>142</v>
      </c>
      <c r="Q162" s="5" t="s">
        <v>166</v>
      </c>
      <c r="S162" s="24">
        <v>4</v>
      </c>
      <c r="T162" s="24">
        <v>1</v>
      </c>
      <c r="U162" s="24">
        <v>1</v>
      </c>
      <c r="V162" s="24" t="str">
        <v>TANJAYA JASON WINATA</v>
      </c>
      <c r="W162" s="24" t="str">
        <v>535220041</v>
      </c>
      <c r="X162" s="24" t="str">
        <v>Magang</v>
      </c>
      <c r="Y162" s="24" t="str">
        <v>Lely Hiryanto, ST, M.Sc., Ph.D</v>
      </c>
      <c r="AE162">
        <v>7</v>
      </c>
      <c r="AF162">
        <v>0</v>
      </c>
      <c r="AG162">
        <v>6</v>
      </c>
      <c r="AH162" s="25">
        <f t="shared" si="14"/>
        <v>5</v>
      </c>
      <c r="AI162" s="32">
        <f t="shared" si="15"/>
        <v>0</v>
      </c>
    </row>
    <row r="163" spans="1:35" ht="15" x14ac:dyDescent="0.2">
      <c r="A163" s="8">
        <v>0</v>
      </c>
      <c r="B163" s="8">
        <v>3</v>
      </c>
      <c r="C163" s="8">
        <v>0</v>
      </c>
      <c r="D163" s="3">
        <v>535220224</v>
      </c>
      <c r="E163" s="3" t="s">
        <v>142</v>
      </c>
      <c r="F163" t="s">
        <v>163</v>
      </c>
      <c r="G163" s="25" cm="1">
        <f t="array" ref="G163">IF(AND(A163:C163=S163:U163),IF((F163=Y163),1,0),999)</f>
        <v>999</v>
      </c>
      <c r="K163" s="5">
        <v>3</v>
      </c>
      <c r="L163" s="5">
        <v>1</v>
      </c>
      <c r="M163" s="5">
        <v>2</v>
      </c>
      <c r="N163" s="5" t="s">
        <v>1049</v>
      </c>
      <c r="O163" s="5" t="s">
        <v>338</v>
      </c>
      <c r="P163" s="5" t="s">
        <v>142</v>
      </c>
      <c r="Q163" s="5" t="s">
        <v>166</v>
      </c>
      <c r="S163" s="24">
        <v>4</v>
      </c>
      <c r="T163" s="24">
        <v>1</v>
      </c>
      <c r="U163" s="24">
        <v>1</v>
      </c>
      <c r="V163" s="24" t="str">
        <v>RUBEN TOBIA CHAIYADI</v>
      </c>
      <c r="W163" s="24" t="str">
        <v>535220051</v>
      </c>
      <c r="X163" s="24" t="str">
        <v>Magang</v>
      </c>
      <c r="Y163" s="24" t="str">
        <v>Lely Hiryanto, ST, M.Sc., Ph.D</v>
      </c>
      <c r="AE163">
        <v>7</v>
      </c>
      <c r="AF163">
        <v>1</v>
      </c>
      <c r="AG163">
        <v>0</v>
      </c>
      <c r="AH163" s="25">
        <f t="shared" si="14"/>
        <v>5</v>
      </c>
      <c r="AI163" s="32">
        <f t="shared" si="15"/>
        <v>0</v>
      </c>
    </row>
    <row r="164" spans="1:35" ht="15" x14ac:dyDescent="0.2">
      <c r="A164" s="8">
        <v>0</v>
      </c>
      <c r="B164" s="8">
        <v>3</v>
      </c>
      <c r="C164" s="8">
        <v>0</v>
      </c>
      <c r="D164" s="3">
        <v>535220234</v>
      </c>
      <c r="E164" s="3" t="s">
        <v>142</v>
      </c>
      <c r="F164" t="s">
        <v>163</v>
      </c>
      <c r="G164" s="25" cm="1">
        <f t="array" ref="G164">IF(AND(A164:C164=S164:U164),IF((F164=Y164),1,0),999)</f>
        <v>999</v>
      </c>
      <c r="K164" s="5">
        <v>3</v>
      </c>
      <c r="L164" s="5">
        <v>1</v>
      </c>
      <c r="M164" s="5">
        <v>2</v>
      </c>
      <c r="N164" s="5" t="s">
        <v>1050</v>
      </c>
      <c r="O164" s="5" t="s">
        <v>339</v>
      </c>
      <c r="P164" s="5" t="s">
        <v>142</v>
      </c>
      <c r="Q164" s="5" t="s">
        <v>166</v>
      </c>
      <c r="S164" s="24">
        <v>4</v>
      </c>
      <c r="T164" s="24">
        <v>1</v>
      </c>
      <c r="U164" s="24">
        <v>1</v>
      </c>
      <c r="V164" s="24" t="str">
        <v>STEFANUS ANTHONY HARRY</v>
      </c>
      <c r="W164" s="24" t="str">
        <v>535220146</v>
      </c>
      <c r="X164" s="24" t="str">
        <v>Magang</v>
      </c>
      <c r="Y164" s="24" t="str">
        <v>Lely Hiryanto, ST, M.Sc., Ph.D</v>
      </c>
      <c r="AE164">
        <v>7</v>
      </c>
      <c r="AF164">
        <v>1</v>
      </c>
      <c r="AG164">
        <v>1</v>
      </c>
      <c r="AH164" s="25">
        <f t="shared" si="14"/>
        <v>5</v>
      </c>
      <c r="AI164" s="32">
        <f t="shared" si="15"/>
        <v>0</v>
      </c>
    </row>
    <row r="165" spans="1:35" ht="15" x14ac:dyDescent="0.2">
      <c r="A165" s="8">
        <v>0</v>
      </c>
      <c r="B165" s="8">
        <v>3</v>
      </c>
      <c r="C165" s="8">
        <v>0</v>
      </c>
      <c r="D165" s="3">
        <v>535220242</v>
      </c>
      <c r="E165" s="3" t="s">
        <v>142</v>
      </c>
      <c r="F165" t="s">
        <v>163</v>
      </c>
      <c r="G165" s="25" cm="1">
        <f t="array" ref="G165">IF(AND(A165:C165=S165:U165),IF((F165=Y165),1,0),999)</f>
        <v>999</v>
      </c>
      <c r="K165" s="5">
        <v>3</v>
      </c>
      <c r="L165" s="5">
        <v>1</v>
      </c>
      <c r="M165" s="5">
        <v>2</v>
      </c>
      <c r="N165" s="5" t="s">
        <v>1051</v>
      </c>
      <c r="O165" s="5" t="s">
        <v>340</v>
      </c>
      <c r="P165" s="5" t="s">
        <v>142</v>
      </c>
      <c r="Q165" s="5" t="s">
        <v>166</v>
      </c>
      <c r="S165" s="24">
        <v>4</v>
      </c>
      <c r="T165" s="24">
        <v>1</v>
      </c>
      <c r="U165" s="24">
        <v>1</v>
      </c>
      <c r="V165" s="24" t="str">
        <v xml:space="preserve">VALEROY PUTRA SIENTIKA </v>
      </c>
      <c r="W165" s="24" t="str">
        <v>535220151</v>
      </c>
      <c r="X165" s="24" t="str">
        <v>Magang</v>
      </c>
      <c r="Y165" s="24" t="str">
        <v>Lely Hiryanto, ST, M.Sc., Ph.D</v>
      </c>
      <c r="AE165">
        <v>7</v>
      </c>
      <c r="AF165">
        <v>1</v>
      </c>
      <c r="AG165">
        <v>2</v>
      </c>
      <c r="AH165" s="25">
        <f t="shared" si="14"/>
        <v>5</v>
      </c>
      <c r="AI165" s="32">
        <f t="shared" si="15"/>
        <v>0</v>
      </c>
    </row>
    <row r="166" spans="1:35" ht="15" x14ac:dyDescent="0.2">
      <c r="A166" s="8">
        <v>0</v>
      </c>
      <c r="B166" s="8">
        <v>3</v>
      </c>
      <c r="C166" s="8">
        <v>0</v>
      </c>
      <c r="D166" s="3">
        <v>535220266</v>
      </c>
      <c r="E166" s="3" t="s">
        <v>142</v>
      </c>
      <c r="F166" t="s">
        <v>163</v>
      </c>
      <c r="G166" s="25" cm="1">
        <f t="array" ref="G166">IF(AND(A166:C166=S166:U166),IF((F166=Y166),1,0),999)</f>
        <v>999</v>
      </c>
      <c r="K166" s="5">
        <v>3</v>
      </c>
      <c r="L166" s="5">
        <v>1</v>
      </c>
      <c r="M166" s="5">
        <v>2</v>
      </c>
      <c r="N166" s="5" t="s">
        <v>1052</v>
      </c>
      <c r="O166" s="5" t="s">
        <v>341</v>
      </c>
      <c r="P166" s="5" t="s">
        <v>142</v>
      </c>
      <c r="Q166" s="5" t="s">
        <v>166</v>
      </c>
      <c r="S166" s="24">
        <v>4</v>
      </c>
      <c r="T166" s="24">
        <v>1</v>
      </c>
      <c r="U166" s="24">
        <v>1</v>
      </c>
      <c r="V166" s="24" t="str">
        <v>FELIX FERDINAND</v>
      </c>
      <c r="W166" s="24" t="str">
        <v>535220161</v>
      </c>
      <c r="X166" s="24" t="str">
        <v>Magang</v>
      </c>
      <c r="Y166" s="24" t="str">
        <v>Lely Hiryanto, ST, M.Sc., Ph.D</v>
      </c>
      <c r="AE166">
        <v>7</v>
      </c>
      <c r="AF166">
        <v>1</v>
      </c>
      <c r="AG166">
        <v>3</v>
      </c>
      <c r="AH166" s="25">
        <f t="shared" si="14"/>
        <v>5</v>
      </c>
      <c r="AI166" s="32">
        <f t="shared" si="15"/>
        <v>0</v>
      </c>
    </row>
    <row r="167" spans="1:35" ht="15" x14ac:dyDescent="0.2">
      <c r="A167" s="8">
        <v>1</v>
      </c>
      <c r="B167" s="8">
        <v>3</v>
      </c>
      <c r="C167" s="8">
        <v>0</v>
      </c>
      <c r="D167" s="3">
        <v>825220041</v>
      </c>
      <c r="E167" s="3" t="s">
        <v>142</v>
      </c>
      <c r="F167" t="s">
        <v>155</v>
      </c>
      <c r="G167" s="25" cm="1">
        <f t="array" ref="G167">IF(AND(A167:C167=S167:U167),IF((F167=Y167),1,0),999)</f>
        <v>999</v>
      </c>
      <c r="K167" s="5">
        <v>4</v>
      </c>
      <c r="L167" s="5">
        <v>1</v>
      </c>
      <c r="M167" s="5">
        <v>0</v>
      </c>
      <c r="N167" s="5" t="s">
        <v>1053</v>
      </c>
      <c r="O167" s="5" t="s">
        <v>342</v>
      </c>
      <c r="P167" s="5" t="s">
        <v>143</v>
      </c>
      <c r="Q167" s="5" t="s">
        <v>159</v>
      </c>
      <c r="S167" s="24">
        <v>5</v>
      </c>
      <c r="T167" s="24">
        <v>1</v>
      </c>
      <c r="U167" s="24">
        <v>1</v>
      </c>
      <c r="V167" s="24" t="str">
        <v>TIGO ILHAMI FASYAH</v>
      </c>
      <c r="W167" s="24" t="str">
        <v>535220235</v>
      </c>
      <c r="X167" s="24" t="str">
        <v>Magang</v>
      </c>
      <c r="Y167" s="24" t="str">
        <v>Lely Hiryanto, ST, M.Sc., Ph.D</v>
      </c>
      <c r="AE167">
        <v>7</v>
      </c>
      <c r="AF167">
        <v>1</v>
      </c>
      <c r="AG167">
        <v>4</v>
      </c>
      <c r="AH167" s="25">
        <f t="shared" si="14"/>
        <v>0</v>
      </c>
      <c r="AI167" s="32">
        <f t="shared" si="15"/>
        <v>0</v>
      </c>
    </row>
    <row r="168" spans="1:35" ht="15" x14ac:dyDescent="0.2">
      <c r="A168" s="8">
        <v>1</v>
      </c>
      <c r="B168" s="8">
        <v>3</v>
      </c>
      <c r="C168" s="8">
        <v>0</v>
      </c>
      <c r="D168" s="3">
        <v>825220065</v>
      </c>
      <c r="E168" s="3" t="s">
        <v>142</v>
      </c>
      <c r="F168" t="s">
        <v>155</v>
      </c>
      <c r="G168" s="25" cm="1">
        <f t="array" ref="G168">IF(AND(A168:C168=S168:U168),IF((F168=Y168),1,0),999)</f>
        <v>999</v>
      </c>
      <c r="K168" s="5">
        <v>4</v>
      </c>
      <c r="L168" s="5">
        <v>1</v>
      </c>
      <c r="M168" s="5">
        <v>0</v>
      </c>
      <c r="N168" s="5" t="s">
        <v>1054</v>
      </c>
      <c r="O168" s="5" t="s">
        <v>343</v>
      </c>
      <c r="P168" s="5" t="s">
        <v>143</v>
      </c>
      <c r="Q168" s="5" t="s">
        <v>159</v>
      </c>
      <c r="S168" s="24">
        <v>5</v>
      </c>
      <c r="T168" s="24">
        <v>1</v>
      </c>
      <c r="U168" s="24">
        <v>1</v>
      </c>
      <c r="V168" s="24" t="str">
        <v>WIDYA KHAERUNNISYAH</v>
      </c>
      <c r="W168" s="24" t="str">
        <v>535220262</v>
      </c>
      <c r="X168" s="24" t="str">
        <v>Magang</v>
      </c>
      <c r="Y168" s="24" t="str">
        <v>Lely Hiryanto, ST, M.Sc., Ph.D</v>
      </c>
      <c r="AE168">
        <v>7</v>
      </c>
      <c r="AF168">
        <v>1</v>
      </c>
      <c r="AG168">
        <v>5</v>
      </c>
      <c r="AH168" s="25">
        <f t="shared" si="14"/>
        <v>0</v>
      </c>
      <c r="AI168" s="32">
        <f t="shared" si="15"/>
        <v>0</v>
      </c>
    </row>
    <row r="169" spans="1:35" ht="15" x14ac:dyDescent="0.2">
      <c r="A169" s="8">
        <v>1</v>
      </c>
      <c r="B169" s="8">
        <v>3</v>
      </c>
      <c r="C169" s="8">
        <v>0</v>
      </c>
      <c r="D169" s="3">
        <v>825220067</v>
      </c>
      <c r="E169" s="3" t="s">
        <v>142</v>
      </c>
      <c r="F169" t="s">
        <v>155</v>
      </c>
      <c r="G169" s="25" cm="1">
        <f t="array" ref="G169">IF(AND(A169:C169=S169:U169),IF((F169=Y169),1,0),999)</f>
        <v>999</v>
      </c>
      <c r="K169" s="5">
        <v>4</v>
      </c>
      <c r="L169" s="5">
        <v>1</v>
      </c>
      <c r="M169" s="5">
        <v>0</v>
      </c>
      <c r="N169" s="5" t="s">
        <v>1055</v>
      </c>
      <c r="O169" s="5" t="s">
        <v>344</v>
      </c>
      <c r="P169" s="5" t="s">
        <v>142</v>
      </c>
      <c r="Q169" s="5" t="s">
        <v>165</v>
      </c>
      <c r="S169" s="24">
        <v>5</v>
      </c>
      <c r="T169" s="24">
        <v>1</v>
      </c>
      <c r="U169" s="24">
        <v>1</v>
      </c>
      <c r="V169" s="24" t="str">
        <v>HANSEN PRATAMA</v>
      </c>
      <c r="W169" s="24" t="str">
        <v>535220128</v>
      </c>
      <c r="X169" s="24" t="str">
        <v>Magang</v>
      </c>
      <c r="Y169" s="24" t="str">
        <v>Lely Hiryanto, ST, M.Sc., Ph.D</v>
      </c>
      <c r="AE169">
        <v>7</v>
      </c>
      <c r="AF169">
        <v>1</v>
      </c>
      <c r="AG169">
        <v>6</v>
      </c>
      <c r="AH169" s="25">
        <f t="shared" si="14"/>
        <v>0</v>
      </c>
      <c r="AI169" s="32">
        <f t="shared" si="15"/>
        <v>0</v>
      </c>
    </row>
    <row r="170" spans="1:35" ht="15" x14ac:dyDescent="0.2">
      <c r="A170" s="8">
        <v>1</v>
      </c>
      <c r="B170" s="8">
        <v>3</v>
      </c>
      <c r="C170" s="8">
        <v>0</v>
      </c>
      <c r="D170" s="3">
        <v>825220083</v>
      </c>
      <c r="E170" s="3" t="s">
        <v>142</v>
      </c>
      <c r="F170" t="s">
        <v>155</v>
      </c>
      <c r="G170" s="25" cm="1">
        <f t="array" ref="G170">IF(AND(A170:C170=S170:U170),IF((F170=Y170),1,0),999)</f>
        <v>999</v>
      </c>
      <c r="K170" s="5">
        <v>4</v>
      </c>
      <c r="L170" s="5">
        <v>1</v>
      </c>
      <c r="M170" s="5">
        <v>0</v>
      </c>
      <c r="N170" s="5" t="s">
        <v>1056</v>
      </c>
      <c r="O170" s="5" t="s">
        <v>345</v>
      </c>
      <c r="P170" s="5" t="s">
        <v>143</v>
      </c>
      <c r="Q170" s="5" t="s">
        <v>165</v>
      </c>
      <c r="S170" s="24">
        <v>5</v>
      </c>
      <c r="T170" s="24">
        <v>1</v>
      </c>
      <c r="U170" s="24">
        <v>1</v>
      </c>
      <c r="V170" s="24" t="str">
        <v>ALBERT</v>
      </c>
      <c r="W170" s="24" t="str">
        <v>535220024</v>
      </c>
      <c r="X170" s="24" t="str">
        <v>Stupen</v>
      </c>
      <c r="Y170" s="24" t="str">
        <v>Lely Hiryanto, ST, M.Sc., Ph.D</v>
      </c>
      <c r="AE170">
        <v>7</v>
      </c>
      <c r="AF170">
        <v>2</v>
      </c>
      <c r="AG170">
        <v>0</v>
      </c>
      <c r="AH170" s="25">
        <f t="shared" si="14"/>
        <v>0</v>
      </c>
      <c r="AI170" s="32">
        <f t="shared" si="15"/>
        <v>0</v>
      </c>
    </row>
    <row r="171" spans="1:35" ht="15" x14ac:dyDescent="0.2">
      <c r="A171" s="8">
        <v>1</v>
      </c>
      <c r="B171" s="8">
        <v>3</v>
      </c>
      <c r="C171" s="8">
        <v>0</v>
      </c>
      <c r="D171" s="3">
        <v>825220108</v>
      </c>
      <c r="E171" s="3" t="s">
        <v>142</v>
      </c>
      <c r="F171" t="s">
        <v>155</v>
      </c>
      <c r="G171" s="25" cm="1">
        <f t="array" ref="G171">IF(AND(A171:C171=S171:U171),IF((F171=Y171),1,0),999)</f>
        <v>999</v>
      </c>
      <c r="K171" s="5">
        <v>4</v>
      </c>
      <c r="L171" s="5">
        <v>1</v>
      </c>
      <c r="M171" s="5">
        <v>0</v>
      </c>
      <c r="N171" s="5" t="s">
        <v>1057</v>
      </c>
      <c r="O171" s="5" t="s">
        <v>346</v>
      </c>
      <c r="P171" s="5" t="s">
        <v>143</v>
      </c>
      <c r="Q171" s="5" t="s">
        <v>165</v>
      </c>
      <c r="S171" s="24">
        <v>5</v>
      </c>
      <c r="T171" s="24">
        <v>1</v>
      </c>
      <c r="U171" s="24">
        <v>1</v>
      </c>
      <c r="V171" s="24" t="str">
        <v>JASON CHAINARA PUTRA</v>
      </c>
      <c r="W171" s="24" t="str">
        <v>535220045</v>
      </c>
      <c r="X171" s="24" t="str">
        <v>Stupen</v>
      </c>
      <c r="Y171" s="24" t="str">
        <v>Lely Hiryanto, ST, M.Sc., Ph.D</v>
      </c>
      <c r="AE171">
        <v>7</v>
      </c>
      <c r="AF171">
        <v>2</v>
      </c>
      <c r="AG171">
        <v>1</v>
      </c>
      <c r="AH171" s="25">
        <f t="shared" si="14"/>
        <v>0</v>
      </c>
      <c r="AI171" s="32">
        <f t="shared" si="15"/>
        <v>0</v>
      </c>
    </row>
    <row r="172" spans="1:35" ht="15" x14ac:dyDescent="0.2">
      <c r="A172" s="8">
        <v>2</v>
      </c>
      <c r="B172" s="8">
        <v>3</v>
      </c>
      <c r="C172" s="8">
        <v>0</v>
      </c>
      <c r="D172" s="3">
        <v>825220074</v>
      </c>
      <c r="E172" s="3" t="s">
        <v>142</v>
      </c>
      <c r="F172" t="s">
        <v>153</v>
      </c>
      <c r="G172" s="25" cm="1">
        <f t="array" ref="G172">IF(AND(A172:C172=S172:U172),IF((F172=Y172),1,0),999)</f>
        <v>999</v>
      </c>
      <c r="K172" s="5">
        <v>4</v>
      </c>
      <c r="L172" s="5">
        <v>1</v>
      </c>
      <c r="M172" s="5">
        <v>1</v>
      </c>
      <c r="N172" s="5" t="s">
        <v>1058</v>
      </c>
      <c r="O172" s="5" t="s">
        <v>347</v>
      </c>
      <c r="P172" s="5" t="s">
        <v>142</v>
      </c>
      <c r="Q172" s="5" t="s">
        <v>166</v>
      </c>
      <c r="S172" s="24">
        <v>6</v>
      </c>
      <c r="T172" s="24">
        <v>1</v>
      </c>
      <c r="U172" s="24">
        <v>1</v>
      </c>
      <c r="V172" s="24" t="str">
        <v>RANDY CENSON</v>
      </c>
      <c r="W172" s="24" t="str">
        <v>535220175</v>
      </c>
      <c r="X172" s="24" t="str">
        <v>Stupen</v>
      </c>
      <c r="Y172" s="24" t="str">
        <v>Lely Hiryanto, ST, M.Sc., Ph.D</v>
      </c>
      <c r="AE172">
        <v>7</v>
      </c>
      <c r="AF172">
        <v>2</v>
      </c>
      <c r="AG172">
        <v>2</v>
      </c>
      <c r="AH172" s="25">
        <f t="shared" si="14"/>
        <v>0</v>
      </c>
      <c r="AI172" s="32">
        <f t="shared" si="15"/>
        <v>0</v>
      </c>
    </row>
    <row r="173" spans="1:35" ht="15" x14ac:dyDescent="0.2">
      <c r="A173" s="8">
        <v>2</v>
      </c>
      <c r="B173" s="8">
        <v>3</v>
      </c>
      <c r="C173" s="8">
        <v>0</v>
      </c>
      <c r="D173" s="3">
        <v>825220159</v>
      </c>
      <c r="E173" s="3" t="s">
        <v>142</v>
      </c>
      <c r="F173" t="s">
        <v>153</v>
      </c>
      <c r="G173" s="25" cm="1">
        <f t="array" ref="G173">IF(AND(A173:C173=S173:U173),IF((F173=Y173),1,0),999)</f>
        <v>999</v>
      </c>
      <c r="K173" s="5">
        <v>4</v>
      </c>
      <c r="L173" s="5">
        <v>1</v>
      </c>
      <c r="M173" s="5">
        <v>1</v>
      </c>
      <c r="N173" s="5" t="s">
        <v>1059</v>
      </c>
      <c r="O173" s="5" t="s">
        <v>348</v>
      </c>
      <c r="P173" s="5" t="s">
        <v>142</v>
      </c>
      <c r="Q173" s="5" t="s">
        <v>166</v>
      </c>
      <c r="S173" s="24">
        <v>6</v>
      </c>
      <c r="T173" s="24">
        <v>1</v>
      </c>
      <c r="U173" s="24">
        <v>1</v>
      </c>
      <c r="V173" s="24" t="str">
        <v>JASON WIEDARDI LIMTARA</v>
      </c>
      <c r="W173" s="24" t="str">
        <v>535220212</v>
      </c>
      <c r="X173" s="24" t="str">
        <v>Stupen</v>
      </c>
      <c r="Y173" s="24" t="str">
        <v>Lely Hiryanto, ST, M.Sc., Ph.D</v>
      </c>
      <c r="AE173">
        <v>7</v>
      </c>
      <c r="AF173">
        <v>2</v>
      </c>
      <c r="AG173">
        <v>3</v>
      </c>
      <c r="AH173" s="25">
        <f t="shared" si="14"/>
        <v>0</v>
      </c>
      <c r="AI173" s="32">
        <f t="shared" si="15"/>
        <v>0</v>
      </c>
    </row>
    <row r="174" spans="1:35" ht="15" x14ac:dyDescent="0.2">
      <c r="A174" s="8">
        <v>2</v>
      </c>
      <c r="B174" s="8">
        <v>3</v>
      </c>
      <c r="C174" s="8">
        <v>0</v>
      </c>
      <c r="D174" s="3">
        <v>825220160</v>
      </c>
      <c r="E174" s="3" t="s">
        <v>142</v>
      </c>
      <c r="F174" t="s">
        <v>153</v>
      </c>
      <c r="G174" s="25" cm="1">
        <f t="array" ref="G174">IF(AND(A174:C174=S174:U174),IF((F174=Y174),1,0),999)</f>
        <v>999</v>
      </c>
      <c r="K174" s="5">
        <v>4</v>
      </c>
      <c r="L174" s="5">
        <v>1</v>
      </c>
      <c r="M174" s="5">
        <v>1</v>
      </c>
      <c r="N174" s="5" t="s">
        <v>1060</v>
      </c>
      <c r="O174" s="5" t="s">
        <v>349</v>
      </c>
      <c r="P174" s="5" t="s">
        <v>142</v>
      </c>
      <c r="Q174" s="5" t="s">
        <v>166</v>
      </c>
      <c r="S174" s="24">
        <v>6</v>
      </c>
      <c r="T174" s="24">
        <v>1</v>
      </c>
      <c r="U174" s="24">
        <v>1</v>
      </c>
      <c r="V174" s="24" t="str">
        <v>JAVIER GUSTVIN</v>
      </c>
      <c r="W174" s="24" t="str">
        <v>535220140</v>
      </c>
      <c r="X174" s="24" t="str">
        <v>Magang</v>
      </c>
      <c r="Y174" s="24" t="str">
        <v>Teny Handhayani, S.Kom., M.Kom., Ph.D.</v>
      </c>
      <c r="AE174">
        <v>7</v>
      </c>
      <c r="AF174">
        <v>2</v>
      </c>
      <c r="AG174">
        <v>4</v>
      </c>
      <c r="AH174" s="25">
        <f t="shared" si="14"/>
        <v>0</v>
      </c>
      <c r="AI174" s="32">
        <f t="shared" si="15"/>
        <v>0</v>
      </c>
    </row>
    <row r="175" spans="1:35" ht="15" x14ac:dyDescent="0.2">
      <c r="A175" s="8">
        <v>2</v>
      </c>
      <c r="B175" s="8">
        <v>3</v>
      </c>
      <c r="C175" s="8">
        <v>0</v>
      </c>
      <c r="D175" s="3">
        <v>825220161</v>
      </c>
      <c r="E175" s="3" t="s">
        <v>142</v>
      </c>
      <c r="F175" t="s">
        <v>153</v>
      </c>
      <c r="G175" s="25" cm="1">
        <f t="array" ref="G175">IF(AND(A175:C175=S175:U175),IF((F175=Y175),1,0),999)</f>
        <v>999</v>
      </c>
      <c r="K175" s="5">
        <v>4</v>
      </c>
      <c r="L175" s="5">
        <v>1</v>
      </c>
      <c r="M175" s="5">
        <v>1</v>
      </c>
      <c r="N175" s="5" t="s">
        <v>1061</v>
      </c>
      <c r="O175" s="5" t="s">
        <v>350</v>
      </c>
      <c r="P175" s="5" t="s">
        <v>142</v>
      </c>
      <c r="Q175" s="5" t="s">
        <v>166</v>
      </c>
      <c r="S175" s="24">
        <v>6</v>
      </c>
      <c r="T175" s="24">
        <v>1</v>
      </c>
      <c r="U175" s="24">
        <v>1</v>
      </c>
      <c r="V175" s="24" t="str">
        <v xml:space="preserve">SURYA DHARMA KANG </v>
      </c>
      <c r="W175" s="24" t="str">
        <v>535220148</v>
      </c>
      <c r="X175" s="24" t="str">
        <v>Magang</v>
      </c>
      <c r="Y175" s="24" t="str">
        <v>Teny Handhayani, S.Kom., M.Kom., Ph.D.</v>
      </c>
      <c r="AE175">
        <v>7</v>
      </c>
      <c r="AF175">
        <v>2</v>
      </c>
      <c r="AG175">
        <v>5</v>
      </c>
      <c r="AH175" s="25">
        <f t="shared" si="14"/>
        <v>0</v>
      </c>
      <c r="AI175" s="32">
        <f t="shared" si="15"/>
        <v>0</v>
      </c>
    </row>
    <row r="176" spans="1:35" ht="15" x14ac:dyDescent="0.2">
      <c r="A176" s="8">
        <v>2</v>
      </c>
      <c r="B176" s="8">
        <v>3</v>
      </c>
      <c r="C176" s="8">
        <v>0</v>
      </c>
      <c r="D176" s="4">
        <v>825220163</v>
      </c>
      <c r="E176" s="3" t="s">
        <v>142</v>
      </c>
      <c r="F176" t="s">
        <v>153</v>
      </c>
      <c r="G176" s="25" cm="1">
        <f t="array" ref="G176">IF(AND(A176:C176=S176:U176),IF((F176=Y176),1,0),999)</f>
        <v>999</v>
      </c>
      <c r="K176" s="5">
        <v>4</v>
      </c>
      <c r="L176" s="5">
        <v>1</v>
      </c>
      <c r="M176" s="5">
        <v>1</v>
      </c>
      <c r="N176" s="5" t="s">
        <v>1062</v>
      </c>
      <c r="O176" s="5" t="s">
        <v>351</v>
      </c>
      <c r="P176" s="5" t="s">
        <v>142</v>
      </c>
      <c r="Q176" s="5" t="s">
        <v>166</v>
      </c>
      <c r="S176" s="24">
        <v>6</v>
      </c>
      <c r="T176" s="24">
        <v>1</v>
      </c>
      <c r="U176" s="24">
        <v>1</v>
      </c>
      <c r="V176" s="24" t="str">
        <v>SASKIA LAVINSKY</v>
      </c>
      <c r="W176" s="24" t="str">
        <v>535220176</v>
      </c>
      <c r="X176" s="24" t="str">
        <v>Magang</v>
      </c>
      <c r="Y176" s="24" t="str">
        <v>Teny Handhayani, S.Kom., M.Kom., Ph.D.</v>
      </c>
      <c r="AE176">
        <v>7</v>
      </c>
      <c r="AF176">
        <v>2</v>
      </c>
      <c r="AG176">
        <v>6</v>
      </c>
      <c r="AH176" s="25">
        <f t="shared" si="14"/>
        <v>0</v>
      </c>
      <c r="AI176" s="32">
        <f t="shared" si="15"/>
        <v>0</v>
      </c>
    </row>
    <row r="177" spans="1:35" ht="15" x14ac:dyDescent="0.2">
      <c r="A177" s="8">
        <v>3</v>
      </c>
      <c r="B177" s="8">
        <v>3</v>
      </c>
      <c r="C177" s="8">
        <v>0</v>
      </c>
      <c r="D177" s="3">
        <v>825220164</v>
      </c>
      <c r="E177" s="3" t="s">
        <v>142</v>
      </c>
      <c r="F177" t="s">
        <v>153</v>
      </c>
      <c r="G177" s="25" cm="1">
        <f t="array" ref="G177">IF(AND(A177:C177=S177:U177),IF((F177=Y177),1,0),999)</f>
        <v>999</v>
      </c>
      <c r="K177" s="5">
        <v>4</v>
      </c>
      <c r="L177" s="5">
        <v>1</v>
      </c>
      <c r="M177" s="5">
        <v>2</v>
      </c>
      <c r="N177" s="5" t="s">
        <v>1063</v>
      </c>
      <c r="O177" s="5" t="s">
        <v>352</v>
      </c>
      <c r="P177" s="5" t="s">
        <v>142</v>
      </c>
      <c r="Q177" s="5" t="s">
        <v>167</v>
      </c>
      <c r="S177" s="24">
        <v>0</v>
      </c>
      <c r="T177" s="24">
        <v>1</v>
      </c>
      <c r="U177" s="24">
        <v>2</v>
      </c>
      <c r="V177" s="24" t="str">
        <v>CARIN GUNAWAN</v>
      </c>
      <c r="W177" s="24" t="str">
        <v>535220056</v>
      </c>
      <c r="X177" s="24" t="str">
        <v>Magang</v>
      </c>
      <c r="Y177" s="24" t="str">
        <v>Manatap Dolok Lauro, S.Kom., MMSI</v>
      </c>
    </row>
    <row r="178" spans="1:35" ht="15" x14ac:dyDescent="0.2">
      <c r="A178" s="8">
        <v>3</v>
      </c>
      <c r="B178" s="8">
        <v>3</v>
      </c>
      <c r="C178" s="8">
        <v>0</v>
      </c>
      <c r="D178" s="3">
        <v>825220068</v>
      </c>
      <c r="E178" s="3" t="s">
        <v>142</v>
      </c>
      <c r="F178" t="s">
        <v>153</v>
      </c>
      <c r="G178" s="25" cm="1">
        <f t="array" ref="G178">IF(AND(A178:C178=S178:U178),IF((F178=Y178),1,0),999)</f>
        <v>999</v>
      </c>
      <c r="K178" s="5">
        <v>4</v>
      </c>
      <c r="L178" s="5">
        <v>1</v>
      </c>
      <c r="M178" s="5">
        <v>2</v>
      </c>
      <c r="N178" s="5" t="s">
        <v>1064</v>
      </c>
      <c r="O178" s="5" t="s">
        <v>353</v>
      </c>
      <c r="P178" s="5" t="s">
        <v>142</v>
      </c>
      <c r="Q178" s="5" t="s">
        <v>167</v>
      </c>
      <c r="S178" s="24">
        <v>0</v>
      </c>
      <c r="T178" s="24">
        <v>1</v>
      </c>
      <c r="U178" s="24">
        <v>2</v>
      </c>
      <c r="V178" s="24" t="str">
        <v xml:space="preserve">STEVEN FLIANTO </v>
      </c>
      <c r="W178" s="24" t="str">
        <v>535220057</v>
      </c>
      <c r="X178" s="24" t="str">
        <v>Magang</v>
      </c>
      <c r="Y178" s="24" t="str">
        <v>Manatap Dolok Lauro, S.Kom., MMSI</v>
      </c>
      <c r="AE178" s="34">
        <v>8</v>
      </c>
      <c r="AF178">
        <v>0</v>
      </c>
      <c r="AG178">
        <v>0</v>
      </c>
      <c r="AH178" s="25">
        <f t="shared" ref="AH178:AH198" si="16">COUNTIFS(A:A,AG178,B:B,AE178,C:C,AF178)</f>
        <v>5</v>
      </c>
      <c r="AI178" s="32">
        <f t="shared" ref="AI178:AI198" si="17">COUNTIFS(S:S,AG178,T:T,AE178,U:U,AF178)</f>
        <v>0</v>
      </c>
    </row>
    <row r="179" spans="1:35" ht="15" x14ac:dyDescent="0.2">
      <c r="A179" s="8">
        <v>3</v>
      </c>
      <c r="B179" s="8">
        <v>3</v>
      </c>
      <c r="C179" s="8">
        <v>0</v>
      </c>
      <c r="D179" s="3">
        <v>825220071</v>
      </c>
      <c r="E179" s="3" t="s">
        <v>142</v>
      </c>
      <c r="F179" t="s">
        <v>153</v>
      </c>
      <c r="G179" s="25" cm="1">
        <f t="array" ref="G179">IF(AND(A179:C179=S179:U179),IF((F179=Y179),1,0),999)</f>
        <v>999</v>
      </c>
      <c r="K179" s="5">
        <v>4</v>
      </c>
      <c r="L179" s="5">
        <v>1</v>
      </c>
      <c r="M179" s="5">
        <v>2</v>
      </c>
      <c r="N179" s="5" t="s">
        <v>1065</v>
      </c>
      <c r="O179" s="5" t="s">
        <v>354</v>
      </c>
      <c r="P179" s="5" t="s">
        <v>142</v>
      </c>
      <c r="Q179" s="5" t="s">
        <v>167</v>
      </c>
      <c r="S179" s="24">
        <v>0</v>
      </c>
      <c r="T179" s="24">
        <v>1</v>
      </c>
      <c r="U179" s="24">
        <v>2</v>
      </c>
      <c r="V179" s="24" t="str">
        <v>FRANSISKUS DHARMA HADI WIJAYA</v>
      </c>
      <c r="W179" s="24" t="str">
        <v>535220106</v>
      </c>
      <c r="X179" s="24" t="str">
        <v>Magang</v>
      </c>
      <c r="Y179" s="24" t="str">
        <v>Manatap Dolok Lauro, S.Kom., MMSI</v>
      </c>
      <c r="AE179">
        <v>8</v>
      </c>
      <c r="AF179">
        <v>0</v>
      </c>
      <c r="AG179">
        <v>1</v>
      </c>
      <c r="AH179" s="25">
        <f t="shared" si="16"/>
        <v>5</v>
      </c>
      <c r="AI179" s="32">
        <f t="shared" si="17"/>
        <v>0</v>
      </c>
    </row>
    <row r="180" spans="1:35" ht="15" x14ac:dyDescent="0.2">
      <c r="A180" s="8">
        <v>3</v>
      </c>
      <c r="B180" s="8">
        <v>3</v>
      </c>
      <c r="C180" s="8">
        <v>0</v>
      </c>
      <c r="D180" s="3">
        <v>825220072</v>
      </c>
      <c r="E180" s="3" t="s">
        <v>142</v>
      </c>
      <c r="F180" t="s">
        <v>153</v>
      </c>
      <c r="G180" s="25" cm="1">
        <f t="array" ref="G180">IF(AND(A180:C180=S180:U180),IF((F180=Y180),1,0),999)</f>
        <v>999</v>
      </c>
      <c r="K180" s="5">
        <v>4</v>
      </c>
      <c r="L180" s="5">
        <v>1</v>
      </c>
      <c r="M180" s="5">
        <v>2</v>
      </c>
      <c r="N180" s="5" t="s">
        <v>1066</v>
      </c>
      <c r="O180" s="5" t="s">
        <v>355</v>
      </c>
      <c r="P180" s="5" t="s">
        <v>142</v>
      </c>
      <c r="Q180" s="5" t="s">
        <v>167</v>
      </c>
      <c r="S180" s="24">
        <v>0</v>
      </c>
      <c r="T180" s="24">
        <v>1</v>
      </c>
      <c r="U180" s="24">
        <v>2</v>
      </c>
      <c r="V180" s="24" t="str">
        <v>ANGELINE SHEVENIA</v>
      </c>
      <c r="W180" s="24" t="str">
        <v>535220108</v>
      </c>
      <c r="X180" s="24" t="str">
        <v>Magang</v>
      </c>
      <c r="Y180" s="24" t="str">
        <v>Manatap Dolok Lauro, S.Kom., MMSI</v>
      </c>
      <c r="AE180">
        <v>8</v>
      </c>
      <c r="AF180">
        <v>0</v>
      </c>
      <c r="AG180">
        <v>2</v>
      </c>
      <c r="AH180" s="25">
        <f t="shared" si="16"/>
        <v>5</v>
      </c>
      <c r="AI180" s="32">
        <f t="shared" si="17"/>
        <v>0</v>
      </c>
    </row>
    <row r="181" spans="1:35" ht="15" x14ac:dyDescent="0.2">
      <c r="A181" s="8">
        <v>3</v>
      </c>
      <c r="B181" s="8">
        <v>3</v>
      </c>
      <c r="C181" s="8">
        <v>0</v>
      </c>
      <c r="D181" s="3">
        <v>825220073</v>
      </c>
      <c r="E181" s="3" t="s">
        <v>142</v>
      </c>
      <c r="F181" t="s">
        <v>153</v>
      </c>
      <c r="G181" s="25" cm="1">
        <f t="array" ref="G181">IF(AND(A181:C181=S181:U181),IF((F181=Y181),1,0),999)</f>
        <v>999</v>
      </c>
      <c r="K181" s="5">
        <v>4</v>
      </c>
      <c r="L181" s="5">
        <v>1</v>
      </c>
      <c r="M181" s="5">
        <v>2</v>
      </c>
      <c r="N181" s="5" t="s">
        <v>1067</v>
      </c>
      <c r="O181" s="5" t="s">
        <v>356</v>
      </c>
      <c r="P181" s="5" t="s">
        <v>142</v>
      </c>
      <c r="Q181" s="5" t="s">
        <v>167</v>
      </c>
      <c r="S181" s="24">
        <v>0</v>
      </c>
      <c r="T181" s="24">
        <v>1</v>
      </c>
      <c r="U181" s="24">
        <v>2</v>
      </c>
      <c r="V181" s="24" t="str">
        <v>LEVINA GRACE EVANGELINE</v>
      </c>
      <c r="W181" s="24" t="str">
        <v>535220109</v>
      </c>
      <c r="X181" s="24" t="str">
        <v>Magang</v>
      </c>
      <c r="Y181" s="24" t="str">
        <v>Manatap Dolok Lauro, S.Kom., MMSI</v>
      </c>
      <c r="AE181">
        <v>8</v>
      </c>
      <c r="AF181">
        <v>0</v>
      </c>
      <c r="AG181">
        <v>3</v>
      </c>
      <c r="AH181" s="25">
        <f t="shared" si="16"/>
        <v>5</v>
      </c>
      <c r="AI181" s="32">
        <f t="shared" si="17"/>
        <v>0</v>
      </c>
    </row>
    <row r="182" spans="1:35" ht="15" x14ac:dyDescent="0.2">
      <c r="A182" s="8">
        <v>4</v>
      </c>
      <c r="B182" s="8">
        <v>3</v>
      </c>
      <c r="C182" s="8">
        <v>0</v>
      </c>
      <c r="D182" s="3">
        <v>535220002</v>
      </c>
      <c r="E182" s="3" t="s">
        <v>142</v>
      </c>
      <c r="F182" t="s">
        <v>170</v>
      </c>
      <c r="G182" s="25" cm="1">
        <f t="array" ref="G182">IF(AND(A182:C182=S182:U182),IF((F182=Y182),1,0),999)</f>
        <v>999</v>
      </c>
      <c r="K182" s="5">
        <v>5</v>
      </c>
      <c r="L182" s="5">
        <v>1</v>
      </c>
      <c r="M182" s="5">
        <v>0</v>
      </c>
      <c r="N182" s="5" t="s">
        <v>1068</v>
      </c>
      <c r="O182" s="5" t="s">
        <v>357</v>
      </c>
      <c r="P182" s="5" t="s">
        <v>143</v>
      </c>
      <c r="Q182" s="5" t="s">
        <v>165</v>
      </c>
      <c r="S182" s="24">
        <v>1</v>
      </c>
      <c r="T182" s="24">
        <v>1</v>
      </c>
      <c r="U182" s="24">
        <v>2</v>
      </c>
      <c r="V182" s="24" t="str">
        <v>RAYNALDO GRACIA BUNTORO</v>
      </c>
      <c r="W182" s="24" t="str">
        <v>535220162</v>
      </c>
      <c r="X182" s="24" t="str">
        <v>Magang</v>
      </c>
      <c r="Y182" s="24" t="str">
        <v>Manatap Dolok Lauro, S.Kom., MMSI</v>
      </c>
      <c r="AE182">
        <v>8</v>
      </c>
      <c r="AF182">
        <v>0</v>
      </c>
      <c r="AG182">
        <v>4</v>
      </c>
      <c r="AH182" s="25">
        <f t="shared" si="16"/>
        <v>5</v>
      </c>
      <c r="AI182" s="32">
        <f t="shared" si="17"/>
        <v>0</v>
      </c>
    </row>
    <row r="183" spans="1:35" ht="15" x14ac:dyDescent="0.2">
      <c r="A183" s="8">
        <v>4</v>
      </c>
      <c r="B183" s="8">
        <v>3</v>
      </c>
      <c r="C183" s="8">
        <v>0</v>
      </c>
      <c r="D183" s="3">
        <v>535220004</v>
      </c>
      <c r="E183" s="3" t="s">
        <v>142</v>
      </c>
      <c r="F183" t="s">
        <v>170</v>
      </c>
      <c r="G183" s="25" cm="1">
        <f t="array" ref="G183">IF(AND(A183:C183=S183:U183),IF((F183=Y183),1,0),999)</f>
        <v>999</v>
      </c>
      <c r="K183" s="5">
        <v>5</v>
      </c>
      <c r="L183" s="5">
        <v>1</v>
      </c>
      <c r="M183" s="5">
        <v>0</v>
      </c>
      <c r="N183" s="5" t="s">
        <v>1069</v>
      </c>
      <c r="O183" s="5" t="s">
        <v>358</v>
      </c>
      <c r="P183" s="5" t="s">
        <v>143</v>
      </c>
      <c r="Q183" s="5" t="s">
        <v>165</v>
      </c>
      <c r="S183" s="24">
        <v>1</v>
      </c>
      <c r="T183" s="24">
        <v>1</v>
      </c>
      <c r="U183" s="24">
        <v>2</v>
      </c>
      <c r="V183" s="24" t="str">
        <v>CHRISTABELLA JOCELYNNE CHANDRA</v>
      </c>
      <c r="W183" s="24" t="str">
        <v>535220166</v>
      </c>
      <c r="X183" s="24" t="str">
        <v>Magang</v>
      </c>
      <c r="Y183" s="24" t="str">
        <v>Manatap Dolok Lauro, S.Kom., MMSI</v>
      </c>
      <c r="AE183">
        <v>8</v>
      </c>
      <c r="AF183">
        <v>0</v>
      </c>
      <c r="AG183">
        <v>5</v>
      </c>
      <c r="AH183" s="25">
        <f t="shared" si="16"/>
        <v>5</v>
      </c>
      <c r="AI183" s="32">
        <f t="shared" si="17"/>
        <v>0</v>
      </c>
    </row>
    <row r="184" spans="1:35" ht="15" x14ac:dyDescent="0.2">
      <c r="A184" s="8">
        <v>4</v>
      </c>
      <c r="B184" s="8">
        <v>3</v>
      </c>
      <c r="C184" s="8">
        <v>0</v>
      </c>
      <c r="D184" s="3">
        <v>535220027</v>
      </c>
      <c r="E184" s="3" t="s">
        <v>142</v>
      </c>
      <c r="F184" t="s">
        <v>170</v>
      </c>
      <c r="G184" s="25" cm="1">
        <f t="array" ref="G184">IF(AND(A184:C184=S184:U184),IF((F184=Y184),1,0),999)</f>
        <v>999</v>
      </c>
      <c r="K184" s="5">
        <v>5</v>
      </c>
      <c r="L184" s="5">
        <v>1</v>
      </c>
      <c r="M184" s="5">
        <v>0</v>
      </c>
      <c r="N184" s="5" t="s">
        <v>1070</v>
      </c>
      <c r="O184" s="5" t="s">
        <v>359</v>
      </c>
      <c r="P184" s="5" t="s">
        <v>145</v>
      </c>
      <c r="Q184" s="5" t="s">
        <v>165</v>
      </c>
      <c r="S184" s="24">
        <v>1</v>
      </c>
      <c r="T184" s="24">
        <v>1</v>
      </c>
      <c r="U184" s="24">
        <v>2</v>
      </c>
      <c r="V184" s="24" t="str">
        <v>ANGELA CHOW</v>
      </c>
      <c r="W184" s="24" t="str">
        <v>535220170</v>
      </c>
      <c r="X184" s="24" t="str">
        <v>Magang</v>
      </c>
      <c r="Y184" s="24" t="str">
        <v>Manatap Dolok Lauro, S.Kom., MMSI</v>
      </c>
      <c r="AE184">
        <v>8</v>
      </c>
      <c r="AF184">
        <v>0</v>
      </c>
      <c r="AG184">
        <v>6</v>
      </c>
      <c r="AH184" s="25">
        <f t="shared" si="16"/>
        <v>0</v>
      </c>
      <c r="AI184" s="32">
        <f t="shared" si="17"/>
        <v>0</v>
      </c>
    </row>
    <row r="185" spans="1:35" ht="15" x14ac:dyDescent="0.2">
      <c r="A185" s="8">
        <v>4</v>
      </c>
      <c r="B185" s="8">
        <v>3</v>
      </c>
      <c r="C185" s="8">
        <v>0</v>
      </c>
      <c r="D185" s="3">
        <v>535220030</v>
      </c>
      <c r="E185" s="3" t="s">
        <v>142</v>
      </c>
      <c r="F185" t="s">
        <v>170</v>
      </c>
      <c r="G185" s="25" cm="1">
        <f t="array" ref="G185">IF(AND(A185:C185=S185:U185),IF((F185=Y185),1,0),999)</f>
        <v>999</v>
      </c>
      <c r="K185" s="5">
        <v>5</v>
      </c>
      <c r="L185" s="5">
        <v>1</v>
      </c>
      <c r="M185" s="5">
        <v>0</v>
      </c>
      <c r="N185" s="5" t="s">
        <v>1071</v>
      </c>
      <c r="O185" s="5" t="s">
        <v>360</v>
      </c>
      <c r="P185" s="5" t="s">
        <v>145</v>
      </c>
      <c r="Q185" s="5" t="s">
        <v>165</v>
      </c>
      <c r="S185" s="24">
        <v>1</v>
      </c>
      <c r="T185" s="24">
        <v>1</v>
      </c>
      <c r="U185" s="24">
        <v>2</v>
      </c>
      <c r="V185" s="24" t="str">
        <v>DIMAS SAPUTRA</v>
      </c>
      <c r="W185" s="24" t="str">
        <v>535220145</v>
      </c>
      <c r="X185" s="24" t="str">
        <v>Wirausaha</v>
      </c>
      <c r="Y185" s="24" t="str">
        <v>Manatap Dolok Lauro, S.Kom., MMSI</v>
      </c>
      <c r="AE185">
        <v>8</v>
      </c>
      <c r="AF185">
        <v>1</v>
      </c>
      <c r="AG185">
        <v>0</v>
      </c>
      <c r="AH185" s="25">
        <f t="shared" si="16"/>
        <v>0</v>
      </c>
      <c r="AI185" s="32">
        <f t="shared" si="17"/>
        <v>0</v>
      </c>
    </row>
    <row r="186" spans="1:35" ht="15" x14ac:dyDescent="0.2">
      <c r="A186" s="8">
        <v>4</v>
      </c>
      <c r="B186" s="8">
        <v>3</v>
      </c>
      <c r="C186" s="8">
        <v>0</v>
      </c>
      <c r="D186" s="3">
        <v>535220038</v>
      </c>
      <c r="E186" s="3" t="s">
        <v>142</v>
      </c>
      <c r="F186" t="s">
        <v>170</v>
      </c>
      <c r="G186" s="25" cm="1">
        <f t="array" ref="G186">IF(AND(A186:C186=S186:U186),IF((F186=Y186),1,0),999)</f>
        <v>999</v>
      </c>
      <c r="K186" s="5">
        <v>5</v>
      </c>
      <c r="L186" s="5">
        <v>1</v>
      </c>
      <c r="M186" s="5">
        <v>0</v>
      </c>
      <c r="N186" s="5" t="s">
        <v>1072</v>
      </c>
      <c r="O186" s="5" t="s">
        <v>361</v>
      </c>
      <c r="P186" s="5" t="s">
        <v>145</v>
      </c>
      <c r="Q186" s="5" t="s">
        <v>165</v>
      </c>
      <c r="S186" s="24">
        <v>1</v>
      </c>
      <c r="T186" s="24">
        <v>1</v>
      </c>
      <c r="U186" s="24">
        <v>2</v>
      </c>
      <c r="V186" s="24" t="str">
        <v>FARHAN ADHI WIDIARSONO</v>
      </c>
      <c r="W186" s="24" t="str">
        <v>535220228</v>
      </c>
      <c r="X186" s="24" t="str">
        <v>Wirausaha</v>
      </c>
      <c r="Y186" s="24" t="str">
        <v>Manatap Dolok Lauro, S.Kom., MMSI</v>
      </c>
      <c r="AE186">
        <v>8</v>
      </c>
      <c r="AF186">
        <v>1</v>
      </c>
      <c r="AG186">
        <v>1</v>
      </c>
      <c r="AH186" s="25">
        <f t="shared" si="16"/>
        <v>0</v>
      </c>
      <c r="AI186" s="32">
        <f t="shared" si="17"/>
        <v>0</v>
      </c>
    </row>
    <row r="187" spans="1:35" ht="15" x14ac:dyDescent="0.2">
      <c r="A187" s="8">
        <v>5</v>
      </c>
      <c r="B187" s="8">
        <v>3</v>
      </c>
      <c r="C187" s="8">
        <v>0</v>
      </c>
      <c r="D187" s="3">
        <v>535220053</v>
      </c>
      <c r="E187" s="3" t="s">
        <v>143</v>
      </c>
      <c r="F187" t="s">
        <v>170</v>
      </c>
      <c r="G187" s="25" cm="1">
        <f t="array" ref="G187">IF(AND(A187:C187=S187:U187),IF((F187=Y187),1,0),999)</f>
        <v>999</v>
      </c>
      <c r="K187" s="5">
        <v>5</v>
      </c>
      <c r="L187" s="5">
        <v>1</v>
      </c>
      <c r="M187" s="5">
        <v>1</v>
      </c>
      <c r="N187" s="5" t="s">
        <v>1073</v>
      </c>
      <c r="O187" s="5" t="s">
        <v>362</v>
      </c>
      <c r="P187" s="5" t="s">
        <v>142</v>
      </c>
      <c r="Q187" s="5" t="s">
        <v>166</v>
      </c>
      <c r="S187" s="24">
        <v>2</v>
      </c>
      <c r="T187" s="24">
        <v>1</v>
      </c>
      <c r="U187" s="24">
        <v>2</v>
      </c>
      <c r="V187" s="24" t="str">
        <v>MARCIA YANPRINCESSA UTAMA</v>
      </c>
      <c r="W187" s="24" t="str">
        <v>535220044</v>
      </c>
      <c r="X187" s="24" t="str">
        <v>Magang</v>
      </c>
      <c r="Y187" s="24" t="str">
        <v>Dra. Chairisni Lubis, M.Kom.</v>
      </c>
      <c r="AE187">
        <v>8</v>
      </c>
      <c r="AF187">
        <v>1</v>
      </c>
      <c r="AG187">
        <v>2</v>
      </c>
      <c r="AH187" s="25">
        <f t="shared" si="16"/>
        <v>0</v>
      </c>
      <c r="AI187" s="32">
        <f t="shared" si="17"/>
        <v>0</v>
      </c>
    </row>
    <row r="188" spans="1:35" ht="15" x14ac:dyDescent="0.2">
      <c r="A188" s="8">
        <v>5</v>
      </c>
      <c r="B188" s="8">
        <v>3</v>
      </c>
      <c r="C188" s="8">
        <v>0</v>
      </c>
      <c r="D188" s="3">
        <v>535220024</v>
      </c>
      <c r="E188" s="3" t="s">
        <v>143</v>
      </c>
      <c r="F188" t="s">
        <v>166</v>
      </c>
      <c r="G188" s="25" cm="1">
        <f t="array" ref="G188">IF(AND(A188:C188=S188:U188),IF((F188=Y188),1,0),999)</f>
        <v>999</v>
      </c>
      <c r="K188" s="5">
        <v>5</v>
      </c>
      <c r="L188" s="5">
        <v>1</v>
      </c>
      <c r="M188" s="5">
        <v>1</v>
      </c>
      <c r="N188" s="5" t="s">
        <v>1074</v>
      </c>
      <c r="O188" s="5" t="s">
        <v>363</v>
      </c>
      <c r="P188" s="5" t="s">
        <v>142</v>
      </c>
      <c r="Q188" s="5" t="s">
        <v>166</v>
      </c>
      <c r="S188" s="24">
        <v>2</v>
      </c>
      <c r="T188" s="24">
        <v>1</v>
      </c>
      <c r="U188" s="24">
        <v>2</v>
      </c>
      <c r="V188" s="24" t="str">
        <v>VINCENT CALISTA</v>
      </c>
      <c r="W188" s="24" t="str">
        <v>535220075</v>
      </c>
      <c r="X188" s="24" t="str">
        <v>Magang</v>
      </c>
      <c r="Y188" s="24" t="str">
        <v>Dra. Chairisni Lubis, M.Kom.</v>
      </c>
      <c r="AE188">
        <v>8</v>
      </c>
      <c r="AF188">
        <v>1</v>
      </c>
      <c r="AG188">
        <v>3</v>
      </c>
      <c r="AH188" s="25">
        <f t="shared" si="16"/>
        <v>0</v>
      </c>
      <c r="AI188" s="32">
        <f t="shared" si="17"/>
        <v>0</v>
      </c>
    </row>
    <row r="189" spans="1:35" ht="15" x14ac:dyDescent="0.2">
      <c r="A189" s="8">
        <v>5</v>
      </c>
      <c r="B189" s="8">
        <v>3</v>
      </c>
      <c r="C189" s="8">
        <v>0</v>
      </c>
      <c r="D189" s="3">
        <v>535220175</v>
      </c>
      <c r="E189" s="3" t="s">
        <v>143</v>
      </c>
      <c r="F189" t="s">
        <v>166</v>
      </c>
      <c r="G189" s="25" cm="1">
        <f t="array" ref="G189">IF(AND(A189:C189=S189:U189),IF((F189=Y189),1,0),999)</f>
        <v>999</v>
      </c>
      <c r="K189" s="5">
        <v>5</v>
      </c>
      <c r="L189" s="5">
        <v>1</v>
      </c>
      <c r="M189" s="5">
        <v>1</v>
      </c>
      <c r="N189" s="5" t="s">
        <v>1075</v>
      </c>
      <c r="O189" s="5" t="s">
        <v>364</v>
      </c>
      <c r="P189" s="5" t="s">
        <v>142</v>
      </c>
      <c r="Q189" s="5" t="s">
        <v>166</v>
      </c>
      <c r="S189" s="24">
        <v>2</v>
      </c>
      <c r="T189" s="24">
        <v>1</v>
      </c>
      <c r="U189" s="24">
        <v>2</v>
      </c>
      <c r="V189" s="24" t="str">
        <v>GEORGE WIELIANTO</v>
      </c>
      <c r="W189" s="24" t="str">
        <v>535220090</v>
      </c>
      <c r="X189" s="24" t="str">
        <v>Magang</v>
      </c>
      <c r="Y189" s="24" t="str">
        <v>Dra. Chairisni Lubis, M.Kom.</v>
      </c>
      <c r="AE189">
        <v>8</v>
      </c>
      <c r="AF189">
        <v>1</v>
      </c>
      <c r="AG189">
        <v>4</v>
      </c>
      <c r="AH189" s="25">
        <f t="shared" si="16"/>
        <v>0</v>
      </c>
      <c r="AI189" s="32">
        <f t="shared" si="17"/>
        <v>0</v>
      </c>
    </row>
    <row r="190" spans="1:35" ht="15" x14ac:dyDescent="0.2">
      <c r="A190" s="8">
        <v>5</v>
      </c>
      <c r="B190" s="8">
        <v>3</v>
      </c>
      <c r="C190" s="8">
        <v>0</v>
      </c>
      <c r="D190" s="3">
        <v>535220212</v>
      </c>
      <c r="E190" s="3" t="s">
        <v>143</v>
      </c>
      <c r="F190" t="s">
        <v>166</v>
      </c>
      <c r="G190" s="25" cm="1">
        <f t="array" ref="G190">IF(AND(A190:C190=S190:U190),IF((F190=Y190),1,0),999)</f>
        <v>999</v>
      </c>
      <c r="K190" s="5">
        <v>5</v>
      </c>
      <c r="L190" s="5">
        <v>1</v>
      </c>
      <c r="M190" s="5">
        <v>1</v>
      </c>
      <c r="N190" s="5" t="s">
        <v>1076</v>
      </c>
      <c r="O190" s="5" t="s">
        <v>365</v>
      </c>
      <c r="P190" s="5" t="s">
        <v>143</v>
      </c>
      <c r="Q190" s="5" t="s">
        <v>166</v>
      </c>
      <c r="S190" s="24">
        <v>2</v>
      </c>
      <c r="T190" s="24">
        <v>1</v>
      </c>
      <c r="U190" s="24">
        <v>2</v>
      </c>
      <c r="V190" s="24" t="str">
        <v>MILSON FELICIANO</v>
      </c>
      <c r="W190" s="24" t="str">
        <v>535220093</v>
      </c>
      <c r="X190" s="24" t="str">
        <v>Magang</v>
      </c>
      <c r="Y190" s="24" t="str">
        <v>Dra. Chairisni Lubis, M.Kom.</v>
      </c>
      <c r="AE190">
        <v>8</v>
      </c>
      <c r="AF190">
        <v>1</v>
      </c>
      <c r="AG190">
        <v>5</v>
      </c>
      <c r="AH190" s="25">
        <f t="shared" si="16"/>
        <v>0</v>
      </c>
      <c r="AI190" s="32">
        <f t="shared" si="17"/>
        <v>0</v>
      </c>
    </row>
    <row r="191" spans="1:35" ht="15" x14ac:dyDescent="0.2">
      <c r="A191" s="8">
        <v>5</v>
      </c>
      <c r="B191" s="8">
        <v>3</v>
      </c>
      <c r="C191" s="8">
        <v>0</v>
      </c>
      <c r="D191" s="3">
        <v>535220045</v>
      </c>
      <c r="E191" s="3" t="s">
        <v>143</v>
      </c>
      <c r="F191" t="s">
        <v>166</v>
      </c>
      <c r="G191" s="25" cm="1">
        <f t="array" ref="G191">IF(AND(A191:C191=S191:U191),IF((F191=Y191),1,0),999)</f>
        <v>999</v>
      </c>
      <c r="K191" s="5">
        <v>5</v>
      </c>
      <c r="L191" s="5">
        <v>1</v>
      </c>
      <c r="M191" s="5">
        <v>1</v>
      </c>
      <c r="N191" s="5" t="s">
        <v>1077</v>
      </c>
      <c r="O191" s="5" t="s">
        <v>366</v>
      </c>
      <c r="P191" s="5" t="s">
        <v>143</v>
      </c>
      <c r="Q191" s="5" t="s">
        <v>166</v>
      </c>
      <c r="S191" s="24">
        <v>2</v>
      </c>
      <c r="T191" s="24">
        <v>1</v>
      </c>
      <c r="U191" s="24">
        <v>2</v>
      </c>
      <c r="V191" s="24" t="str">
        <v>NATHANIEL ERVIN JAHJA</v>
      </c>
      <c r="W191" s="24" t="str">
        <v>535220095</v>
      </c>
      <c r="X191" s="24" t="str">
        <v>Magang</v>
      </c>
      <c r="Y191" s="24" t="str">
        <v>Dra. Chairisni Lubis, M.Kom.</v>
      </c>
      <c r="AE191">
        <v>8</v>
      </c>
      <c r="AF191">
        <v>1</v>
      </c>
      <c r="AG191">
        <v>6</v>
      </c>
      <c r="AH191" s="25">
        <f t="shared" si="16"/>
        <v>0</v>
      </c>
      <c r="AI191" s="32">
        <f t="shared" si="17"/>
        <v>0</v>
      </c>
    </row>
    <row r="192" spans="1:35" ht="15" x14ac:dyDescent="0.2">
      <c r="A192" s="8">
        <v>6</v>
      </c>
      <c r="B192" s="8">
        <v>3</v>
      </c>
      <c r="C192" s="8">
        <v>0</v>
      </c>
      <c r="D192" s="3">
        <v>535220077</v>
      </c>
      <c r="E192" s="3" t="s">
        <v>142</v>
      </c>
      <c r="F192" t="s">
        <v>170</v>
      </c>
      <c r="G192" s="25" cm="1">
        <f t="array" ref="G192">IF(AND(A192:C192=S192:U192),IF((F192=Y192),1,0),999)</f>
        <v>999</v>
      </c>
      <c r="K192" s="5">
        <v>5</v>
      </c>
      <c r="L192" s="5">
        <v>1</v>
      </c>
      <c r="M192" s="5">
        <v>2</v>
      </c>
      <c r="N192" s="5" t="s">
        <v>1078</v>
      </c>
      <c r="O192" s="5" t="s">
        <v>367</v>
      </c>
      <c r="P192" s="5" t="s">
        <v>142</v>
      </c>
      <c r="Q192" s="5" t="s">
        <v>167</v>
      </c>
      <c r="S192" s="24">
        <v>3</v>
      </c>
      <c r="T192" s="24">
        <v>1</v>
      </c>
      <c r="U192" s="24">
        <v>2</v>
      </c>
      <c r="V192" s="24" t="str">
        <v xml:space="preserve">MARCHELLA ANGELINA </v>
      </c>
      <c r="W192" s="24" t="str">
        <v>535220001</v>
      </c>
      <c r="X192" s="24" t="str">
        <v>Magang</v>
      </c>
      <c r="Y192" s="24" t="str">
        <v>Lely Hiryanto, ST, M.Sc., Ph.D</v>
      </c>
      <c r="AE192">
        <v>8</v>
      </c>
      <c r="AF192">
        <v>2</v>
      </c>
      <c r="AG192">
        <v>0</v>
      </c>
      <c r="AH192" s="25">
        <f t="shared" si="16"/>
        <v>0</v>
      </c>
      <c r="AI192" s="32">
        <f t="shared" si="17"/>
        <v>0</v>
      </c>
    </row>
    <row r="193" spans="1:35" ht="15" x14ac:dyDescent="0.2">
      <c r="A193" s="8">
        <v>6</v>
      </c>
      <c r="B193" s="8">
        <v>3</v>
      </c>
      <c r="C193" s="8">
        <v>0</v>
      </c>
      <c r="D193" s="3">
        <v>535220084</v>
      </c>
      <c r="E193" s="3" t="s">
        <v>142</v>
      </c>
      <c r="F193" t="s">
        <v>170</v>
      </c>
      <c r="G193" s="25" cm="1">
        <f t="array" ref="G193">IF(AND(A193:C193=S193:U193),IF((F193=Y193),1,0),999)</f>
        <v>999</v>
      </c>
      <c r="K193" s="5">
        <v>5</v>
      </c>
      <c r="L193" s="5">
        <v>1</v>
      </c>
      <c r="M193" s="5">
        <v>2</v>
      </c>
      <c r="N193" s="5" t="s">
        <v>1079</v>
      </c>
      <c r="O193" s="5" t="s">
        <v>368</v>
      </c>
      <c r="P193" s="5" t="s">
        <v>142</v>
      </c>
      <c r="Q193" s="5" t="s">
        <v>167</v>
      </c>
      <c r="S193" s="24">
        <v>3</v>
      </c>
      <c r="T193" s="24">
        <v>1</v>
      </c>
      <c r="U193" s="24">
        <v>2</v>
      </c>
      <c r="V193" s="24" t="str">
        <v>WILLSEN YOGI PRASETIA</v>
      </c>
      <c r="W193" s="24" t="str">
        <v>535220010</v>
      </c>
      <c r="X193" s="24" t="str">
        <v>Magang</v>
      </c>
      <c r="Y193" s="24" t="str">
        <v>Lely Hiryanto, ST, M.Sc., Ph.D</v>
      </c>
      <c r="AE193">
        <v>8</v>
      </c>
      <c r="AF193">
        <v>2</v>
      </c>
      <c r="AG193">
        <v>1</v>
      </c>
      <c r="AH193" s="25">
        <f t="shared" si="16"/>
        <v>0</v>
      </c>
      <c r="AI193" s="32">
        <f t="shared" si="17"/>
        <v>0</v>
      </c>
    </row>
    <row r="194" spans="1:35" ht="15" x14ac:dyDescent="0.2">
      <c r="A194" s="8">
        <v>6</v>
      </c>
      <c r="B194" s="8">
        <v>3</v>
      </c>
      <c r="C194" s="8">
        <v>0</v>
      </c>
      <c r="D194" s="3">
        <v>535220034</v>
      </c>
      <c r="E194" s="3" t="s">
        <v>142</v>
      </c>
      <c r="F194" t="s">
        <v>167</v>
      </c>
      <c r="G194" s="25" cm="1">
        <f t="array" ref="G194">IF(AND(A194:C194=S194:U194),IF((F194=Y194),1,0),999)</f>
        <v>999</v>
      </c>
      <c r="K194" s="5">
        <v>5</v>
      </c>
      <c r="L194" s="5">
        <v>1</v>
      </c>
      <c r="M194" s="5">
        <v>2</v>
      </c>
      <c r="N194" s="5" t="s">
        <v>1080</v>
      </c>
      <c r="O194" s="5" t="s">
        <v>369</v>
      </c>
      <c r="P194" s="5" t="s">
        <v>142</v>
      </c>
      <c r="Q194" s="5" t="s">
        <v>167</v>
      </c>
      <c r="S194" s="24">
        <v>3</v>
      </c>
      <c r="T194" s="24">
        <v>1</v>
      </c>
      <c r="U194" s="24">
        <v>2</v>
      </c>
      <c r="V194" s="24" t="str">
        <v>JUSTIN SALIM</v>
      </c>
      <c r="W194" s="24" t="str">
        <v>535220017</v>
      </c>
      <c r="X194" s="24" t="str">
        <v>Magang</v>
      </c>
      <c r="Y194" s="24" t="str">
        <v>Lely Hiryanto, ST, M.Sc., Ph.D</v>
      </c>
      <c r="AE194">
        <v>8</v>
      </c>
      <c r="AF194">
        <v>2</v>
      </c>
      <c r="AG194">
        <v>2</v>
      </c>
      <c r="AH194" s="25">
        <f t="shared" si="16"/>
        <v>0</v>
      </c>
      <c r="AI194" s="32">
        <f t="shared" si="17"/>
        <v>0</v>
      </c>
    </row>
    <row r="195" spans="1:35" ht="15" x14ac:dyDescent="0.2">
      <c r="A195" s="8">
        <v>6</v>
      </c>
      <c r="B195" s="8">
        <v>3</v>
      </c>
      <c r="C195" s="8">
        <v>0</v>
      </c>
      <c r="D195" s="3">
        <v>535220035</v>
      </c>
      <c r="E195" s="3" t="s">
        <v>142</v>
      </c>
      <c r="F195" t="s">
        <v>167</v>
      </c>
      <c r="G195" s="25" cm="1">
        <f t="array" ref="G195">IF(AND(A195:C195=S195:U195),IF((F195=Y195),1,0),999)</f>
        <v>999</v>
      </c>
      <c r="K195" s="5">
        <v>5</v>
      </c>
      <c r="L195" s="5">
        <v>1</v>
      </c>
      <c r="M195" s="5">
        <v>2</v>
      </c>
      <c r="N195" s="5" t="s">
        <v>1081</v>
      </c>
      <c r="O195" s="5" t="s">
        <v>370</v>
      </c>
      <c r="P195" s="5" t="s">
        <v>142</v>
      </c>
      <c r="Q195" s="5" t="s">
        <v>167</v>
      </c>
      <c r="S195" s="24">
        <v>3</v>
      </c>
      <c r="T195" s="24">
        <v>1</v>
      </c>
      <c r="U195" s="24">
        <v>2</v>
      </c>
      <c r="V195" s="24" t="str">
        <v>SEAN HENRY WIJAYA</v>
      </c>
      <c r="W195" s="24" t="str">
        <v>535220019</v>
      </c>
      <c r="X195" s="24" t="str">
        <v>Magang</v>
      </c>
      <c r="Y195" s="24" t="str">
        <v>Lely Hiryanto, ST, M.Sc., Ph.D</v>
      </c>
      <c r="AE195">
        <v>8</v>
      </c>
      <c r="AF195">
        <v>2</v>
      </c>
      <c r="AG195">
        <v>3</v>
      </c>
      <c r="AH195" s="25">
        <f t="shared" si="16"/>
        <v>0</v>
      </c>
      <c r="AI195" s="32">
        <f t="shared" si="17"/>
        <v>0</v>
      </c>
    </row>
    <row r="196" spans="1:35" ht="15" x14ac:dyDescent="0.2">
      <c r="A196" s="8">
        <v>6</v>
      </c>
      <c r="B196" s="8">
        <v>3</v>
      </c>
      <c r="C196" s="8">
        <v>0</v>
      </c>
      <c r="D196" s="3">
        <v>535220128</v>
      </c>
      <c r="E196" s="3" t="s">
        <v>142</v>
      </c>
      <c r="F196" t="s">
        <v>166</v>
      </c>
      <c r="G196" s="25" cm="1">
        <f t="array" ref="G196">IF(AND(A196:C196=S196:U196),IF((F196=Y196),1,0),999)</f>
        <v>999</v>
      </c>
      <c r="K196" s="5">
        <v>5</v>
      </c>
      <c r="L196" s="5">
        <v>1</v>
      </c>
      <c r="M196" s="5">
        <v>2</v>
      </c>
      <c r="N196" s="5" t="s">
        <v>1082</v>
      </c>
      <c r="O196" s="5" t="s">
        <v>371</v>
      </c>
      <c r="P196" s="5" t="s">
        <v>142</v>
      </c>
      <c r="Q196" s="5" t="s">
        <v>167</v>
      </c>
      <c r="S196" s="24">
        <v>3</v>
      </c>
      <c r="T196" s="24">
        <v>1</v>
      </c>
      <c r="U196" s="24">
        <v>2</v>
      </c>
      <c r="V196" s="24" t="str">
        <v>HEZEKIAH IVANDI</v>
      </c>
      <c r="W196" s="24" t="str">
        <v>535220039</v>
      </c>
      <c r="X196" s="24" t="str">
        <v>Magang</v>
      </c>
      <c r="Y196" s="24" t="str">
        <v>Lely Hiryanto, ST, M.Sc., Ph.D</v>
      </c>
      <c r="AE196">
        <v>8</v>
      </c>
      <c r="AF196">
        <v>2</v>
      </c>
      <c r="AG196">
        <v>4</v>
      </c>
      <c r="AH196" s="25">
        <f t="shared" si="16"/>
        <v>0</v>
      </c>
      <c r="AI196" s="32">
        <f t="shared" si="17"/>
        <v>0</v>
      </c>
    </row>
    <row r="197" spans="1:35" ht="15" x14ac:dyDescent="0.2">
      <c r="A197" s="8">
        <v>0</v>
      </c>
      <c r="B197" s="8">
        <v>6</v>
      </c>
      <c r="C197" s="8">
        <v>0</v>
      </c>
      <c r="D197" s="3">
        <v>825220039</v>
      </c>
      <c r="E197" s="3" t="s">
        <v>143</v>
      </c>
      <c r="F197" t="s">
        <v>173</v>
      </c>
      <c r="G197" s="25" cm="1">
        <f t="array" ref="G197">IF(AND(A197:C197=S197:U197),IF((F197=Y197),1,0),999)</f>
        <v>999</v>
      </c>
      <c r="K197" s="5">
        <v>6</v>
      </c>
      <c r="L197" s="5">
        <v>1</v>
      </c>
      <c r="M197" s="5">
        <v>0</v>
      </c>
      <c r="N197" s="5" t="s">
        <v>1083</v>
      </c>
      <c r="O197" s="5" t="s">
        <v>372</v>
      </c>
      <c r="P197" s="5" t="s">
        <v>145</v>
      </c>
      <c r="Q197" s="5" t="s">
        <v>165</v>
      </c>
      <c r="S197" s="24">
        <v>4</v>
      </c>
      <c r="T197" s="24">
        <v>1</v>
      </c>
      <c r="U197" s="24">
        <v>2</v>
      </c>
      <c r="V197" s="24" t="str">
        <v>DHIO SAMUDRA</v>
      </c>
      <c r="W197" s="24" t="str">
        <v>535220034</v>
      </c>
      <c r="X197" s="24" t="str">
        <v>Magang</v>
      </c>
      <c r="Y197" s="24" t="str">
        <v>Teny Handhayani, S.Kom., M.Kom., Ph.D.</v>
      </c>
      <c r="AE197">
        <v>8</v>
      </c>
      <c r="AF197">
        <v>2</v>
      </c>
      <c r="AG197">
        <v>5</v>
      </c>
      <c r="AH197" s="25">
        <f t="shared" si="16"/>
        <v>0</v>
      </c>
      <c r="AI197" s="32">
        <f t="shared" si="17"/>
        <v>0</v>
      </c>
    </row>
    <row r="198" spans="1:35" ht="15" x14ac:dyDescent="0.2">
      <c r="A198" s="8">
        <v>0</v>
      </c>
      <c r="B198" s="8">
        <v>6</v>
      </c>
      <c r="C198" s="8">
        <v>0</v>
      </c>
      <c r="D198" s="3">
        <v>825220050</v>
      </c>
      <c r="E198" s="3" t="s">
        <v>143</v>
      </c>
      <c r="F198" t="s">
        <v>173</v>
      </c>
      <c r="G198" s="25" cm="1">
        <f t="array" ref="G198">IF(AND(A198:C198=S198:U198),IF((F198=Y198),1,0),999)</f>
        <v>999</v>
      </c>
      <c r="K198" s="5">
        <v>6</v>
      </c>
      <c r="L198" s="5">
        <v>1</v>
      </c>
      <c r="M198" s="5">
        <v>0</v>
      </c>
      <c r="N198" s="5" t="s">
        <v>1084</v>
      </c>
      <c r="O198" s="5" t="s">
        <v>373</v>
      </c>
      <c r="P198" s="5" t="s">
        <v>145</v>
      </c>
      <c r="Q198" s="5" t="s">
        <v>165</v>
      </c>
      <c r="S198" s="24">
        <v>4</v>
      </c>
      <c r="T198" s="24">
        <v>1</v>
      </c>
      <c r="U198" s="24">
        <v>2</v>
      </c>
      <c r="V198" s="24" t="str">
        <v>PUSPA INDAH</v>
      </c>
      <c r="W198" s="24" t="str">
        <v>535220035</v>
      </c>
      <c r="X198" s="24" t="str">
        <v>Magang</v>
      </c>
      <c r="Y198" s="24" t="str">
        <v>Teny Handhayani, S.Kom., M.Kom., Ph.D.</v>
      </c>
      <c r="AE198">
        <v>8</v>
      </c>
      <c r="AF198">
        <v>2</v>
      </c>
      <c r="AG198">
        <v>6</v>
      </c>
      <c r="AH198" s="25">
        <f t="shared" si="16"/>
        <v>0</v>
      </c>
      <c r="AI198" s="32">
        <f t="shared" si="17"/>
        <v>0</v>
      </c>
    </row>
    <row r="199" spans="1:35" ht="15" x14ac:dyDescent="0.2">
      <c r="A199" s="8">
        <v>0</v>
      </c>
      <c r="B199" s="8">
        <v>6</v>
      </c>
      <c r="C199" s="8">
        <v>0</v>
      </c>
      <c r="D199" s="3">
        <v>825220052</v>
      </c>
      <c r="E199" s="3" t="s">
        <v>143</v>
      </c>
      <c r="F199" t="s">
        <v>173</v>
      </c>
      <c r="G199" s="25" cm="1">
        <f t="array" ref="G199">IF(AND(A199:C199=S199:U199),IF((F199=Y199),1,0),999)</f>
        <v>999</v>
      </c>
      <c r="K199" s="5">
        <v>6</v>
      </c>
      <c r="L199" s="5">
        <v>1</v>
      </c>
      <c r="M199" s="5">
        <v>0</v>
      </c>
      <c r="N199" s="5" t="s">
        <v>1085</v>
      </c>
      <c r="O199" s="5" t="s">
        <v>374</v>
      </c>
      <c r="P199" s="5" t="s">
        <v>145</v>
      </c>
      <c r="Q199" s="5" t="s">
        <v>165</v>
      </c>
      <c r="S199" s="24">
        <v>4</v>
      </c>
      <c r="T199" s="24">
        <v>1</v>
      </c>
      <c r="U199" s="24">
        <v>2</v>
      </c>
      <c r="V199" s="24" t="str">
        <v>WAHYU PAMUNGKAS</v>
      </c>
      <c r="W199" s="24" t="str">
        <v>535220037</v>
      </c>
      <c r="X199" s="24" t="str">
        <v>Magang</v>
      </c>
      <c r="Y199" s="24" t="str">
        <v>Teny Handhayani, S.Kom., M.Kom., Ph.D.</v>
      </c>
    </row>
    <row r="200" spans="1:35" ht="15" x14ac:dyDescent="0.2">
      <c r="A200" s="8">
        <v>0</v>
      </c>
      <c r="B200" s="8">
        <v>6</v>
      </c>
      <c r="C200" s="8">
        <v>0</v>
      </c>
      <c r="D200" s="3">
        <v>825220066</v>
      </c>
      <c r="E200" s="3" t="s">
        <v>143</v>
      </c>
      <c r="F200" t="s">
        <v>173</v>
      </c>
      <c r="G200" s="25" cm="1">
        <f t="array" ref="G200">IF(AND(A200:C200=S200:U200),IF((F200=Y200),1,0),999)</f>
        <v>999</v>
      </c>
      <c r="K200" s="5">
        <v>6</v>
      </c>
      <c r="L200" s="5">
        <v>1</v>
      </c>
      <c r="M200" s="5">
        <v>0</v>
      </c>
      <c r="N200" s="5" t="s">
        <v>1086</v>
      </c>
      <c r="O200" s="5" t="s">
        <v>375</v>
      </c>
      <c r="P200" s="5" t="s">
        <v>145</v>
      </c>
      <c r="Q200" s="5" t="s">
        <v>165</v>
      </c>
      <c r="S200" s="24">
        <v>4</v>
      </c>
      <c r="T200" s="24">
        <v>1</v>
      </c>
      <c r="U200" s="24">
        <v>2</v>
      </c>
      <c r="V200" s="24" t="str">
        <v>VALENTINO ALMENDO RADJAWANE</v>
      </c>
      <c r="W200" s="24" t="str">
        <v>535220040</v>
      </c>
      <c r="X200" s="24" t="str">
        <v>Magang</v>
      </c>
      <c r="Y200" s="24" t="str">
        <v>Teny Handhayani, S.Kom., M.Kom., Ph.D.</v>
      </c>
      <c r="AH200" s="25"/>
    </row>
    <row r="201" spans="1:35" ht="15" x14ac:dyDescent="0.2">
      <c r="A201" s="8">
        <v>0</v>
      </c>
      <c r="B201" s="8">
        <v>6</v>
      </c>
      <c r="C201" s="8">
        <v>0</v>
      </c>
      <c r="D201" s="3">
        <v>825220170</v>
      </c>
      <c r="E201" s="3" t="s">
        <v>143</v>
      </c>
      <c r="F201" t="s">
        <v>173</v>
      </c>
      <c r="G201" s="25" cm="1">
        <f t="array" ref="G201">IF(AND(A201:C201=S201:U201),IF((F201=Y201),1,0),999)</f>
        <v>999</v>
      </c>
      <c r="K201" s="5">
        <v>6</v>
      </c>
      <c r="L201" s="5">
        <v>1</v>
      </c>
      <c r="M201" s="5">
        <v>0</v>
      </c>
      <c r="N201" s="5" t="s">
        <v>1087</v>
      </c>
      <c r="O201" s="5" t="s">
        <v>376</v>
      </c>
      <c r="P201" s="5" t="s">
        <v>145</v>
      </c>
      <c r="Q201" s="5" t="s">
        <v>165</v>
      </c>
      <c r="S201" s="24">
        <v>4</v>
      </c>
      <c r="T201" s="24">
        <v>1</v>
      </c>
      <c r="U201" s="24">
        <v>2</v>
      </c>
      <c r="V201" s="24" t="str">
        <v>VINCENT WIJAYA</v>
      </c>
      <c r="W201" s="24" t="str">
        <v>535220064</v>
      </c>
      <c r="X201" s="24" t="str">
        <v>Magang</v>
      </c>
      <c r="Y201" s="24" t="str">
        <v>Teny Handhayani, S.Kom., M.Kom., Ph.D.</v>
      </c>
      <c r="AH201" s="25"/>
    </row>
    <row r="202" spans="1:35" ht="15" x14ac:dyDescent="0.2">
      <c r="A202" s="8">
        <v>1</v>
      </c>
      <c r="B202" s="8">
        <v>6</v>
      </c>
      <c r="C202" s="8">
        <v>0</v>
      </c>
      <c r="D202" s="3">
        <v>825200094</v>
      </c>
      <c r="E202" s="3" t="s">
        <v>146</v>
      </c>
      <c r="F202" t="s">
        <v>173</v>
      </c>
      <c r="G202" s="25" cm="1">
        <f t="array" ref="G202">IF(AND(A202:C202=S202:U202),IF((F202=Y202),1,0),999)</f>
        <v>999</v>
      </c>
      <c r="K202" s="5">
        <v>6</v>
      </c>
      <c r="L202" s="5">
        <v>1</v>
      </c>
      <c r="M202" s="5">
        <v>1</v>
      </c>
      <c r="N202" s="5" t="s">
        <v>1088</v>
      </c>
      <c r="O202" s="5" t="s">
        <v>377</v>
      </c>
      <c r="P202" s="5" t="s">
        <v>143</v>
      </c>
      <c r="Q202" s="5" t="s">
        <v>166</v>
      </c>
      <c r="S202" s="24">
        <v>5</v>
      </c>
      <c r="T202" s="24">
        <v>1</v>
      </c>
      <c r="U202" s="24">
        <v>2</v>
      </c>
      <c r="V202" s="24" t="str">
        <v>BRYAN MEYVALDO KANGSADIPUTRA</v>
      </c>
      <c r="W202" s="24" t="str">
        <v>535220065</v>
      </c>
      <c r="X202" s="24" t="str">
        <v>Magang</v>
      </c>
      <c r="Y202" s="24" t="str">
        <v>Teny Handhayani, S.Kom., M.Kom., Ph.D.</v>
      </c>
      <c r="AH202" s="25"/>
    </row>
    <row r="203" spans="1:35" ht="15" x14ac:dyDescent="0.2">
      <c r="A203" s="8">
        <v>1</v>
      </c>
      <c r="B203" s="8">
        <v>6</v>
      </c>
      <c r="C203" s="8">
        <v>0</v>
      </c>
      <c r="D203" s="3">
        <v>825220096</v>
      </c>
      <c r="E203" s="3" t="s">
        <v>146</v>
      </c>
      <c r="F203" t="s">
        <v>173</v>
      </c>
      <c r="G203" s="25" cm="1">
        <f t="array" ref="G203">IF(AND(A203:C203=S203:U203),IF((F203=Y203),1,0),999)</f>
        <v>999</v>
      </c>
      <c r="K203" s="5">
        <v>6</v>
      </c>
      <c r="L203" s="5">
        <v>1</v>
      </c>
      <c r="M203" s="5">
        <v>1</v>
      </c>
      <c r="N203" s="5" t="s">
        <v>1089</v>
      </c>
      <c r="O203" s="5" t="s">
        <v>378</v>
      </c>
      <c r="P203" s="5" t="s">
        <v>143</v>
      </c>
      <c r="Q203" s="5" t="s">
        <v>166</v>
      </c>
      <c r="S203" s="24">
        <v>5</v>
      </c>
      <c r="T203" s="24">
        <v>1</v>
      </c>
      <c r="U203" s="24">
        <v>2</v>
      </c>
      <c r="V203" s="24" t="str">
        <v>NATHANAEL KENNETH LAY</v>
      </c>
      <c r="W203" s="24" t="str">
        <v>535220066</v>
      </c>
      <c r="X203" s="24" t="str">
        <v>Magang</v>
      </c>
      <c r="Y203" s="24" t="str">
        <v>Teny Handhayani, S.Kom., M.Kom., Ph.D.</v>
      </c>
      <c r="AH203" s="25"/>
    </row>
    <row r="204" spans="1:35" ht="15" x14ac:dyDescent="0.2">
      <c r="A204" s="8">
        <v>1</v>
      </c>
      <c r="B204" s="8">
        <v>6</v>
      </c>
      <c r="C204" s="8">
        <v>0</v>
      </c>
      <c r="D204" s="3">
        <v>535220185</v>
      </c>
      <c r="E204" s="3" t="s">
        <v>145</v>
      </c>
      <c r="F204" t="s">
        <v>165</v>
      </c>
      <c r="G204" s="25" cm="1">
        <f t="array" ref="G204">IF(AND(A204:C204=S204:U204),IF((F204=Y204),1,0),999)</f>
        <v>999</v>
      </c>
      <c r="K204" s="5">
        <v>6</v>
      </c>
      <c r="L204" s="5">
        <v>1</v>
      </c>
      <c r="M204" s="5">
        <v>1</v>
      </c>
      <c r="N204" s="5" t="s">
        <v>1090</v>
      </c>
      <c r="O204" s="5" t="s">
        <v>379</v>
      </c>
      <c r="P204" s="5" t="s">
        <v>142</v>
      </c>
      <c r="Q204" s="5" t="s">
        <v>167</v>
      </c>
      <c r="S204" s="24">
        <v>5</v>
      </c>
      <c r="T204" s="24">
        <v>1</v>
      </c>
      <c r="U204" s="24">
        <v>2</v>
      </c>
      <c r="V204" s="24" t="str">
        <v>NAYAKA WANGSHA LIMPUTRA</v>
      </c>
      <c r="W204" s="24" t="str">
        <v>535220067</v>
      </c>
      <c r="X204" s="24" t="str">
        <v>Magang</v>
      </c>
      <c r="Y204" s="24" t="str">
        <v>Teny Handhayani, S.Kom., M.Kom., Ph.D.</v>
      </c>
      <c r="AH204" s="25"/>
    </row>
    <row r="205" spans="1:35" ht="15" x14ac:dyDescent="0.2">
      <c r="A205" s="8">
        <v>1</v>
      </c>
      <c r="B205" s="8">
        <v>6</v>
      </c>
      <c r="C205" s="8">
        <v>0</v>
      </c>
      <c r="D205" s="3">
        <v>535220190</v>
      </c>
      <c r="E205" s="3" t="s">
        <v>145</v>
      </c>
      <c r="F205" t="s">
        <v>165</v>
      </c>
      <c r="G205" s="25" cm="1">
        <f t="array" ref="G205">IF(AND(A205:C205=S205:U205),IF((F205=Y205),1,0),999)</f>
        <v>999</v>
      </c>
      <c r="K205" s="5">
        <v>6</v>
      </c>
      <c r="L205" s="5">
        <v>1</v>
      </c>
      <c r="M205" s="5">
        <v>1</v>
      </c>
      <c r="N205" s="5" t="s">
        <v>1091</v>
      </c>
      <c r="O205" s="5" t="s">
        <v>380</v>
      </c>
      <c r="P205" s="5" t="s">
        <v>142</v>
      </c>
      <c r="Q205" s="5" t="s">
        <v>167</v>
      </c>
      <c r="S205" s="24">
        <v>5</v>
      </c>
      <c r="T205" s="24">
        <v>1</v>
      </c>
      <c r="U205" s="24">
        <v>2</v>
      </c>
      <c r="V205" s="24" t="str">
        <v>LEKREY JEREL JACOB LAIPIOPA</v>
      </c>
      <c r="W205" s="24" t="str">
        <v>535220134</v>
      </c>
      <c r="X205" s="24" t="str">
        <v>Magang</v>
      </c>
      <c r="Y205" s="24" t="str">
        <v>Teny Handhayani, S.Kom., M.Kom., Ph.D.</v>
      </c>
      <c r="AH205" s="25"/>
    </row>
    <row r="206" spans="1:35" ht="15" x14ac:dyDescent="0.2">
      <c r="A206" s="8">
        <v>1</v>
      </c>
      <c r="B206" s="8">
        <v>6</v>
      </c>
      <c r="C206" s="8">
        <v>0</v>
      </c>
      <c r="D206" s="3">
        <v>535220192</v>
      </c>
      <c r="E206" s="3" t="s">
        <v>145</v>
      </c>
      <c r="F206" t="s">
        <v>165</v>
      </c>
      <c r="G206" s="25" cm="1">
        <f t="array" ref="G206">IF(AND(A206:C206=S206:U206),IF((F206=Y206),1,0),999)</f>
        <v>999</v>
      </c>
      <c r="K206" s="5">
        <v>6</v>
      </c>
      <c r="L206" s="5">
        <v>1</v>
      </c>
      <c r="M206" s="5">
        <v>1</v>
      </c>
      <c r="N206" s="5" t="s">
        <v>1092</v>
      </c>
      <c r="O206" s="5" t="s">
        <v>381</v>
      </c>
      <c r="P206" s="5" t="s">
        <v>142</v>
      </c>
      <c r="Q206" s="5" t="s">
        <v>167</v>
      </c>
      <c r="S206" s="24">
        <v>5</v>
      </c>
      <c r="T206" s="24">
        <v>1</v>
      </c>
      <c r="U206" s="24">
        <v>2</v>
      </c>
      <c r="V206" s="24" t="str">
        <v>ALDO HARTANTO DEWANTORO</v>
      </c>
      <c r="W206" s="24" t="str">
        <v>535220135</v>
      </c>
      <c r="X206" s="24" t="str">
        <v>Magang</v>
      </c>
      <c r="Y206" s="24" t="str">
        <v>Teny Handhayani, S.Kom., M.Kom., Ph.D.</v>
      </c>
      <c r="AH206" s="25"/>
    </row>
    <row r="207" spans="1:35" ht="15" x14ac:dyDescent="0.2">
      <c r="A207" s="8">
        <v>2</v>
      </c>
      <c r="B207" s="8">
        <v>6</v>
      </c>
      <c r="C207" s="8">
        <v>0</v>
      </c>
      <c r="D207" s="3">
        <v>535220227</v>
      </c>
      <c r="E207" s="3" t="s">
        <v>145</v>
      </c>
      <c r="F207" t="s">
        <v>165</v>
      </c>
      <c r="G207" s="25" cm="1">
        <f t="array" ref="G207">IF(AND(A207:C207=S207:U207),IF((F207=Y207),1,0),999)</f>
        <v>999</v>
      </c>
      <c r="K207" s="5">
        <v>6</v>
      </c>
      <c r="L207" s="5">
        <v>1</v>
      </c>
      <c r="M207" s="5">
        <v>2</v>
      </c>
      <c r="N207" s="5" t="s">
        <v>1093</v>
      </c>
      <c r="O207" s="5" t="s">
        <v>382</v>
      </c>
      <c r="P207" s="5" t="s">
        <v>142</v>
      </c>
      <c r="Q207" s="5" t="s">
        <v>168</v>
      </c>
      <c r="S207" s="24">
        <v>6</v>
      </c>
      <c r="T207" s="24">
        <v>1</v>
      </c>
      <c r="U207" s="24">
        <v>2</v>
      </c>
      <c r="V207" s="24" t="str">
        <v>ALDHO LEONARDI</v>
      </c>
      <c r="W207" s="24" t="str">
        <v>535220096</v>
      </c>
      <c r="X207" s="24" t="str">
        <v>Magang</v>
      </c>
      <c r="Y207" s="24" t="str">
        <v>Tony, S.Kom., M.Kom., Ph.D.</v>
      </c>
      <c r="AH207" s="25"/>
    </row>
    <row r="208" spans="1:35" ht="15" x14ac:dyDescent="0.2">
      <c r="A208" s="8">
        <v>2</v>
      </c>
      <c r="B208" s="8">
        <v>6</v>
      </c>
      <c r="C208" s="8">
        <v>0</v>
      </c>
      <c r="D208" s="3">
        <v>825220001</v>
      </c>
      <c r="E208" s="3" t="s">
        <v>145</v>
      </c>
      <c r="F208" t="s">
        <v>165</v>
      </c>
      <c r="G208" s="25" cm="1">
        <f t="array" ref="G208">IF(AND(A208:C208=S208:U208),IF((F208=Y208),1,0),999)</f>
        <v>999</v>
      </c>
      <c r="K208" s="5">
        <v>6</v>
      </c>
      <c r="L208" s="5">
        <v>1</v>
      </c>
      <c r="M208" s="5">
        <v>2</v>
      </c>
      <c r="N208" s="5" t="s">
        <v>1094</v>
      </c>
      <c r="O208" s="5" t="s">
        <v>383</v>
      </c>
      <c r="P208" s="5" t="s">
        <v>142</v>
      </c>
      <c r="Q208" s="5" t="s">
        <v>168</v>
      </c>
      <c r="S208" s="24">
        <v>6</v>
      </c>
      <c r="T208" s="24">
        <v>1</v>
      </c>
      <c r="U208" s="24">
        <v>2</v>
      </c>
      <c r="V208" s="24" t="str">
        <v>FELICIUS EDWARD TJENDRA</v>
      </c>
      <c r="W208" s="24" t="str">
        <v>535220101</v>
      </c>
      <c r="X208" s="24" t="str">
        <v>Magang</v>
      </c>
      <c r="Y208" s="24" t="str">
        <v>Tony, S.Kom., M.Kom., Ph.D.</v>
      </c>
      <c r="AH208" s="25"/>
    </row>
    <row r="209" spans="1:34" ht="15" x14ac:dyDescent="0.2">
      <c r="A209" s="8">
        <v>2</v>
      </c>
      <c r="B209" s="8">
        <v>6</v>
      </c>
      <c r="C209" s="8">
        <v>0</v>
      </c>
      <c r="D209" s="3">
        <v>825220029</v>
      </c>
      <c r="E209" s="3" t="s">
        <v>145</v>
      </c>
      <c r="F209" t="s">
        <v>165</v>
      </c>
      <c r="G209" s="25" cm="1">
        <f t="array" ref="G209">IF(AND(A209:C209=S209:U209),IF((F209=Y209),1,0),999)</f>
        <v>999</v>
      </c>
      <c r="K209" s="5">
        <v>6</v>
      </c>
      <c r="L209" s="5">
        <v>1</v>
      </c>
      <c r="M209" s="5">
        <v>2</v>
      </c>
      <c r="N209" s="5" t="s">
        <v>1095</v>
      </c>
      <c r="O209" s="5" t="s">
        <v>384</v>
      </c>
      <c r="P209" s="5" t="s">
        <v>142</v>
      </c>
      <c r="Q209" s="5" t="s">
        <v>168</v>
      </c>
      <c r="S209" s="24">
        <v>6</v>
      </c>
      <c r="T209" s="24">
        <v>1</v>
      </c>
      <c r="U209" s="24">
        <v>2</v>
      </c>
      <c r="V209" s="24" t="str">
        <v>EMMANUEL GARCIA SUMARGO</v>
      </c>
      <c r="W209" s="24" t="str">
        <v>535220103</v>
      </c>
      <c r="X209" s="24" t="str">
        <v>Magang</v>
      </c>
      <c r="Y209" s="24" t="str">
        <v>Tony, S.Kom., M.Kom., Ph.D.</v>
      </c>
      <c r="AH209" s="25"/>
    </row>
    <row r="210" spans="1:34" ht="15" x14ac:dyDescent="0.2">
      <c r="A210" s="8">
        <v>2</v>
      </c>
      <c r="B210" s="8">
        <v>6</v>
      </c>
      <c r="C210" s="8">
        <v>0</v>
      </c>
      <c r="D210" s="3">
        <v>825220030</v>
      </c>
      <c r="E210" s="3" t="s">
        <v>145</v>
      </c>
      <c r="F210" t="s">
        <v>165</v>
      </c>
      <c r="G210" s="25" cm="1">
        <f t="array" ref="G210">IF(AND(A210:C210=S210:U210),IF((F210=Y210),1,0),999)</f>
        <v>999</v>
      </c>
      <c r="K210" s="5">
        <v>6</v>
      </c>
      <c r="L210" s="5">
        <v>1</v>
      </c>
      <c r="M210" s="5">
        <v>2</v>
      </c>
      <c r="N210" s="5" t="s">
        <v>1096</v>
      </c>
      <c r="O210" s="5" t="s">
        <v>385</v>
      </c>
      <c r="P210" s="5" t="s">
        <v>142</v>
      </c>
      <c r="Q210" s="5" t="s">
        <v>168</v>
      </c>
      <c r="S210" s="24">
        <v>6</v>
      </c>
      <c r="T210" s="24">
        <v>1</v>
      </c>
      <c r="U210" s="24">
        <v>2</v>
      </c>
      <c r="V210" s="24" t="str">
        <v>GABRIELLA IGNATIA</v>
      </c>
      <c r="W210" s="24" t="str">
        <v>535220104</v>
      </c>
      <c r="X210" s="24" t="str">
        <v>Magang</v>
      </c>
      <c r="Y210" s="24" t="str">
        <v>Tony, S.Kom., M.Kom., Ph.D.</v>
      </c>
      <c r="AH210" s="25"/>
    </row>
    <row r="211" spans="1:34" ht="15" x14ac:dyDescent="0.2">
      <c r="A211" s="8">
        <v>2</v>
      </c>
      <c r="B211" s="8">
        <v>6</v>
      </c>
      <c r="C211" s="8">
        <v>0</v>
      </c>
      <c r="D211" s="3">
        <v>825220069</v>
      </c>
      <c r="E211" s="3" t="s">
        <v>145</v>
      </c>
      <c r="F211" t="s">
        <v>165</v>
      </c>
      <c r="G211" s="25" cm="1">
        <f t="array" ref="G211">IF(AND(A211:C211=S211:U211),IF((F211=Y211),1,0),999)</f>
        <v>999</v>
      </c>
      <c r="K211" s="5">
        <v>6</v>
      </c>
      <c r="L211" s="5">
        <v>1</v>
      </c>
      <c r="M211" s="5">
        <v>2</v>
      </c>
      <c r="N211" s="5" t="s">
        <v>1097</v>
      </c>
      <c r="O211" s="5" t="s">
        <v>386</v>
      </c>
      <c r="P211" s="5" t="s">
        <v>142</v>
      </c>
      <c r="Q211" s="5" t="s">
        <v>168</v>
      </c>
      <c r="S211" s="24">
        <v>6</v>
      </c>
      <c r="T211" s="24">
        <v>1</v>
      </c>
      <c r="U211" s="24">
        <v>2</v>
      </c>
      <c r="V211" s="24" t="str">
        <v>ARETHUSA RAYHAN SUBRATA</v>
      </c>
      <c r="W211" s="24" t="str">
        <v>535220164</v>
      </c>
      <c r="X211" s="24" t="str">
        <v>Magang</v>
      </c>
      <c r="Y211" s="24" t="str">
        <v>Tony, S.Kom., M.Kom., Ph.D.</v>
      </c>
      <c r="AH211" s="25"/>
    </row>
    <row r="212" spans="1:34" ht="15" x14ac:dyDescent="0.2">
      <c r="A212" s="8">
        <v>3</v>
      </c>
      <c r="B212" s="8">
        <v>6</v>
      </c>
      <c r="C212" s="8">
        <v>0</v>
      </c>
      <c r="D212" s="3">
        <v>825220112</v>
      </c>
      <c r="E212" s="3" t="s">
        <v>145</v>
      </c>
      <c r="F212" t="s">
        <v>165</v>
      </c>
      <c r="G212" s="25" cm="1">
        <f t="array" ref="G212">IF(AND(A212:C212=S212:U212),IF((F212=Y212),1,0),999)</f>
        <v>999</v>
      </c>
      <c r="K212" s="5">
        <v>0</v>
      </c>
      <c r="L212" s="5">
        <v>2</v>
      </c>
      <c r="M212" s="5">
        <v>0</v>
      </c>
      <c r="N212" s="5" t="s">
        <v>1098</v>
      </c>
      <c r="O212" s="5" t="s">
        <v>387</v>
      </c>
      <c r="P212" s="5" t="s">
        <v>142</v>
      </c>
      <c r="Q212" s="5" t="s">
        <v>169</v>
      </c>
      <c r="S212" s="24">
        <v>0</v>
      </c>
      <c r="T212" s="24">
        <v>2</v>
      </c>
      <c r="U212" s="24">
        <v>0</v>
      </c>
      <c r="V212" s="24" t="str">
        <v>VIE HUANG</v>
      </c>
      <c r="W212" s="24" t="str">
        <v>535220016</v>
      </c>
      <c r="X212" s="24" t="str">
        <v>Magang</v>
      </c>
      <c r="Y212" s="24" t="str">
        <v>Prof. Lina, ST, M.Kom., Ph.D.</v>
      </c>
      <c r="AH212" s="25"/>
    </row>
    <row r="213" spans="1:34" ht="15" x14ac:dyDescent="0.2">
      <c r="A213" s="8">
        <v>3</v>
      </c>
      <c r="B213" s="8">
        <v>6</v>
      </c>
      <c r="C213" s="8">
        <v>0</v>
      </c>
      <c r="D213" s="3">
        <v>535220145</v>
      </c>
      <c r="E213" s="3" t="s">
        <v>147</v>
      </c>
      <c r="F213" t="s">
        <v>156</v>
      </c>
      <c r="G213" s="25" cm="1">
        <f t="array" ref="G213">IF(AND(A213:C213=S213:U213),IF((F213=Y213),1,0),999)</f>
        <v>999</v>
      </c>
      <c r="K213" s="5">
        <v>0</v>
      </c>
      <c r="L213" s="5">
        <v>2</v>
      </c>
      <c r="M213" s="5">
        <v>0</v>
      </c>
      <c r="N213" s="5" t="s">
        <v>1099</v>
      </c>
      <c r="O213" s="5" t="s">
        <v>388</v>
      </c>
      <c r="P213" s="5" t="s">
        <v>142</v>
      </c>
      <c r="Q213" s="5" t="s">
        <v>169</v>
      </c>
      <c r="S213" s="24">
        <v>0</v>
      </c>
      <c r="T213" s="24">
        <v>2</v>
      </c>
      <c r="U213" s="24">
        <v>0</v>
      </c>
      <c r="V213" s="24" t="str">
        <v>RICHARD CHRISTIAN</v>
      </c>
      <c r="W213" s="24" t="str">
        <v>535220018</v>
      </c>
      <c r="X213" s="24" t="str">
        <v>Magang</v>
      </c>
      <c r="Y213" s="24" t="str">
        <v>Prof. Lina, ST, M.Kom., Ph.D.</v>
      </c>
      <c r="AH213" s="25"/>
    </row>
    <row r="214" spans="1:34" ht="15" x14ac:dyDescent="0.2">
      <c r="A214" s="8">
        <v>3</v>
      </c>
      <c r="B214" s="8">
        <v>6</v>
      </c>
      <c r="C214" s="8">
        <v>0</v>
      </c>
      <c r="D214" s="3">
        <v>535220228</v>
      </c>
      <c r="E214" s="3" t="s">
        <v>147</v>
      </c>
      <c r="F214" t="s">
        <v>156</v>
      </c>
      <c r="G214" s="25" cm="1">
        <f t="array" ref="G214">IF(AND(A214:C214=S214:U214),IF((F214=Y214),1,0),999)</f>
        <v>999</v>
      </c>
      <c r="K214" s="5">
        <v>0</v>
      </c>
      <c r="L214" s="5">
        <v>2</v>
      </c>
      <c r="M214" s="5">
        <v>0</v>
      </c>
      <c r="N214" s="5" t="s">
        <v>1100</v>
      </c>
      <c r="O214" s="5" t="s">
        <v>389</v>
      </c>
      <c r="P214" s="5" t="s">
        <v>142</v>
      </c>
      <c r="Q214" s="5" t="s">
        <v>169</v>
      </c>
      <c r="S214" s="24">
        <v>0</v>
      </c>
      <c r="T214" s="24">
        <v>2</v>
      </c>
      <c r="U214" s="24">
        <v>0</v>
      </c>
      <c r="V214" s="24" t="str">
        <v>KEVIN IVANDER CHASKA</v>
      </c>
      <c r="W214" s="24" t="str">
        <v>535220058</v>
      </c>
      <c r="X214" s="24" t="str">
        <v>Magang</v>
      </c>
      <c r="Y214" s="24" t="str">
        <v>Prof. Lina, ST, M.Kom., Ph.D.</v>
      </c>
      <c r="AH214" s="25"/>
    </row>
    <row r="215" spans="1:34" ht="15" x14ac:dyDescent="0.2">
      <c r="A215" s="8">
        <v>3</v>
      </c>
      <c r="B215" s="8">
        <v>6</v>
      </c>
      <c r="C215" s="8">
        <v>0</v>
      </c>
      <c r="D215" s="3">
        <v>535220229</v>
      </c>
      <c r="E215" s="3" t="s">
        <v>147</v>
      </c>
      <c r="F215" t="s">
        <v>156</v>
      </c>
      <c r="G215" s="25" cm="1">
        <f t="array" ref="G215">IF(AND(A215:C215=S215:U215),IF((F215=Y215),1,0),999)</f>
        <v>999</v>
      </c>
      <c r="K215" s="5">
        <v>0</v>
      </c>
      <c r="L215" s="5">
        <v>2</v>
      </c>
      <c r="M215" s="5">
        <v>0</v>
      </c>
      <c r="N215" s="5" t="s">
        <v>1101</v>
      </c>
      <c r="O215" s="5" t="s">
        <v>390</v>
      </c>
      <c r="P215" s="5" t="s">
        <v>142</v>
      </c>
      <c r="Q215" s="5" t="s">
        <v>169</v>
      </c>
      <c r="S215" s="24">
        <v>0</v>
      </c>
      <c r="T215" s="24">
        <v>2</v>
      </c>
      <c r="U215" s="24">
        <v>0</v>
      </c>
      <c r="V215" s="24" t="str">
        <v>RICKY FERNANDO JF</v>
      </c>
      <c r="W215" s="24" t="str">
        <v>535220059</v>
      </c>
      <c r="X215" s="24" t="str">
        <v>Magang</v>
      </c>
      <c r="Y215" s="24" t="str">
        <v>Prof. Lina, ST, M.Kom., Ph.D.</v>
      </c>
      <c r="AH215" s="25"/>
    </row>
    <row r="216" spans="1:34" ht="15" x14ac:dyDescent="0.2">
      <c r="A216" s="8">
        <v>3</v>
      </c>
      <c r="B216" s="8">
        <v>6</v>
      </c>
      <c r="C216" s="8">
        <v>0</v>
      </c>
      <c r="D216" s="3">
        <v>825220022</v>
      </c>
      <c r="E216" s="3" t="s">
        <v>147</v>
      </c>
      <c r="F216" t="s">
        <v>156</v>
      </c>
      <c r="G216" s="25" cm="1">
        <f t="array" ref="G216">IF(AND(A216:C216=S216:U216),IF((F216=Y216),1,0),999)</f>
        <v>999</v>
      </c>
      <c r="K216" s="5">
        <v>0</v>
      </c>
      <c r="L216" s="5">
        <v>2</v>
      </c>
      <c r="M216" s="5">
        <v>0</v>
      </c>
      <c r="N216" s="5" t="s">
        <v>1102</v>
      </c>
      <c r="O216" s="5" t="s">
        <v>391</v>
      </c>
      <c r="P216" s="5" t="s">
        <v>142</v>
      </c>
      <c r="Q216" s="5" t="s">
        <v>169</v>
      </c>
      <c r="S216" s="24">
        <v>0</v>
      </c>
      <c r="T216" s="24">
        <v>2</v>
      </c>
      <c r="U216" s="24">
        <v>0</v>
      </c>
      <c r="V216" s="24" t="str">
        <v xml:space="preserve">NANDA GOAW PUTRA </v>
      </c>
      <c r="W216" s="24" t="str">
        <v>535220069</v>
      </c>
      <c r="X216" s="24" t="str">
        <v>Magang</v>
      </c>
      <c r="Y216" s="24" t="str">
        <v>Prof. Lina, ST, M.Kom., Ph.D.</v>
      </c>
      <c r="AH216" s="25"/>
    </row>
    <row r="217" spans="1:34" ht="15" x14ac:dyDescent="0.2">
      <c r="A217" s="8">
        <v>0</v>
      </c>
      <c r="B217" s="8">
        <v>6</v>
      </c>
      <c r="C217" s="8">
        <v>1</v>
      </c>
      <c r="D217" s="3">
        <v>825210038</v>
      </c>
      <c r="E217" s="3" t="s">
        <v>142</v>
      </c>
      <c r="F217" t="s">
        <v>172</v>
      </c>
      <c r="G217" s="25" cm="1">
        <f t="array" ref="G217">IF(AND(A217:C217=S217:U217),IF((F217=Y217),1,0),999)</f>
        <v>999</v>
      </c>
      <c r="K217" s="5">
        <v>0</v>
      </c>
      <c r="L217" s="5">
        <v>2</v>
      </c>
      <c r="M217" s="5">
        <v>1</v>
      </c>
      <c r="N217" s="5" t="s">
        <v>1103</v>
      </c>
      <c r="O217" s="5" t="s">
        <v>392</v>
      </c>
      <c r="P217" s="5" t="s">
        <v>142</v>
      </c>
      <c r="Q217" s="5" t="s">
        <v>164</v>
      </c>
      <c r="S217" s="24">
        <v>1</v>
      </c>
      <c r="T217" s="24">
        <v>2</v>
      </c>
      <c r="U217" s="24">
        <v>0</v>
      </c>
      <c r="V217" s="24" t="str">
        <v>CINDY AURELIA HARDI</v>
      </c>
      <c r="W217" s="24" t="str">
        <v>535220110</v>
      </c>
      <c r="X217" s="24" t="str">
        <v>Magang</v>
      </c>
      <c r="Y217" s="24" t="str">
        <v>Prof. Lina, ST, M.Kom., Ph.D.</v>
      </c>
      <c r="AH217" s="25"/>
    </row>
    <row r="218" spans="1:34" ht="15" x14ac:dyDescent="0.2">
      <c r="A218" s="8">
        <v>0</v>
      </c>
      <c r="B218" s="8">
        <v>6</v>
      </c>
      <c r="C218" s="8">
        <v>1</v>
      </c>
      <c r="D218" s="3">
        <v>825220080</v>
      </c>
      <c r="E218" s="3" t="s">
        <v>142</v>
      </c>
      <c r="F218" t="s">
        <v>172</v>
      </c>
      <c r="G218" s="25" cm="1">
        <f t="array" ref="G218">IF(AND(A218:C218=S218:U218),IF((F218=Y218),1,0),999)</f>
        <v>999</v>
      </c>
      <c r="K218" s="5">
        <v>0</v>
      </c>
      <c r="L218" s="5">
        <v>2</v>
      </c>
      <c r="M218" s="5">
        <v>1</v>
      </c>
      <c r="N218" s="5" t="s">
        <v>1104</v>
      </c>
      <c r="O218" s="5" t="s">
        <v>393</v>
      </c>
      <c r="P218" s="5" t="s">
        <v>142</v>
      </c>
      <c r="Q218" s="5" t="s">
        <v>164</v>
      </c>
      <c r="S218" s="24">
        <v>1</v>
      </c>
      <c r="T218" s="24">
        <v>2</v>
      </c>
      <c r="U218" s="24">
        <v>0</v>
      </c>
      <c r="V218" s="24" t="str">
        <v>MATTHEW ALEXANDER TJAHJADI</v>
      </c>
      <c r="W218" s="24" t="str">
        <v>535220117</v>
      </c>
      <c r="X218" s="24" t="str">
        <v>Magang</v>
      </c>
      <c r="Y218" s="24" t="str">
        <v>Prof. Lina, ST, M.Kom., Ph.D.</v>
      </c>
      <c r="AH218" s="25"/>
    </row>
    <row r="219" spans="1:34" ht="15" x14ac:dyDescent="0.2">
      <c r="A219" s="8">
        <v>0</v>
      </c>
      <c r="B219" s="8">
        <v>6</v>
      </c>
      <c r="C219" s="8">
        <v>1</v>
      </c>
      <c r="D219" s="3">
        <v>825220082</v>
      </c>
      <c r="E219" s="3" t="s">
        <v>142</v>
      </c>
      <c r="F219" t="s">
        <v>172</v>
      </c>
      <c r="G219" s="25" cm="1">
        <f t="array" ref="G219">IF(AND(A219:C219=S219:U219),IF((F219=Y219),1,0),999)</f>
        <v>999</v>
      </c>
      <c r="K219" s="5">
        <v>0</v>
      </c>
      <c r="L219" s="5">
        <v>2</v>
      </c>
      <c r="M219" s="5">
        <v>1</v>
      </c>
      <c r="N219" s="5" t="s">
        <v>1105</v>
      </c>
      <c r="O219" s="5" t="s">
        <v>394</v>
      </c>
      <c r="P219" s="5" t="s">
        <v>142</v>
      </c>
      <c r="Q219" s="5" t="s">
        <v>164</v>
      </c>
      <c r="S219" s="24">
        <v>1</v>
      </c>
      <c r="T219" s="24">
        <v>2</v>
      </c>
      <c r="U219" s="24">
        <v>0</v>
      </c>
      <c r="V219" s="24" t="str">
        <v>DAFLAH TSANY GUSRA</v>
      </c>
      <c r="W219" s="24" t="str">
        <v>535220177</v>
      </c>
      <c r="X219" s="24" t="str">
        <v>Magang</v>
      </c>
      <c r="Y219" s="24" t="str">
        <v>Prof. Lina, ST, M.Kom., Ph.D.</v>
      </c>
      <c r="AH219" s="25"/>
    </row>
    <row r="220" spans="1:34" ht="15" x14ac:dyDescent="0.2">
      <c r="A220" s="8">
        <v>0</v>
      </c>
      <c r="B220" s="8">
        <v>6</v>
      </c>
      <c r="C220" s="8">
        <v>1</v>
      </c>
      <c r="D220" s="3">
        <v>825220085</v>
      </c>
      <c r="E220" s="3" t="s">
        <v>142</v>
      </c>
      <c r="F220" t="s">
        <v>172</v>
      </c>
      <c r="G220" s="25" cm="1">
        <f t="array" ref="G220">IF(AND(A220:C220=S220:U220),IF((F220=Y220),1,0),999)</f>
        <v>999</v>
      </c>
      <c r="K220" s="5">
        <v>0</v>
      </c>
      <c r="L220" s="5">
        <v>2</v>
      </c>
      <c r="M220" s="5">
        <v>1</v>
      </c>
      <c r="N220" s="5" t="s">
        <v>1106</v>
      </c>
      <c r="O220" s="5" t="s">
        <v>395</v>
      </c>
      <c r="P220" s="5" t="s">
        <v>142</v>
      </c>
      <c r="Q220" s="5" t="s">
        <v>164</v>
      </c>
      <c r="S220" s="24">
        <v>1</v>
      </c>
      <c r="T220" s="24">
        <v>2</v>
      </c>
      <c r="U220" s="24">
        <v>0</v>
      </c>
      <c r="V220" s="24" t="str">
        <v>RANDY GUNAWAN</v>
      </c>
      <c r="W220" s="24" t="str">
        <v>535220180</v>
      </c>
      <c r="X220" s="24" t="str">
        <v>Magang</v>
      </c>
      <c r="Y220" s="24" t="str">
        <v>Prof. Lina, ST, M.Kom., Ph.D.</v>
      </c>
      <c r="AH220" s="25"/>
    </row>
    <row r="221" spans="1:34" ht="15" x14ac:dyDescent="0.2">
      <c r="A221" s="8">
        <v>0</v>
      </c>
      <c r="B221" s="8">
        <v>6</v>
      </c>
      <c r="C221" s="8">
        <v>1</v>
      </c>
      <c r="D221" s="3">
        <v>825220086</v>
      </c>
      <c r="E221" s="3" t="s">
        <v>142</v>
      </c>
      <c r="F221" t="s">
        <v>172</v>
      </c>
      <c r="G221" s="25" cm="1">
        <f t="array" ref="G221">IF(AND(A221:C221=S221:U221),IF((F221=Y221),1,0),999)</f>
        <v>999</v>
      </c>
      <c r="K221" s="5">
        <v>0</v>
      </c>
      <c r="L221" s="5">
        <v>2</v>
      </c>
      <c r="M221" s="5">
        <v>1</v>
      </c>
      <c r="N221" s="5" t="s">
        <v>1107</v>
      </c>
      <c r="O221" s="5" t="s">
        <v>396</v>
      </c>
      <c r="P221" s="5" t="s">
        <v>142</v>
      </c>
      <c r="Q221" s="5" t="s">
        <v>164</v>
      </c>
      <c r="S221" s="24">
        <v>1</v>
      </c>
      <c r="T221" s="24">
        <v>2</v>
      </c>
      <c r="U221" s="24">
        <v>0</v>
      </c>
      <c r="V221" s="24" t="str">
        <v>RAVELINO RADISSEY</v>
      </c>
      <c r="W221" s="24" t="str">
        <v>535220181</v>
      </c>
      <c r="X221" s="24" t="str">
        <v>Magang</v>
      </c>
      <c r="Y221" s="24" t="str">
        <v>Prof. Lina, ST, M.Kom., Ph.D.</v>
      </c>
    </row>
    <row r="222" spans="1:34" ht="15" x14ac:dyDescent="0.2">
      <c r="A222" s="8">
        <v>1</v>
      </c>
      <c r="B222" s="8">
        <v>6</v>
      </c>
      <c r="C222" s="8">
        <v>1</v>
      </c>
      <c r="D222" s="3">
        <v>825220026</v>
      </c>
      <c r="E222" s="3" t="s">
        <v>142</v>
      </c>
      <c r="F222" t="s">
        <v>174</v>
      </c>
      <c r="G222" s="25" cm="1">
        <f t="array" ref="G222">IF(AND(A222:C222=S222:U222),IF((F222=Y222),1,0),999)</f>
        <v>999</v>
      </c>
      <c r="K222" s="5">
        <v>0</v>
      </c>
      <c r="L222" s="5">
        <v>2</v>
      </c>
      <c r="M222" s="5">
        <v>2</v>
      </c>
      <c r="N222" s="5" t="s">
        <v>1108</v>
      </c>
      <c r="O222" s="5" t="s">
        <v>397</v>
      </c>
      <c r="P222" s="5" t="s">
        <v>145</v>
      </c>
      <c r="Q222" s="5" t="s">
        <v>165</v>
      </c>
      <c r="S222" s="24">
        <v>2</v>
      </c>
      <c r="T222" s="24">
        <v>2</v>
      </c>
      <c r="U222" s="24">
        <v>0</v>
      </c>
      <c r="V222" s="24" t="str">
        <v>MERRY ULI ARTHA MANURUNG</v>
      </c>
      <c r="W222" s="24" t="str">
        <v>535220263</v>
      </c>
      <c r="X222" s="24" t="str">
        <v>Magang</v>
      </c>
      <c r="Y222" s="24" t="str">
        <v>Prof. Lina, ST, M.Kom., Ph.D.</v>
      </c>
    </row>
    <row r="223" spans="1:34" ht="15" x14ac:dyDescent="0.2">
      <c r="A223" s="8">
        <v>1</v>
      </c>
      <c r="B223" s="8">
        <v>6</v>
      </c>
      <c r="C223" s="8">
        <v>1</v>
      </c>
      <c r="D223" s="3">
        <v>825220042</v>
      </c>
      <c r="E223" s="3" t="s">
        <v>142</v>
      </c>
      <c r="F223" t="s">
        <v>174</v>
      </c>
      <c r="G223" s="25" cm="1">
        <f t="array" ref="G223">IF(AND(A223:C223=S223:U223),IF((F223=Y223),1,0),999)</f>
        <v>999</v>
      </c>
      <c r="K223" s="5">
        <v>0</v>
      </c>
      <c r="L223" s="5">
        <v>2</v>
      </c>
      <c r="M223" s="5">
        <v>2</v>
      </c>
      <c r="N223" s="5" t="s">
        <v>1109</v>
      </c>
      <c r="O223" s="5" t="s">
        <v>398</v>
      </c>
      <c r="P223" s="5" t="s">
        <v>142</v>
      </c>
      <c r="Q223" s="5" t="s">
        <v>167</v>
      </c>
      <c r="S223" s="24">
        <v>2</v>
      </c>
      <c r="T223" s="24">
        <v>2</v>
      </c>
      <c r="U223" s="24">
        <v>0</v>
      </c>
      <c r="V223" s="24" t="str">
        <v>ALIYAH ZAHRAH</v>
      </c>
      <c r="W223" s="24" t="str">
        <v>535220243</v>
      </c>
      <c r="X223" s="24" t="str">
        <v>Stupen</v>
      </c>
      <c r="Y223" s="24" t="str">
        <v>Prof. Lina, ST, M.Kom., Ph.D.</v>
      </c>
    </row>
    <row r="224" spans="1:34" ht="15" x14ac:dyDescent="0.2">
      <c r="A224" s="8">
        <v>1</v>
      </c>
      <c r="B224" s="8">
        <v>6</v>
      </c>
      <c r="C224" s="8">
        <v>1</v>
      </c>
      <c r="D224" s="3">
        <v>825220043</v>
      </c>
      <c r="E224" s="3" t="s">
        <v>142</v>
      </c>
      <c r="F224" t="s">
        <v>174</v>
      </c>
      <c r="G224" s="25" cm="1">
        <f t="array" ref="G224">IF(AND(A224:C224=S224:U224),IF((F224=Y224),1,0),999)</f>
        <v>999</v>
      </c>
      <c r="K224" s="5">
        <v>0</v>
      </c>
      <c r="L224" s="5">
        <v>2</v>
      </c>
      <c r="M224" s="5">
        <v>2</v>
      </c>
      <c r="N224" s="5" t="s">
        <v>1110</v>
      </c>
      <c r="O224" s="5" t="s">
        <v>399</v>
      </c>
      <c r="P224" s="5" t="s">
        <v>142</v>
      </c>
      <c r="Q224" s="5" t="s">
        <v>167</v>
      </c>
      <c r="S224" s="24">
        <v>2</v>
      </c>
      <c r="T224" s="24">
        <v>2</v>
      </c>
      <c r="U224" s="24">
        <v>0</v>
      </c>
      <c r="V224" s="24" t="str">
        <v>IQBAL ALFARIDZI BALMAN</v>
      </c>
      <c r="W224" s="24" t="str">
        <v>535220248</v>
      </c>
      <c r="X224" s="24" t="str">
        <v>Stupen</v>
      </c>
      <c r="Y224" s="24" t="str">
        <v>Prof. Lina, ST, M.Kom., Ph.D.</v>
      </c>
    </row>
    <row r="225" spans="1:25" ht="15" x14ac:dyDescent="0.2">
      <c r="A225" s="8">
        <v>1</v>
      </c>
      <c r="B225" s="8">
        <v>6</v>
      </c>
      <c r="C225" s="8">
        <v>1</v>
      </c>
      <c r="D225" s="3">
        <v>825220044</v>
      </c>
      <c r="E225" s="3" t="s">
        <v>142</v>
      </c>
      <c r="F225" t="s">
        <v>174</v>
      </c>
      <c r="G225" s="25" cm="1">
        <f t="array" ref="G225">IF(AND(A225:C225=S225:U225),IF((F225=Y225),1,0),999)</f>
        <v>999</v>
      </c>
      <c r="K225" s="5">
        <v>0</v>
      </c>
      <c r="L225" s="5">
        <v>2</v>
      </c>
      <c r="M225" s="5">
        <v>2</v>
      </c>
      <c r="N225" s="5" t="s">
        <v>1111</v>
      </c>
      <c r="O225" s="5" t="s">
        <v>400</v>
      </c>
      <c r="P225" s="5" t="s">
        <v>142</v>
      </c>
      <c r="Q225" s="5" t="s">
        <v>167</v>
      </c>
      <c r="S225" s="24">
        <v>2</v>
      </c>
      <c r="T225" s="24">
        <v>2</v>
      </c>
      <c r="U225" s="24">
        <v>0</v>
      </c>
      <c r="V225" s="24" t="str">
        <v>NASWA AZAHRA</v>
      </c>
      <c r="W225" s="24" t="str">
        <v>535220252</v>
      </c>
      <c r="X225" s="24" t="str">
        <v>Stupen</v>
      </c>
      <c r="Y225" s="24" t="str">
        <v>Prof. Lina, ST, M.Kom., Ph.D.</v>
      </c>
    </row>
    <row r="226" spans="1:25" ht="15" x14ac:dyDescent="0.2">
      <c r="A226" s="8">
        <v>1</v>
      </c>
      <c r="B226" s="8">
        <v>6</v>
      </c>
      <c r="C226" s="8">
        <v>1</v>
      </c>
      <c r="D226" s="3">
        <v>825220053</v>
      </c>
      <c r="E226" s="3" t="s">
        <v>142</v>
      </c>
      <c r="F226" t="s">
        <v>174</v>
      </c>
      <c r="G226" s="25" cm="1">
        <f t="array" ref="G226">IF(AND(A226:C226=S226:U226),IF((F226=Y226),1,0),999)</f>
        <v>999</v>
      </c>
      <c r="K226" s="5">
        <v>0</v>
      </c>
      <c r="L226" s="5">
        <v>2</v>
      </c>
      <c r="M226" s="5">
        <v>2</v>
      </c>
      <c r="N226" s="5" t="s">
        <v>1112</v>
      </c>
      <c r="O226" s="5" t="s">
        <v>401</v>
      </c>
      <c r="P226" s="5" t="s">
        <v>142</v>
      </c>
      <c r="Q226" s="5" t="s">
        <v>167</v>
      </c>
      <c r="S226" s="24">
        <v>2</v>
      </c>
      <c r="T226" s="24">
        <v>2</v>
      </c>
      <c r="U226" s="24">
        <v>0</v>
      </c>
      <c r="V226" s="24" t="str">
        <v>FERARRY WIJAYA</v>
      </c>
      <c r="W226" s="24" t="str">
        <v>535220254</v>
      </c>
      <c r="X226" s="24" t="str">
        <v>Stupen</v>
      </c>
      <c r="Y226" s="24" t="str">
        <v>Prof. Lina, ST, M.Kom., Ph.D.</v>
      </c>
    </row>
    <row r="227" spans="1:25" ht="15" x14ac:dyDescent="0.2">
      <c r="A227" s="8">
        <v>2</v>
      </c>
      <c r="B227" s="8">
        <v>6</v>
      </c>
      <c r="C227" s="8">
        <v>1</v>
      </c>
      <c r="D227" s="3">
        <v>535220052</v>
      </c>
      <c r="E227" s="3" t="s">
        <v>142</v>
      </c>
      <c r="F227" t="s">
        <v>158</v>
      </c>
      <c r="G227" s="25" cm="1">
        <f t="array" ref="G227">IF(AND(A227:C227=S227:U227),IF((F227=Y227),1,0),999)</f>
        <v>999</v>
      </c>
      <c r="K227" s="5">
        <v>1</v>
      </c>
      <c r="L227" s="5">
        <v>2</v>
      </c>
      <c r="M227" s="5">
        <v>0</v>
      </c>
      <c r="N227" s="5" t="s">
        <v>1113</v>
      </c>
      <c r="O227" s="5" t="s">
        <v>402</v>
      </c>
      <c r="P227" s="5" t="s">
        <v>142</v>
      </c>
      <c r="Q227" s="5" t="s">
        <v>169</v>
      </c>
      <c r="S227" s="24">
        <v>3</v>
      </c>
      <c r="T227" s="24">
        <v>2</v>
      </c>
      <c r="U227" s="24">
        <v>0</v>
      </c>
      <c r="V227" s="24" t="str">
        <v>MICHAEL</v>
      </c>
      <c r="W227" s="24" t="str">
        <v>535220261</v>
      </c>
      <c r="X227" s="24" t="str">
        <v>Stupen</v>
      </c>
      <c r="Y227" s="24" t="str">
        <v>Prof. Lina, ST, M.Kom., Ph.D.</v>
      </c>
    </row>
    <row r="228" spans="1:25" ht="15" x14ac:dyDescent="0.2">
      <c r="A228" s="8">
        <v>2</v>
      </c>
      <c r="B228" s="8">
        <v>6</v>
      </c>
      <c r="C228" s="8">
        <v>1</v>
      </c>
      <c r="D228" s="3">
        <v>535220085</v>
      </c>
      <c r="E228" s="3" t="s">
        <v>142</v>
      </c>
      <c r="F228" t="s">
        <v>158</v>
      </c>
      <c r="G228" s="25" cm="1">
        <f t="array" ref="G228">IF(AND(A228:C228=S228:U228),IF((F228=Y228),1,0),999)</f>
        <v>999</v>
      </c>
      <c r="K228" s="5">
        <v>1</v>
      </c>
      <c r="L228" s="5">
        <v>2</v>
      </c>
      <c r="M228" s="5">
        <v>0</v>
      </c>
      <c r="N228" s="5" t="s">
        <v>1114</v>
      </c>
      <c r="O228" s="5" t="s">
        <v>403</v>
      </c>
      <c r="P228" s="5" t="s">
        <v>142</v>
      </c>
      <c r="Q228" s="5" t="s">
        <v>169</v>
      </c>
      <c r="S228" s="24">
        <v>3</v>
      </c>
      <c r="T228" s="24">
        <v>2</v>
      </c>
      <c r="U228" s="24">
        <v>0</v>
      </c>
      <c r="V228" s="24" t="str">
        <v>AHMAD RORY</v>
      </c>
      <c r="W228" s="24" t="str">
        <v>825220167</v>
      </c>
      <c r="X228" s="24" t="str">
        <v>Stupen</v>
      </c>
      <c r="Y228" s="24" t="str">
        <v>Tony, S.Kom., M.Kom., Ph.D.</v>
      </c>
    </row>
    <row r="229" spans="1:25" ht="15" x14ac:dyDescent="0.2">
      <c r="A229" s="8">
        <v>2</v>
      </c>
      <c r="B229" s="8">
        <v>6</v>
      </c>
      <c r="C229" s="8">
        <v>1</v>
      </c>
      <c r="D229" s="3">
        <v>535220087</v>
      </c>
      <c r="E229" s="3" t="s">
        <v>142</v>
      </c>
      <c r="F229" t="s">
        <v>158</v>
      </c>
      <c r="G229" s="25" cm="1">
        <f t="array" ref="G229">IF(AND(A229:C229=S229:U229),IF((F229=Y229),1,0),999)</f>
        <v>999</v>
      </c>
      <c r="K229" s="5">
        <v>1</v>
      </c>
      <c r="L229" s="5">
        <v>2</v>
      </c>
      <c r="M229" s="5">
        <v>0</v>
      </c>
      <c r="N229" s="5" t="s">
        <v>1115</v>
      </c>
      <c r="O229" s="5" t="s">
        <v>404</v>
      </c>
      <c r="P229" s="5" t="s">
        <v>142</v>
      </c>
      <c r="Q229" s="5" t="s">
        <v>169</v>
      </c>
      <c r="S229" s="24">
        <v>3</v>
      </c>
      <c r="T229" s="24">
        <v>2</v>
      </c>
      <c r="U229" s="24">
        <v>0</v>
      </c>
      <c r="V229" s="24" t="str">
        <v>MICHAEL CHAN</v>
      </c>
      <c r="W229" s="24" t="str">
        <v>535220079</v>
      </c>
      <c r="X229" s="24" t="str">
        <v>Penelitian</v>
      </c>
      <c r="Y229" s="24" t="str">
        <v>Tony, S.Kom., M.Kom., Ph.D.</v>
      </c>
    </row>
    <row r="230" spans="1:25" ht="15" x14ac:dyDescent="0.2">
      <c r="A230" s="8">
        <v>2</v>
      </c>
      <c r="B230" s="8">
        <v>6</v>
      </c>
      <c r="C230" s="8">
        <v>1</v>
      </c>
      <c r="D230" s="3">
        <v>535220089</v>
      </c>
      <c r="E230" s="3" t="s">
        <v>142</v>
      </c>
      <c r="F230" t="s">
        <v>158</v>
      </c>
      <c r="G230" s="25" cm="1">
        <f t="array" ref="G230">IF(AND(A230:C230=S230:U230),IF((F230=Y230),1,0),999)</f>
        <v>999</v>
      </c>
      <c r="K230" s="5">
        <v>1</v>
      </c>
      <c r="L230" s="5">
        <v>2</v>
      </c>
      <c r="M230" s="5">
        <v>0</v>
      </c>
      <c r="N230" s="5" t="s">
        <v>1116</v>
      </c>
      <c r="O230" s="5" t="s">
        <v>405</v>
      </c>
      <c r="P230" s="5" t="s">
        <v>142</v>
      </c>
      <c r="Q230" s="5" t="s">
        <v>169</v>
      </c>
      <c r="S230" s="24">
        <v>0</v>
      </c>
      <c r="T230" s="24">
        <v>2</v>
      </c>
      <c r="U230" s="24">
        <v>1</v>
      </c>
      <c r="V230" s="24" t="str">
        <v>NATHANIEL ROWEN</v>
      </c>
      <c r="W230" s="24" t="str">
        <v>535220082</v>
      </c>
      <c r="X230" s="24" t="str">
        <v>Magang</v>
      </c>
      <c r="Y230" s="24" t="str">
        <v>Irvan Lewenusa, S.Kom., M.Kom.</v>
      </c>
    </row>
    <row r="231" spans="1:25" ht="15" x14ac:dyDescent="0.2">
      <c r="A231" s="8">
        <v>2</v>
      </c>
      <c r="B231" s="8">
        <v>6</v>
      </c>
      <c r="C231" s="8">
        <v>1</v>
      </c>
      <c r="D231" s="3">
        <v>535220091</v>
      </c>
      <c r="E231" s="3" t="s">
        <v>142</v>
      </c>
      <c r="F231" t="s">
        <v>158</v>
      </c>
      <c r="G231" s="25" cm="1">
        <f t="array" ref="G231">IF(AND(A231:C231=S231:U231),IF((F231=Y231),1,0),999)</f>
        <v>999</v>
      </c>
      <c r="K231" s="5">
        <v>1</v>
      </c>
      <c r="L231" s="5">
        <v>2</v>
      </c>
      <c r="M231" s="5">
        <v>0</v>
      </c>
      <c r="N231" s="5" t="s">
        <v>1117</v>
      </c>
      <c r="O231" s="5" t="s">
        <v>406</v>
      </c>
      <c r="P231" s="5" t="s">
        <v>142</v>
      </c>
      <c r="Q231" s="5" t="s">
        <v>169</v>
      </c>
      <c r="S231" s="24">
        <v>0</v>
      </c>
      <c r="T231" s="24">
        <v>2</v>
      </c>
      <c r="U231" s="24">
        <v>1</v>
      </c>
      <c r="V231" s="24" t="str">
        <v>NICO THOMAS</v>
      </c>
      <c r="W231" s="24" t="str">
        <v>535220133</v>
      </c>
      <c r="X231" s="24" t="str">
        <v>Magang</v>
      </c>
      <c r="Y231" s="24" t="str">
        <v>Irvan Lewenusa, S.Kom., M.Kom.</v>
      </c>
    </row>
    <row r="232" spans="1:25" ht="15" x14ac:dyDescent="0.2">
      <c r="A232" s="8">
        <v>3</v>
      </c>
      <c r="B232" s="8">
        <v>6</v>
      </c>
      <c r="C232" s="8">
        <v>1</v>
      </c>
      <c r="D232" s="3">
        <v>825220076</v>
      </c>
      <c r="E232" s="3" t="s">
        <v>142</v>
      </c>
      <c r="F232" t="s">
        <v>174</v>
      </c>
      <c r="G232" s="25" cm="1">
        <f t="array" ref="G232">IF(AND(A232:C232=S232:U232),IF((F232=Y232),1,0),999)</f>
        <v>999</v>
      </c>
      <c r="K232" s="5">
        <v>1</v>
      </c>
      <c r="L232" s="5">
        <v>2</v>
      </c>
      <c r="M232" s="5">
        <v>1</v>
      </c>
      <c r="N232" s="5" t="s">
        <v>1118</v>
      </c>
      <c r="O232" s="5" t="s">
        <v>407</v>
      </c>
      <c r="P232" s="5" t="s">
        <v>142</v>
      </c>
      <c r="Q232" s="5" t="s">
        <v>164</v>
      </c>
      <c r="S232" s="24">
        <v>0</v>
      </c>
      <c r="T232" s="24">
        <v>2</v>
      </c>
      <c r="U232" s="24">
        <v>1</v>
      </c>
      <c r="V232" s="24" t="str">
        <v>VINCENT ALEXANDER</v>
      </c>
      <c r="W232" s="24" t="str">
        <v>535220149</v>
      </c>
      <c r="X232" s="24" t="str">
        <v>Magang</v>
      </c>
      <c r="Y232" s="24" t="str">
        <v>Irvan Lewenusa, S.Kom., M.Kom.</v>
      </c>
    </row>
    <row r="233" spans="1:25" ht="15" x14ac:dyDescent="0.2">
      <c r="A233" s="8">
        <v>3</v>
      </c>
      <c r="B233" s="8">
        <v>6</v>
      </c>
      <c r="C233" s="8">
        <v>1</v>
      </c>
      <c r="D233" s="3">
        <v>825220077</v>
      </c>
      <c r="E233" s="3" t="s">
        <v>142</v>
      </c>
      <c r="F233" t="s">
        <v>174</v>
      </c>
      <c r="G233" s="25" cm="1">
        <f t="array" ref="G233">IF(AND(A233:C233=S233:U233),IF((F233=Y233),1,0),999)</f>
        <v>999</v>
      </c>
      <c r="K233" s="5">
        <v>1</v>
      </c>
      <c r="L233" s="5">
        <v>2</v>
      </c>
      <c r="M233" s="5">
        <v>1</v>
      </c>
      <c r="N233" s="5" t="s">
        <v>1119</v>
      </c>
      <c r="O233" s="5" t="s">
        <v>408</v>
      </c>
      <c r="P233" s="5" t="s">
        <v>142</v>
      </c>
      <c r="Q233" s="5" t="s">
        <v>164</v>
      </c>
      <c r="S233" s="24">
        <v>0</v>
      </c>
      <c r="T233" s="24">
        <v>2</v>
      </c>
      <c r="U233" s="24">
        <v>1</v>
      </c>
      <c r="V233" s="24" t="str">
        <v>FU ANDRY PUTRA</v>
      </c>
      <c r="W233" s="24" t="str">
        <v>535220152</v>
      </c>
      <c r="X233" s="24" t="str">
        <v>Magang</v>
      </c>
      <c r="Y233" s="24" t="str">
        <v>Irvan Lewenusa, S.Kom., M.Kom.</v>
      </c>
    </row>
    <row r="234" spans="1:25" ht="15" x14ac:dyDescent="0.2">
      <c r="A234" s="8">
        <v>3</v>
      </c>
      <c r="B234" s="8">
        <v>6</v>
      </c>
      <c r="C234" s="8">
        <v>1</v>
      </c>
      <c r="D234" s="3">
        <v>825220078</v>
      </c>
      <c r="E234" s="3" t="s">
        <v>142</v>
      </c>
      <c r="F234" t="s">
        <v>174</v>
      </c>
      <c r="G234" s="25" cm="1">
        <f t="array" ref="G234">IF(AND(A234:C234=S234:U234),IF((F234=Y234),1,0),999)</f>
        <v>999</v>
      </c>
      <c r="K234" s="5">
        <v>1</v>
      </c>
      <c r="L234" s="5">
        <v>2</v>
      </c>
      <c r="M234" s="5">
        <v>1</v>
      </c>
      <c r="N234" s="5" t="s">
        <v>1120</v>
      </c>
      <c r="O234" s="5" t="s">
        <v>409</v>
      </c>
      <c r="P234" s="5" t="s">
        <v>142</v>
      </c>
      <c r="Q234" s="5" t="s">
        <v>164</v>
      </c>
      <c r="S234" s="24">
        <v>0</v>
      </c>
      <c r="T234" s="24">
        <v>2</v>
      </c>
      <c r="U234" s="24">
        <v>1</v>
      </c>
      <c r="V234" s="24" t="str">
        <v>HENOKH MIKHAEL KRISTIANTAN</v>
      </c>
      <c r="W234" s="24" t="str">
        <v>535220154</v>
      </c>
      <c r="X234" s="24" t="str">
        <v>Magang</v>
      </c>
      <c r="Y234" s="24" t="str">
        <v>Irvan Lewenusa, S.Kom., M.Kom.</v>
      </c>
    </row>
    <row r="235" spans="1:25" ht="15" x14ac:dyDescent="0.2">
      <c r="A235" s="8">
        <v>3</v>
      </c>
      <c r="B235" s="8">
        <v>6</v>
      </c>
      <c r="C235" s="8">
        <v>1</v>
      </c>
      <c r="D235" s="3">
        <v>825220079</v>
      </c>
      <c r="E235" s="3" t="s">
        <v>142</v>
      </c>
      <c r="F235" t="s">
        <v>174</v>
      </c>
      <c r="G235" s="25" cm="1">
        <f t="array" ref="G235">IF(AND(A235:C235=S235:U235),IF((F235=Y235),1,0),999)</f>
        <v>999</v>
      </c>
      <c r="K235" s="5">
        <v>1</v>
      </c>
      <c r="L235" s="5">
        <v>2</v>
      </c>
      <c r="M235" s="5">
        <v>1</v>
      </c>
      <c r="N235" s="5" t="s">
        <v>1121</v>
      </c>
      <c r="O235" s="5" t="s">
        <v>410</v>
      </c>
      <c r="P235" s="5" t="s">
        <v>142</v>
      </c>
      <c r="Q235" s="5" t="s">
        <v>164</v>
      </c>
      <c r="S235" s="24">
        <v>1</v>
      </c>
      <c r="T235" s="24">
        <v>2</v>
      </c>
      <c r="U235" s="24">
        <v>1</v>
      </c>
      <c r="V235" s="24" t="str">
        <v xml:space="preserve">AMOS VALENTINO NABABAN </v>
      </c>
      <c r="W235" s="24" t="str">
        <v>535220191</v>
      </c>
      <c r="X235" s="24" t="str">
        <v>Magang</v>
      </c>
      <c r="Y235" s="24" t="str">
        <v>Irvan Lewenusa, S.Kom., M.Kom.</v>
      </c>
    </row>
    <row r="236" spans="1:25" ht="15" x14ac:dyDescent="0.2">
      <c r="A236" s="8">
        <v>3</v>
      </c>
      <c r="B236" s="8">
        <v>6</v>
      </c>
      <c r="C236" s="8">
        <v>1</v>
      </c>
      <c r="D236" s="3">
        <v>825220127</v>
      </c>
      <c r="E236" s="3" t="s">
        <v>142</v>
      </c>
      <c r="F236" t="s">
        <v>174</v>
      </c>
      <c r="G236" s="25" cm="1">
        <f t="array" ref="G236">IF(AND(A236:C236=S236:U236),IF((F236=Y236),1,0),999)</f>
        <v>999</v>
      </c>
      <c r="K236" s="5">
        <v>1</v>
      </c>
      <c r="L236" s="5">
        <v>2</v>
      </c>
      <c r="M236" s="5">
        <v>1</v>
      </c>
      <c r="N236" s="5" t="s">
        <v>1122</v>
      </c>
      <c r="O236" s="5" t="s">
        <v>411</v>
      </c>
      <c r="P236" s="5" t="s">
        <v>142</v>
      </c>
      <c r="Q236" s="5" t="s">
        <v>164</v>
      </c>
      <c r="S236" s="24">
        <v>1</v>
      </c>
      <c r="T236" s="24">
        <v>2</v>
      </c>
      <c r="U236" s="24">
        <v>1</v>
      </c>
      <c r="V236" s="24" t="str">
        <v>DANIEL HARTONO HONORIS</v>
      </c>
      <c r="W236" s="24" t="str">
        <v>535220206</v>
      </c>
      <c r="X236" s="24" t="str">
        <v>Magang</v>
      </c>
      <c r="Y236" s="24" t="str">
        <v>Irvan Lewenusa, S.Kom., M.Kom.</v>
      </c>
    </row>
    <row r="237" spans="1:25" ht="15" x14ac:dyDescent="0.2">
      <c r="A237" s="8">
        <v>0</v>
      </c>
      <c r="B237" s="8">
        <v>6</v>
      </c>
      <c r="C237" s="8">
        <v>2</v>
      </c>
      <c r="D237" s="3">
        <v>535220039</v>
      </c>
      <c r="E237" s="3" t="s">
        <v>142</v>
      </c>
      <c r="F237" t="s">
        <v>166</v>
      </c>
      <c r="G237" s="25" cm="1">
        <f t="array" ref="G237">IF(AND(A237:C237=S237:U237),IF((F237=Y237),1,0),999)</f>
        <v>999</v>
      </c>
      <c r="K237" s="5">
        <v>1</v>
      </c>
      <c r="L237" s="5">
        <v>2</v>
      </c>
      <c r="M237" s="5">
        <v>2</v>
      </c>
      <c r="N237" s="5" t="s">
        <v>1123</v>
      </c>
      <c r="O237" s="5" t="s">
        <v>412</v>
      </c>
      <c r="P237" s="5" t="s">
        <v>142</v>
      </c>
      <c r="Q237" s="5" t="s">
        <v>168</v>
      </c>
      <c r="S237" s="24">
        <v>1</v>
      </c>
      <c r="T237" s="24">
        <v>2</v>
      </c>
      <c r="U237" s="24">
        <v>1</v>
      </c>
      <c r="V237" s="24" t="str">
        <v>RICKY CANGNIAGO</v>
      </c>
      <c r="W237" s="24" t="str">
        <v>535220210</v>
      </c>
      <c r="X237" s="24" t="str">
        <v>Magang</v>
      </c>
      <c r="Y237" s="24" t="str">
        <v>Irvan Lewenusa, S.Kom., M.Kom.</v>
      </c>
    </row>
    <row r="238" spans="1:25" ht="15" x14ac:dyDescent="0.2">
      <c r="A238" s="8">
        <v>0</v>
      </c>
      <c r="B238" s="8">
        <v>6</v>
      </c>
      <c r="C238" s="8">
        <v>2</v>
      </c>
      <c r="D238" s="3">
        <v>535220041</v>
      </c>
      <c r="E238" s="3" t="s">
        <v>142</v>
      </c>
      <c r="F238" t="s">
        <v>166</v>
      </c>
      <c r="G238" s="25" cm="1">
        <f t="array" ref="G238">IF(AND(A238:C238=S238:U238),IF((F238=Y238),1,0),999)</f>
        <v>999</v>
      </c>
      <c r="K238" s="5">
        <v>1</v>
      </c>
      <c r="L238" s="5">
        <v>2</v>
      </c>
      <c r="M238" s="5">
        <v>2</v>
      </c>
      <c r="N238" s="5" t="s">
        <v>1124</v>
      </c>
      <c r="O238" s="5" t="s">
        <v>413</v>
      </c>
      <c r="P238" s="5" t="s">
        <v>142</v>
      </c>
      <c r="Q238" s="5" t="s">
        <v>168</v>
      </c>
      <c r="S238" s="24">
        <v>1</v>
      </c>
      <c r="T238" s="24">
        <v>2</v>
      </c>
      <c r="U238" s="24">
        <v>1</v>
      </c>
      <c r="V238" s="24" t="str">
        <v>AURELLIUS JEREMIAH THOMAS</v>
      </c>
      <c r="W238" s="24" t="str">
        <v>535220213</v>
      </c>
      <c r="X238" s="24" t="str">
        <v>Magang</v>
      </c>
      <c r="Y238" s="24" t="str">
        <v>Irvan Lewenusa, S.Kom., M.Kom.</v>
      </c>
    </row>
    <row r="239" spans="1:25" ht="15" x14ac:dyDescent="0.2">
      <c r="A239" s="8">
        <v>0</v>
      </c>
      <c r="B239" s="8">
        <v>6</v>
      </c>
      <c r="C239" s="8">
        <v>2</v>
      </c>
      <c r="D239" s="3">
        <v>535220051</v>
      </c>
      <c r="E239" s="3" t="s">
        <v>142</v>
      </c>
      <c r="F239" t="s">
        <v>166</v>
      </c>
      <c r="G239" s="25" cm="1">
        <f t="array" ref="G239">IF(AND(A239:C239=S239:U239),IF((F239=Y239),1,0),999)</f>
        <v>999</v>
      </c>
      <c r="K239" s="5">
        <v>1</v>
      </c>
      <c r="L239" s="5">
        <v>2</v>
      </c>
      <c r="M239" s="5">
        <v>2</v>
      </c>
      <c r="N239" s="5" t="s">
        <v>1125</v>
      </c>
      <c r="O239" s="5" t="s">
        <v>414</v>
      </c>
      <c r="P239" s="5" t="s">
        <v>142</v>
      </c>
      <c r="Q239" s="5" t="s">
        <v>168</v>
      </c>
      <c r="S239" s="24">
        <v>1</v>
      </c>
      <c r="T239" s="24">
        <v>2</v>
      </c>
      <c r="U239" s="24">
        <v>1</v>
      </c>
      <c r="V239" s="24" t="str">
        <v>YOGA RAMADHANI KABAKORA</v>
      </c>
      <c r="W239" s="24" t="str">
        <v>535220247</v>
      </c>
      <c r="X239" s="24" t="str">
        <v>Magang</v>
      </c>
      <c r="Y239" s="24" t="str">
        <v>Irvan Lewenusa, S.Kom., M.Kom.</v>
      </c>
    </row>
    <row r="240" spans="1:25" ht="15" x14ac:dyDescent="0.2">
      <c r="A240" s="8">
        <v>0</v>
      </c>
      <c r="B240" s="8">
        <v>6</v>
      </c>
      <c r="C240" s="8">
        <v>2</v>
      </c>
      <c r="D240" s="3">
        <v>535220146</v>
      </c>
      <c r="E240" s="3" t="s">
        <v>142</v>
      </c>
      <c r="F240" t="s">
        <v>166</v>
      </c>
      <c r="G240" s="25" cm="1">
        <f t="array" ref="G240">IF(AND(A240:C240=S240:U240),IF((F240=Y240),1,0),999)</f>
        <v>999</v>
      </c>
      <c r="K240" s="5">
        <v>1</v>
      </c>
      <c r="L240" s="5">
        <v>2</v>
      </c>
      <c r="M240" s="5">
        <v>2</v>
      </c>
      <c r="N240" s="5" t="s">
        <v>1126</v>
      </c>
      <c r="O240" s="5" t="s">
        <v>415</v>
      </c>
      <c r="P240" s="5" t="s">
        <v>142</v>
      </c>
      <c r="Q240" s="5" t="s">
        <v>168</v>
      </c>
      <c r="S240" s="24">
        <v>2</v>
      </c>
      <c r="T240" s="24">
        <v>2</v>
      </c>
      <c r="U240" s="24">
        <v>1</v>
      </c>
      <c r="V240" s="24" t="str">
        <v xml:space="preserve">LI WEI </v>
      </c>
      <c r="W240" s="24" t="str">
        <v>825220054</v>
      </c>
      <c r="X240" s="24" t="str">
        <v>Magang</v>
      </c>
      <c r="Y240" s="24" t="str">
        <v>Tony, S.Kom., M.Kom., Ph.D.</v>
      </c>
    </row>
    <row r="241" spans="1:25" ht="15" x14ac:dyDescent="0.2">
      <c r="A241" s="8">
        <v>0</v>
      </c>
      <c r="B241" s="8">
        <v>6</v>
      </c>
      <c r="C241" s="8">
        <v>2</v>
      </c>
      <c r="D241" s="3">
        <v>535220151</v>
      </c>
      <c r="E241" s="3" t="s">
        <v>142</v>
      </c>
      <c r="F241" t="s">
        <v>166</v>
      </c>
      <c r="G241" s="25" cm="1">
        <f t="array" ref="G241">IF(AND(A241:C241=S241:U241),IF((F241=Y241),1,0),999)</f>
        <v>999</v>
      </c>
      <c r="K241" s="5">
        <v>1</v>
      </c>
      <c r="L241" s="5">
        <v>2</v>
      </c>
      <c r="M241" s="5">
        <v>2</v>
      </c>
      <c r="N241" s="5" t="s">
        <v>1127</v>
      </c>
      <c r="O241" s="5" t="s">
        <v>416</v>
      </c>
      <c r="P241" s="5" t="s">
        <v>142</v>
      </c>
      <c r="Q241" s="5" t="s">
        <v>168</v>
      </c>
      <c r="S241" s="24">
        <v>2</v>
      </c>
      <c r="T241" s="24">
        <v>2</v>
      </c>
      <c r="U241" s="24">
        <v>1</v>
      </c>
      <c r="V241" s="24" t="str">
        <v>ARMANTA TARIGAN</v>
      </c>
      <c r="W241" s="24" t="str">
        <v>825220129</v>
      </c>
      <c r="X241" s="24" t="str">
        <v>Magang</v>
      </c>
      <c r="Y241" s="24" t="str">
        <v>Tony, S.Kom., M.Kom., Ph.D.</v>
      </c>
    </row>
    <row r="242" spans="1:25" ht="15" x14ac:dyDescent="0.2">
      <c r="A242" s="8">
        <v>1</v>
      </c>
      <c r="B242" s="8">
        <v>6</v>
      </c>
      <c r="C242" s="8">
        <v>2</v>
      </c>
      <c r="D242" s="3">
        <v>535220161</v>
      </c>
      <c r="E242" s="3" t="s">
        <v>142</v>
      </c>
      <c r="F242" t="s">
        <v>166</v>
      </c>
      <c r="G242" s="25" cm="1">
        <f t="array" ref="G242">IF(AND(A242:C242=S242:U242),IF((F242=Y242),1,0),999)</f>
        <v>999</v>
      </c>
      <c r="K242" s="5">
        <v>2</v>
      </c>
      <c r="L242" s="5">
        <v>2</v>
      </c>
      <c r="M242" s="5">
        <v>0</v>
      </c>
      <c r="N242" s="5" t="s">
        <v>1128</v>
      </c>
      <c r="O242" s="5" t="s">
        <v>417</v>
      </c>
      <c r="P242" s="5" t="s">
        <v>142</v>
      </c>
      <c r="Q242" s="5" t="s">
        <v>169</v>
      </c>
      <c r="S242" s="24">
        <v>2</v>
      </c>
      <c r="T242" s="24">
        <v>2</v>
      </c>
      <c r="U242" s="24">
        <v>1</v>
      </c>
      <c r="V242" s="24" t="str">
        <v>GERRANT ENRIQO HIYA</v>
      </c>
      <c r="W242" s="24" t="str">
        <v>825220147</v>
      </c>
      <c r="X242" s="24" t="str">
        <v>Magang</v>
      </c>
      <c r="Y242" s="24" t="str">
        <v>Tony, S.Kom., M.Kom., Ph.D.</v>
      </c>
    </row>
    <row r="243" spans="1:25" ht="15" x14ac:dyDescent="0.2">
      <c r="A243" s="8">
        <v>1</v>
      </c>
      <c r="B243" s="8">
        <v>6</v>
      </c>
      <c r="C243" s="8">
        <v>2</v>
      </c>
      <c r="D243" s="3">
        <v>535220235</v>
      </c>
      <c r="E243" s="3" t="s">
        <v>142</v>
      </c>
      <c r="F243" t="s">
        <v>166</v>
      </c>
      <c r="G243" s="25" cm="1">
        <f t="array" ref="G243">IF(AND(A243:C243=S243:U243),IF((F243=Y243),1,0),999)</f>
        <v>999</v>
      </c>
      <c r="K243" s="5">
        <v>2</v>
      </c>
      <c r="L243" s="5">
        <v>2</v>
      </c>
      <c r="M243" s="5">
        <v>0</v>
      </c>
      <c r="N243" s="5" t="s">
        <v>1129</v>
      </c>
      <c r="O243" s="5" t="s">
        <v>418</v>
      </c>
      <c r="P243" s="5" t="s">
        <v>143</v>
      </c>
      <c r="Q243" s="5" t="s">
        <v>169</v>
      </c>
      <c r="S243" s="24">
        <v>2</v>
      </c>
      <c r="T243" s="24">
        <v>2</v>
      </c>
      <c r="U243" s="24">
        <v>1</v>
      </c>
      <c r="V243" s="24" t="str">
        <v>AMARA THURIDHA</v>
      </c>
      <c r="W243" s="24" t="str">
        <v>825220153</v>
      </c>
      <c r="X243" s="24" t="str">
        <v>Magang</v>
      </c>
      <c r="Y243" s="24" t="str">
        <v>Tony, S.Kom., M.Kom., Ph.D.</v>
      </c>
    </row>
    <row r="244" spans="1:25" ht="15" x14ac:dyDescent="0.2">
      <c r="A244" s="8">
        <v>1</v>
      </c>
      <c r="B244" s="8">
        <v>6</v>
      </c>
      <c r="C244" s="8">
        <v>2</v>
      </c>
      <c r="D244" s="3">
        <v>535220056</v>
      </c>
      <c r="E244" s="3" t="s">
        <v>142</v>
      </c>
      <c r="F244" t="s">
        <v>156</v>
      </c>
      <c r="G244" s="25" cm="1">
        <f t="array" ref="G244">IF(AND(A244:C244=S244:U244),IF((F244=Y244),1,0),999)</f>
        <v>999</v>
      </c>
      <c r="K244" s="5">
        <v>2</v>
      </c>
      <c r="L244" s="5">
        <v>2</v>
      </c>
      <c r="M244" s="5">
        <v>0</v>
      </c>
      <c r="N244" s="5" t="s">
        <v>1130</v>
      </c>
      <c r="O244" s="5" t="s">
        <v>419</v>
      </c>
      <c r="P244" s="5" t="s">
        <v>143</v>
      </c>
      <c r="Q244" s="5" t="s">
        <v>169</v>
      </c>
      <c r="S244" s="24">
        <v>2</v>
      </c>
      <c r="T244" s="24">
        <v>2</v>
      </c>
      <c r="U244" s="24">
        <v>1</v>
      </c>
      <c r="V244" s="24" t="str">
        <v>ANDRI RIZKIKA</v>
      </c>
      <c r="W244" s="24" t="str">
        <v>825220168</v>
      </c>
      <c r="X244" s="24" t="str">
        <v>Magang</v>
      </c>
      <c r="Y244" s="24" t="str">
        <v>Tony, S.Kom., M.Kom., Ph.D.</v>
      </c>
    </row>
    <row r="245" spans="1:25" ht="15" x14ac:dyDescent="0.2">
      <c r="A245" s="8">
        <v>1</v>
      </c>
      <c r="B245" s="8">
        <v>6</v>
      </c>
      <c r="C245" s="8">
        <v>2</v>
      </c>
      <c r="D245" s="3">
        <v>535220057</v>
      </c>
      <c r="E245" s="3" t="s">
        <v>142</v>
      </c>
      <c r="F245" t="s">
        <v>156</v>
      </c>
      <c r="G245" s="25" cm="1">
        <f t="array" ref="G245">IF(AND(A245:C245=S245:U245),IF((F245=Y245),1,0),999)</f>
        <v>999</v>
      </c>
      <c r="K245" s="5">
        <v>2</v>
      </c>
      <c r="L245" s="5">
        <v>2</v>
      </c>
      <c r="M245" s="5">
        <v>0</v>
      </c>
      <c r="N245" s="5" t="s">
        <v>1131</v>
      </c>
      <c r="O245" s="5" t="s">
        <v>420</v>
      </c>
      <c r="P245" s="5" t="s">
        <v>143</v>
      </c>
      <c r="Q245" s="5" t="s">
        <v>169</v>
      </c>
      <c r="S245" s="24">
        <v>0</v>
      </c>
      <c r="T245" s="24">
        <v>2</v>
      </c>
      <c r="U245" s="24">
        <v>2</v>
      </c>
      <c r="V245" s="24" t="str">
        <v>KEVIN SUSANTO DHARMAWAN</v>
      </c>
      <c r="W245" s="24" t="str">
        <v>825220112</v>
      </c>
      <c r="X245" s="24" t="str">
        <v>Mengajar</v>
      </c>
      <c r="Y245" s="24" t="str">
        <v>Darius Andana Haris, S.Kom., MTI</v>
      </c>
    </row>
    <row r="246" spans="1:25" ht="15" x14ac:dyDescent="0.2">
      <c r="A246" s="8">
        <v>1</v>
      </c>
      <c r="B246" s="8">
        <v>6</v>
      </c>
      <c r="C246" s="8">
        <v>2</v>
      </c>
      <c r="D246" s="3">
        <v>535220106</v>
      </c>
      <c r="E246" s="3" t="s">
        <v>142</v>
      </c>
      <c r="F246" t="s">
        <v>156</v>
      </c>
      <c r="G246" s="25" cm="1">
        <f t="array" ref="G246">IF(AND(A246:C246=S246:U246),IF((F246=Y246),1,0),999)</f>
        <v>999</v>
      </c>
      <c r="K246" s="5">
        <v>2</v>
      </c>
      <c r="L246" s="5">
        <v>2</v>
      </c>
      <c r="M246" s="5">
        <v>0</v>
      </c>
      <c r="N246" s="5" t="s">
        <v>1132</v>
      </c>
      <c r="O246" s="5" t="s">
        <v>421</v>
      </c>
      <c r="P246" s="5" t="s">
        <v>143</v>
      </c>
      <c r="Q246" s="5" t="s">
        <v>169</v>
      </c>
      <c r="S246" s="24">
        <v>0</v>
      </c>
      <c r="T246" s="24">
        <v>2</v>
      </c>
      <c r="U246" s="24">
        <v>2</v>
      </c>
      <c r="V246" s="24" t="str">
        <v>FADHEL PUTRA FELMI</v>
      </c>
      <c r="W246" s="24" t="str">
        <v>535220182</v>
      </c>
      <c r="X246" s="24" t="str">
        <v>Magang</v>
      </c>
      <c r="Y246" s="24" t="str">
        <v>Teny Handhayani, S.Kom., M.Kom., Ph.D.</v>
      </c>
    </row>
    <row r="247" spans="1:25" ht="15" x14ac:dyDescent="0.2">
      <c r="A247" s="8">
        <v>2</v>
      </c>
      <c r="B247" s="8">
        <v>6</v>
      </c>
      <c r="C247" s="8">
        <v>2</v>
      </c>
      <c r="D247" s="3">
        <v>535220108</v>
      </c>
      <c r="E247" s="3" t="s">
        <v>142</v>
      </c>
      <c r="F247" t="s">
        <v>156</v>
      </c>
      <c r="G247" s="25" cm="1">
        <f t="array" ref="G247">IF(AND(A247:C247=S247:U247),IF((F247=Y247),1,0),999)</f>
        <v>999</v>
      </c>
      <c r="K247" s="5">
        <v>2</v>
      </c>
      <c r="L247" s="5">
        <v>2</v>
      </c>
      <c r="M247" s="5">
        <v>1</v>
      </c>
      <c r="N247" s="5" t="s">
        <v>1133</v>
      </c>
      <c r="O247" s="5" t="s">
        <v>422</v>
      </c>
      <c r="P247" s="5" t="s">
        <v>142</v>
      </c>
      <c r="Q247" s="5" t="s">
        <v>168</v>
      </c>
      <c r="S247" s="24">
        <v>0</v>
      </c>
      <c r="T247" s="24">
        <v>2</v>
      </c>
      <c r="U247" s="24">
        <v>2</v>
      </c>
      <c r="V247" s="24" t="str">
        <v>KENNETH MARLON TAN</v>
      </c>
      <c r="W247" s="24" t="str">
        <v>535220183</v>
      </c>
      <c r="X247" s="24" t="str">
        <v>Magang</v>
      </c>
      <c r="Y247" s="24" t="str">
        <v>Teny Handhayani, S.Kom., M.Kom., Ph.D.</v>
      </c>
    </row>
    <row r="248" spans="1:25" ht="15" x14ac:dyDescent="0.2">
      <c r="A248" s="8">
        <v>2</v>
      </c>
      <c r="B248" s="8">
        <v>6</v>
      </c>
      <c r="C248" s="8">
        <v>2</v>
      </c>
      <c r="D248" s="3">
        <v>535220109</v>
      </c>
      <c r="E248" s="3" t="s">
        <v>142</v>
      </c>
      <c r="F248" t="s">
        <v>156</v>
      </c>
      <c r="G248" s="25" cm="1">
        <f t="array" ref="G248">IF(AND(A248:C248=S248:U248),IF((F248=Y248),1,0),999)</f>
        <v>999</v>
      </c>
      <c r="K248" s="5">
        <v>2</v>
      </c>
      <c r="L248" s="5">
        <v>2</v>
      </c>
      <c r="M248" s="5">
        <v>1</v>
      </c>
      <c r="N248" s="5" t="s">
        <v>1134</v>
      </c>
      <c r="O248" s="5" t="s">
        <v>423</v>
      </c>
      <c r="P248" s="5" t="s">
        <v>142</v>
      </c>
      <c r="Q248" s="5" t="s">
        <v>168</v>
      </c>
      <c r="S248" s="24">
        <v>0</v>
      </c>
      <c r="T248" s="24">
        <v>2</v>
      </c>
      <c r="U248" s="24">
        <v>2</v>
      </c>
      <c r="V248" s="24" t="str">
        <v>JHONATAN MARIKROS</v>
      </c>
      <c r="W248" s="24" t="str">
        <v>535220189</v>
      </c>
      <c r="X248" s="24" t="str">
        <v>Magang</v>
      </c>
      <c r="Y248" s="24" t="str">
        <v>Teny Handhayani, S.Kom., M.Kom., Ph.D.</v>
      </c>
    </row>
    <row r="249" spans="1:25" ht="15" x14ac:dyDescent="0.2">
      <c r="A249" s="8">
        <v>2</v>
      </c>
      <c r="B249" s="8">
        <v>6</v>
      </c>
      <c r="C249" s="8">
        <v>2</v>
      </c>
      <c r="D249" s="3">
        <v>535220162</v>
      </c>
      <c r="E249" s="3" t="s">
        <v>142</v>
      </c>
      <c r="F249" t="s">
        <v>156</v>
      </c>
      <c r="G249" s="25" cm="1">
        <f t="array" ref="G249">IF(AND(A249:C249=S249:U249),IF((F249=Y249),1,0),999)</f>
        <v>999</v>
      </c>
      <c r="K249" s="5">
        <v>2</v>
      </c>
      <c r="L249" s="5">
        <v>2</v>
      </c>
      <c r="M249" s="5">
        <v>1</v>
      </c>
      <c r="N249" s="5" t="s">
        <v>1135</v>
      </c>
      <c r="O249" s="5" t="s">
        <v>424</v>
      </c>
      <c r="P249" s="5" t="s">
        <v>142</v>
      </c>
      <c r="Q249" s="5" t="s">
        <v>168</v>
      </c>
      <c r="S249" s="24">
        <v>0</v>
      </c>
      <c r="T249" s="24">
        <v>2</v>
      </c>
      <c r="U249" s="24">
        <v>2</v>
      </c>
      <c r="V249" s="24" t="str">
        <v>MUHAMMAD RAFFI HERMAWAN</v>
      </c>
      <c r="W249" s="24" t="str">
        <v>535220259</v>
      </c>
      <c r="X249" s="24" t="str">
        <v>Magang</v>
      </c>
      <c r="Y249" s="24" t="str">
        <v>Teny Handhayani, S.Kom., M.Kom., Ph.D.</v>
      </c>
    </row>
    <row r="250" spans="1:25" ht="15" x14ac:dyDescent="0.2">
      <c r="A250" s="8">
        <v>2</v>
      </c>
      <c r="B250" s="8">
        <v>6</v>
      </c>
      <c r="C250" s="8">
        <v>2</v>
      </c>
      <c r="D250" s="3">
        <v>535220166</v>
      </c>
      <c r="E250" s="3" t="s">
        <v>142</v>
      </c>
      <c r="F250" t="s">
        <v>156</v>
      </c>
      <c r="G250" s="25" cm="1">
        <f t="array" ref="G250">IF(AND(A250:C250=S250:U250),IF((F250=Y250),1,0),999)</f>
        <v>999</v>
      </c>
      <c r="K250" s="5">
        <v>2</v>
      </c>
      <c r="L250" s="5">
        <v>2</v>
      </c>
      <c r="M250" s="5">
        <v>1</v>
      </c>
      <c r="N250" s="5" t="s">
        <v>1136</v>
      </c>
      <c r="O250" s="5" t="s">
        <v>425</v>
      </c>
      <c r="P250" s="5" t="s">
        <v>142</v>
      </c>
      <c r="Q250" s="5" t="s">
        <v>168</v>
      </c>
      <c r="S250" s="24">
        <v>1</v>
      </c>
      <c r="T250" s="24">
        <v>2</v>
      </c>
      <c r="U250" s="24">
        <v>2</v>
      </c>
      <c r="V250" s="24" t="str">
        <v>NOVANDRY APRILIAN</v>
      </c>
      <c r="W250" s="24" t="str">
        <v>535220165</v>
      </c>
      <c r="X250" s="24" t="str">
        <v>Magang</v>
      </c>
      <c r="Y250" s="24" t="str">
        <v>Tony, S.Kom., M.Kom., Ph.D.</v>
      </c>
    </row>
    <row r="251" spans="1:25" ht="15" x14ac:dyDescent="0.2">
      <c r="A251" s="8">
        <v>2</v>
      </c>
      <c r="B251" s="8">
        <v>6</v>
      </c>
      <c r="C251" s="8">
        <v>2</v>
      </c>
      <c r="D251" s="3">
        <v>535220170</v>
      </c>
      <c r="E251" s="3" t="s">
        <v>142</v>
      </c>
      <c r="F251" t="s">
        <v>156</v>
      </c>
      <c r="G251" s="25" cm="1">
        <f t="array" ref="G251">IF(AND(A251:C251=S251:U251),IF((F251=Y251),1,0),999)</f>
        <v>999</v>
      </c>
      <c r="K251" s="5">
        <v>2</v>
      </c>
      <c r="L251" s="5">
        <v>2</v>
      </c>
      <c r="M251" s="5">
        <v>1</v>
      </c>
      <c r="N251" s="5" t="s">
        <v>1137</v>
      </c>
      <c r="O251" s="5" t="s">
        <v>426</v>
      </c>
      <c r="P251" s="5" t="s">
        <v>142</v>
      </c>
      <c r="Q251" s="5" t="s">
        <v>168</v>
      </c>
      <c r="S251" s="24">
        <v>1</v>
      </c>
      <c r="T251" s="24">
        <v>2</v>
      </c>
      <c r="U251" s="24">
        <v>2</v>
      </c>
      <c r="V251" s="24" t="str">
        <v>RUDI HARTARTO</v>
      </c>
      <c r="W251" s="24" t="str">
        <v>535220197</v>
      </c>
      <c r="X251" s="24" t="str">
        <v>Magang</v>
      </c>
      <c r="Y251" s="24" t="str">
        <v>Tony, S.Kom., M.Kom., Ph.D.</v>
      </c>
    </row>
    <row r="252" spans="1:25" ht="15" x14ac:dyDescent="0.2">
      <c r="A252" s="8">
        <v>0</v>
      </c>
      <c r="B252" s="8">
        <v>7</v>
      </c>
      <c r="C252" s="8">
        <v>0</v>
      </c>
      <c r="D252" s="3">
        <v>825220021</v>
      </c>
      <c r="E252" s="3" t="s">
        <v>143</v>
      </c>
      <c r="F252" t="s">
        <v>173</v>
      </c>
      <c r="G252" s="25" cm="1">
        <f t="array" ref="G252">IF(AND(A252:C252=S252:U252),IF((F252=Y252),1,0),999)</f>
        <v>999</v>
      </c>
      <c r="K252" s="5">
        <v>3</v>
      </c>
      <c r="L252" s="5">
        <v>2</v>
      </c>
      <c r="M252" s="5">
        <v>0</v>
      </c>
      <c r="N252" s="5" t="s">
        <v>961</v>
      </c>
      <c r="O252" s="5" t="s">
        <v>427</v>
      </c>
      <c r="P252" s="5" t="s">
        <v>143</v>
      </c>
      <c r="Q252" s="5" t="s">
        <v>169</v>
      </c>
      <c r="S252" s="24">
        <v>1</v>
      </c>
      <c r="T252" s="24">
        <v>2</v>
      </c>
      <c r="U252" s="24">
        <v>2</v>
      </c>
      <c r="V252" s="24" t="str">
        <v>REYNALDO</v>
      </c>
      <c r="W252" s="24" t="str">
        <v>535220201</v>
      </c>
      <c r="X252" s="24" t="str">
        <v>Magang</v>
      </c>
      <c r="Y252" s="24" t="str">
        <v>Tony, S.Kom., M.Kom., Ph.D.</v>
      </c>
    </row>
    <row r="253" spans="1:25" ht="15" x14ac:dyDescent="0.2">
      <c r="A253" s="8">
        <v>0</v>
      </c>
      <c r="B253" s="8">
        <v>7</v>
      </c>
      <c r="C253" s="8">
        <v>0</v>
      </c>
      <c r="D253" s="3">
        <v>825220031</v>
      </c>
      <c r="E253" s="3" t="s">
        <v>143</v>
      </c>
      <c r="F253" t="s">
        <v>173</v>
      </c>
      <c r="G253" s="25" cm="1">
        <f t="array" ref="G253">IF(AND(A253:C253=S253:U253),IF((F253=Y253),1,0),999)</f>
        <v>999</v>
      </c>
      <c r="K253" s="5">
        <v>3</v>
      </c>
      <c r="L253" s="5">
        <v>2</v>
      </c>
      <c r="M253" s="5">
        <v>0</v>
      </c>
      <c r="N253" s="5" t="s">
        <v>1138</v>
      </c>
      <c r="O253" s="5" t="s">
        <v>428</v>
      </c>
      <c r="P253" s="5" t="s">
        <v>143</v>
      </c>
      <c r="Q253" s="5" t="s">
        <v>168</v>
      </c>
      <c r="S253" s="24">
        <v>1</v>
      </c>
      <c r="T253" s="24">
        <v>2</v>
      </c>
      <c r="U253" s="24">
        <v>2</v>
      </c>
      <c r="V253" s="24" t="str">
        <v>GILANG SAMUDRO SUWARJONO</v>
      </c>
      <c r="W253" s="24" t="str">
        <v>535229202</v>
      </c>
      <c r="X253" s="24" t="str">
        <v>Magang</v>
      </c>
      <c r="Y253" s="24" t="str">
        <v>Tony, S.Kom., M.Kom., Ph.D.</v>
      </c>
    </row>
    <row r="254" spans="1:25" ht="15" x14ac:dyDescent="0.2">
      <c r="A254" s="8">
        <v>0</v>
      </c>
      <c r="B254" s="8">
        <v>7</v>
      </c>
      <c r="C254" s="8">
        <v>0</v>
      </c>
      <c r="D254" s="3">
        <v>825220032</v>
      </c>
      <c r="E254" s="3" t="s">
        <v>143</v>
      </c>
      <c r="F254" t="s">
        <v>173</v>
      </c>
      <c r="G254" s="25" cm="1">
        <f t="array" ref="G254">IF(AND(A254:C254=S254:U254),IF((F254=Y254),1,0),999)</f>
        <v>999</v>
      </c>
      <c r="K254" s="5">
        <v>3</v>
      </c>
      <c r="L254" s="5">
        <v>2</v>
      </c>
      <c r="M254" s="5">
        <v>0</v>
      </c>
      <c r="N254" s="5" t="s">
        <v>1139</v>
      </c>
      <c r="O254" s="5" t="s">
        <v>429</v>
      </c>
      <c r="P254" s="5" t="s">
        <v>144</v>
      </c>
      <c r="Q254" s="5" t="s">
        <v>168</v>
      </c>
      <c r="S254" s="24">
        <v>1</v>
      </c>
      <c r="T254" s="24">
        <v>2</v>
      </c>
      <c r="U254" s="24">
        <v>2</v>
      </c>
      <c r="V254" s="24" t="str">
        <v>CHERYL NATHANIA</v>
      </c>
      <c r="W254" s="24" t="str">
        <v>825220051</v>
      </c>
      <c r="X254" s="24" t="str">
        <v>Magang</v>
      </c>
      <c r="Y254" s="24" t="str">
        <v>Tony, S.Kom., M.Kom., Ph.D.</v>
      </c>
    </row>
    <row r="255" spans="1:25" ht="15" x14ac:dyDescent="0.2">
      <c r="A255" s="8">
        <v>0</v>
      </c>
      <c r="B255" s="8">
        <v>7</v>
      </c>
      <c r="C255" s="8">
        <v>0</v>
      </c>
      <c r="D255" s="3">
        <v>825220033</v>
      </c>
      <c r="E255" s="3" t="s">
        <v>143</v>
      </c>
      <c r="F255" t="s">
        <v>173</v>
      </c>
      <c r="G255" s="25" cm="1">
        <f t="array" ref="G255">IF(AND(A255:C255=S255:U255),IF((F255=Y255),1,0),999)</f>
        <v>999</v>
      </c>
      <c r="K255" s="5">
        <v>4</v>
      </c>
      <c r="L255" s="5">
        <v>3</v>
      </c>
      <c r="M255" s="5">
        <v>0</v>
      </c>
      <c r="N255" s="5" t="s">
        <v>1140</v>
      </c>
      <c r="O255" s="5" t="s">
        <v>430</v>
      </c>
      <c r="P255" s="5" t="s">
        <v>142</v>
      </c>
      <c r="Q255" s="5" t="s">
        <v>170</v>
      </c>
      <c r="S255" s="24">
        <v>4</v>
      </c>
      <c r="T255" s="24">
        <v>3</v>
      </c>
      <c r="U255" s="24">
        <v>0</v>
      </c>
      <c r="V255" s="24" t="str">
        <v>JASON PERMANA</v>
      </c>
      <c r="W255" s="24" t="str">
        <v>535220002</v>
      </c>
      <c r="X255" s="24" t="str">
        <v>Magang</v>
      </c>
      <c r="Y255" s="24" t="str">
        <v>Prof. Dr. Ir. Dyah Erny Herwindiati, M.Si.</v>
      </c>
    </row>
    <row r="256" spans="1:25" ht="15" x14ac:dyDescent="0.2">
      <c r="A256" s="8">
        <v>0</v>
      </c>
      <c r="B256" s="8">
        <v>7</v>
      </c>
      <c r="C256" s="8">
        <v>0</v>
      </c>
      <c r="D256" s="4">
        <v>825220035</v>
      </c>
      <c r="E256" s="3" t="s">
        <v>143</v>
      </c>
      <c r="F256" t="s">
        <v>173</v>
      </c>
      <c r="G256" s="25" cm="1">
        <f t="array" ref="G256">IF(AND(A256:C256=S256:U256),IF((F256=Y256),1,0),999)</f>
        <v>999</v>
      </c>
      <c r="K256" s="5">
        <v>4</v>
      </c>
      <c r="L256" s="5">
        <v>3</v>
      </c>
      <c r="M256" s="5">
        <v>0</v>
      </c>
      <c r="N256" s="5" t="s">
        <v>1141</v>
      </c>
      <c r="O256" s="5" t="s">
        <v>431</v>
      </c>
      <c r="P256" s="5" t="s">
        <v>142</v>
      </c>
      <c r="Q256" s="5" t="s">
        <v>170</v>
      </c>
      <c r="S256" s="24">
        <v>4</v>
      </c>
      <c r="T256" s="24">
        <v>3</v>
      </c>
      <c r="U256" s="24">
        <v>0</v>
      </c>
      <c r="V256" s="24" t="str">
        <v>ARYA WIRA KRISTANTO</v>
      </c>
      <c r="W256" s="24" t="str">
        <v>535220004</v>
      </c>
      <c r="X256" s="24" t="str">
        <v>Magang</v>
      </c>
      <c r="Y256" s="24" t="str">
        <v>Prof. Dr. Ir. Dyah Erny Herwindiati, M.Si.</v>
      </c>
    </row>
    <row r="257" spans="1:25" ht="15" x14ac:dyDescent="0.2">
      <c r="A257" s="8">
        <v>1</v>
      </c>
      <c r="B257" s="8">
        <v>7</v>
      </c>
      <c r="C257" s="8">
        <v>0</v>
      </c>
      <c r="D257" s="3">
        <v>535220160</v>
      </c>
      <c r="E257" s="3" t="s">
        <v>143</v>
      </c>
      <c r="F257" t="s">
        <v>175</v>
      </c>
      <c r="G257" s="25" cm="1">
        <f t="array" ref="G257">IF(AND(A257:C257=S257:U257),IF((F257=Y257),1,0),999)</f>
        <v>999</v>
      </c>
      <c r="K257" s="5">
        <v>4</v>
      </c>
      <c r="L257" s="5">
        <v>3</v>
      </c>
      <c r="M257" s="5">
        <v>0</v>
      </c>
      <c r="N257" s="5" t="s">
        <v>1142</v>
      </c>
      <c r="O257" s="5" t="s">
        <v>432</v>
      </c>
      <c r="P257" s="5" t="s">
        <v>142</v>
      </c>
      <c r="Q257" s="5" t="s">
        <v>170</v>
      </c>
      <c r="S257" s="24">
        <v>4</v>
      </c>
      <c r="T257" s="24">
        <v>3</v>
      </c>
      <c r="U257" s="24">
        <v>0</v>
      </c>
      <c r="V257" s="24" t="str">
        <v>NICHOLAS MARTIN</v>
      </c>
      <c r="W257" s="24" t="str">
        <v>535220027</v>
      </c>
      <c r="X257" s="24" t="str">
        <v>Magang</v>
      </c>
      <c r="Y257" s="24" t="str">
        <v>Prof. Dr. Ir. Dyah Erny Herwindiati, M.Si.</v>
      </c>
    </row>
    <row r="258" spans="1:25" ht="15" x14ac:dyDescent="0.2">
      <c r="A258" s="8">
        <v>1</v>
      </c>
      <c r="B258" s="8">
        <v>7</v>
      </c>
      <c r="C258" s="8">
        <v>0</v>
      </c>
      <c r="D258" s="3">
        <v>535220178</v>
      </c>
      <c r="E258" s="3" t="s">
        <v>143</v>
      </c>
      <c r="F258" t="s">
        <v>175</v>
      </c>
      <c r="G258" s="25" cm="1">
        <f t="array" ref="G258">IF(AND(A258:C258=S258:U258),IF((F258=Y258),1,0),999)</f>
        <v>999</v>
      </c>
      <c r="K258" s="5">
        <v>4</v>
      </c>
      <c r="L258" s="5">
        <v>3</v>
      </c>
      <c r="M258" s="5">
        <v>0</v>
      </c>
      <c r="N258" s="5" t="s">
        <v>1143</v>
      </c>
      <c r="O258" s="5" t="s">
        <v>433</v>
      </c>
      <c r="P258" s="5" t="s">
        <v>142</v>
      </c>
      <c r="Q258" s="5" t="s">
        <v>170</v>
      </c>
      <c r="S258" s="24">
        <v>4</v>
      </c>
      <c r="T258" s="24">
        <v>3</v>
      </c>
      <c r="U258" s="24">
        <v>0</v>
      </c>
      <c r="V258" s="24" t="str">
        <v xml:space="preserve">FINNIA LI </v>
      </c>
      <c r="W258" s="24" t="str">
        <v>535220030</v>
      </c>
      <c r="X258" s="24" t="str">
        <v>Magang</v>
      </c>
      <c r="Y258" s="24" t="str">
        <v>Prof. Dr. Ir. Dyah Erny Herwindiati, M.Si.</v>
      </c>
    </row>
    <row r="259" spans="1:25" ht="15" x14ac:dyDescent="0.2">
      <c r="A259" s="8">
        <v>1</v>
      </c>
      <c r="B259" s="8">
        <v>7</v>
      </c>
      <c r="C259" s="8">
        <v>0</v>
      </c>
      <c r="D259" s="3">
        <v>535220196</v>
      </c>
      <c r="E259" s="3" t="s">
        <v>143</v>
      </c>
      <c r="F259" t="s">
        <v>175</v>
      </c>
      <c r="G259" s="25" cm="1">
        <f t="array" ref="G259">IF(AND(A259:C259=S259:U259),IF((F259=Y259),1,0),999)</f>
        <v>999</v>
      </c>
      <c r="K259" s="5">
        <v>4</v>
      </c>
      <c r="L259" s="5">
        <v>3</v>
      </c>
      <c r="M259" s="5">
        <v>0</v>
      </c>
      <c r="N259" s="5" t="s">
        <v>1144</v>
      </c>
      <c r="O259" s="5" t="s">
        <v>434</v>
      </c>
      <c r="P259" s="5" t="s">
        <v>142</v>
      </c>
      <c r="Q259" s="5" t="s">
        <v>170</v>
      </c>
      <c r="S259" s="24">
        <v>4</v>
      </c>
      <c r="T259" s="24">
        <v>3</v>
      </c>
      <c r="U259" s="24">
        <v>0</v>
      </c>
      <c r="V259" s="24" t="str">
        <v>KEVIN JONATHAN JM</v>
      </c>
      <c r="W259" s="24" t="str">
        <v>535220038</v>
      </c>
      <c r="X259" s="24" t="str">
        <v>Magang</v>
      </c>
      <c r="Y259" s="24" t="str">
        <v>Prof. Dr. Ir. Dyah Erny Herwindiati, M.Si.</v>
      </c>
    </row>
    <row r="260" spans="1:25" ht="15" x14ac:dyDescent="0.2">
      <c r="A260" s="8">
        <v>1</v>
      </c>
      <c r="B260" s="8">
        <v>7</v>
      </c>
      <c r="C260" s="8">
        <v>0</v>
      </c>
      <c r="D260" s="3">
        <v>535220216</v>
      </c>
      <c r="E260" s="3" t="s">
        <v>143</v>
      </c>
      <c r="F260" t="s">
        <v>175</v>
      </c>
      <c r="G260" s="25" cm="1">
        <f t="array" ref="G260">IF(AND(A260:C260=S260:U260),IF((F260=Y260),1,0),999)</f>
        <v>999</v>
      </c>
      <c r="K260" s="5">
        <v>5</v>
      </c>
      <c r="L260" s="5">
        <v>3</v>
      </c>
      <c r="M260" s="5">
        <v>0</v>
      </c>
      <c r="N260" s="5" t="s">
        <v>1145</v>
      </c>
      <c r="O260" s="5" t="s">
        <v>435</v>
      </c>
      <c r="P260" s="5" t="s">
        <v>142</v>
      </c>
      <c r="Q260" s="5" t="s">
        <v>170</v>
      </c>
      <c r="S260" s="24">
        <v>5</v>
      </c>
      <c r="T260" s="24">
        <v>3</v>
      </c>
      <c r="U260" s="24">
        <v>0</v>
      </c>
      <c r="V260" s="24" t="str">
        <v>RICHARD VINCENTIUS</v>
      </c>
      <c r="W260" s="24" t="str">
        <v>535220077</v>
      </c>
      <c r="X260" s="24" t="str">
        <v>Magang</v>
      </c>
      <c r="Y260" s="24" t="str">
        <v>Prof. Dr. Ir. Dyah Erny Herwindiati, M.Si.</v>
      </c>
    </row>
    <row r="261" spans="1:25" ht="15" x14ac:dyDescent="0.2">
      <c r="A261" s="8">
        <v>1</v>
      </c>
      <c r="B261" s="8">
        <v>7</v>
      </c>
      <c r="C261" s="8">
        <v>0</v>
      </c>
      <c r="D261" s="3">
        <v>535220219</v>
      </c>
      <c r="E261" s="3" t="s">
        <v>143</v>
      </c>
      <c r="F261" t="s">
        <v>175</v>
      </c>
      <c r="G261" s="25" cm="1">
        <f t="array" ref="G261">IF(AND(A261:C261=S261:U261),IF((F261=Y261),1,0),999)</f>
        <v>999</v>
      </c>
      <c r="K261" s="5">
        <v>5</v>
      </c>
      <c r="L261" s="5">
        <v>3</v>
      </c>
      <c r="M261" s="5">
        <v>0</v>
      </c>
      <c r="N261" s="5" t="s">
        <v>1146</v>
      </c>
      <c r="O261" s="5" t="s">
        <v>436</v>
      </c>
      <c r="P261" s="5" t="s">
        <v>142</v>
      </c>
      <c r="Q261" s="5" t="s">
        <v>170</v>
      </c>
      <c r="S261" s="24">
        <v>5</v>
      </c>
      <c r="T261" s="24">
        <v>3</v>
      </c>
      <c r="U261" s="24">
        <v>0</v>
      </c>
      <c r="V261" s="24" t="str">
        <v xml:space="preserve">KEVIN NATANAEL </v>
      </c>
      <c r="W261" s="24" t="str">
        <v>535220084</v>
      </c>
      <c r="X261" s="24" t="str">
        <v>Magang</v>
      </c>
      <c r="Y261" s="24" t="str">
        <v>Prof. Dr. Ir. Dyah Erny Herwindiati, M.Si.</v>
      </c>
    </row>
    <row r="262" spans="1:25" ht="15" x14ac:dyDescent="0.2">
      <c r="A262" s="8">
        <v>2</v>
      </c>
      <c r="B262" s="8">
        <v>7</v>
      </c>
      <c r="C262" s="8">
        <v>0</v>
      </c>
      <c r="D262" s="3">
        <v>535220222</v>
      </c>
      <c r="E262" s="3" t="s">
        <v>143</v>
      </c>
      <c r="F262" t="s">
        <v>175</v>
      </c>
      <c r="G262" s="25" cm="1">
        <f t="array" ref="G262">IF(AND(A262:C262=S262:U262),IF((F262=Y262),1,0),999)</f>
        <v>999</v>
      </c>
      <c r="K262" s="5">
        <v>5</v>
      </c>
      <c r="L262" s="5">
        <v>3</v>
      </c>
      <c r="M262" s="5">
        <v>0</v>
      </c>
      <c r="N262" s="5" t="s">
        <v>1147</v>
      </c>
      <c r="O262" s="5" t="s">
        <v>437</v>
      </c>
      <c r="P262" s="5" t="s">
        <v>143</v>
      </c>
      <c r="Q262" s="5" t="s">
        <v>170</v>
      </c>
      <c r="S262" s="24">
        <v>5</v>
      </c>
      <c r="T262" s="24">
        <v>3</v>
      </c>
      <c r="U262" s="24">
        <v>0</v>
      </c>
      <c r="V262" s="24" t="str">
        <v>STEVAN LUKAS SIAHAAN</v>
      </c>
      <c r="W262" s="24" t="str">
        <v>535220053</v>
      </c>
      <c r="X262" s="24" t="str">
        <v>Stupen</v>
      </c>
      <c r="Y262" s="24" t="str">
        <v>Prof. Dr. Ir. Dyah Erny Herwindiati, M.Si.</v>
      </c>
    </row>
    <row r="263" spans="1:25" ht="15" x14ac:dyDescent="0.2">
      <c r="A263" s="8">
        <v>2</v>
      </c>
      <c r="B263" s="8">
        <v>7</v>
      </c>
      <c r="C263" s="8">
        <v>0</v>
      </c>
      <c r="D263" s="3">
        <v>535220226</v>
      </c>
      <c r="E263" s="3" t="s">
        <v>143</v>
      </c>
      <c r="F263" t="s">
        <v>175</v>
      </c>
      <c r="G263" s="25" cm="1">
        <f t="array" ref="G263">IF(AND(A263:C263=S263:U263),IF((F263=Y263),1,0),999)</f>
        <v>999</v>
      </c>
      <c r="K263" s="5">
        <v>0</v>
      </c>
      <c r="L263" s="5">
        <v>5</v>
      </c>
      <c r="M263" s="5">
        <v>0</v>
      </c>
      <c r="N263" s="5" t="s">
        <v>1148</v>
      </c>
      <c r="O263" s="5" t="s">
        <v>438</v>
      </c>
      <c r="P263" s="5" t="s">
        <v>142</v>
      </c>
      <c r="Q263" s="5" t="s">
        <v>172</v>
      </c>
      <c r="S263" s="24">
        <v>0</v>
      </c>
      <c r="T263" s="24">
        <v>5</v>
      </c>
      <c r="U263" s="24">
        <v>0</v>
      </c>
      <c r="V263" s="24" t="str">
        <v>GULIELMUS JASON</v>
      </c>
      <c r="W263" s="24" t="str">
        <v>825210038</v>
      </c>
      <c r="X263" s="24" t="str">
        <v>Magang</v>
      </c>
      <c r="Y263" s="24" t="str">
        <v>Dr. Dedi Trisnawarman, S.Si., M.Kom.</v>
      </c>
    </row>
    <row r="264" spans="1:25" ht="15" x14ac:dyDescent="0.2">
      <c r="A264" s="8">
        <v>2</v>
      </c>
      <c r="B264" s="8">
        <v>7</v>
      </c>
      <c r="C264" s="8">
        <v>0</v>
      </c>
      <c r="D264" s="3">
        <v>535220231</v>
      </c>
      <c r="E264" s="3" t="s">
        <v>143</v>
      </c>
      <c r="F264" t="s">
        <v>175</v>
      </c>
      <c r="G264" s="25" cm="1">
        <f t="array" ref="G264">IF(AND(A264:C264=S264:U264),IF((F264=Y264),1,0),999)</f>
        <v>999</v>
      </c>
      <c r="K264" s="5">
        <v>0</v>
      </c>
      <c r="L264" s="5">
        <v>5</v>
      </c>
      <c r="M264" s="5">
        <v>0</v>
      </c>
      <c r="N264" s="5" t="s">
        <v>1149</v>
      </c>
      <c r="O264" s="5" t="s">
        <v>439</v>
      </c>
      <c r="P264" s="5" t="s">
        <v>142</v>
      </c>
      <c r="Q264" s="5" t="s">
        <v>172</v>
      </c>
      <c r="S264" s="24">
        <v>0</v>
      </c>
      <c r="T264" s="24">
        <v>5</v>
      </c>
      <c r="U264" s="24">
        <v>0</v>
      </c>
      <c r="V264" s="24" t="str">
        <v>RICHWILL RONALDY</v>
      </c>
      <c r="W264" s="24" t="str">
        <v>825220080</v>
      </c>
      <c r="X264" s="24" t="str">
        <v>Magang</v>
      </c>
      <c r="Y264" s="24" t="str">
        <v>Dr. Dedi Trisnawarman, S.Si., M.Kom.</v>
      </c>
    </row>
    <row r="265" spans="1:25" ht="15" x14ac:dyDescent="0.2">
      <c r="A265" s="8">
        <v>2</v>
      </c>
      <c r="B265" s="8">
        <v>7</v>
      </c>
      <c r="C265" s="8">
        <v>0</v>
      </c>
      <c r="D265" s="3">
        <v>535220237</v>
      </c>
      <c r="E265" s="3" t="s">
        <v>143</v>
      </c>
      <c r="F265" t="s">
        <v>175</v>
      </c>
      <c r="G265" s="25" cm="1">
        <f t="array" ref="G265">IF(AND(A265:C265=S265:U265),IF((F265=Y265),1,0),999)</f>
        <v>999</v>
      </c>
      <c r="K265" s="5">
        <v>0</v>
      </c>
      <c r="L265" s="5">
        <v>5</v>
      </c>
      <c r="M265" s="5">
        <v>0</v>
      </c>
      <c r="N265" s="5" t="s">
        <v>1150</v>
      </c>
      <c r="O265" s="5" t="s">
        <v>440</v>
      </c>
      <c r="P265" s="5" t="s">
        <v>142</v>
      </c>
      <c r="Q265" s="5" t="s">
        <v>172</v>
      </c>
      <c r="S265" s="24">
        <v>0</v>
      </c>
      <c r="T265" s="24">
        <v>5</v>
      </c>
      <c r="U265" s="24">
        <v>0</v>
      </c>
      <c r="V265" s="24" t="str">
        <v>DELON CHRISTOPHER TANDY</v>
      </c>
      <c r="W265" s="24" t="str">
        <v>825220082</v>
      </c>
      <c r="X265" s="24" t="str">
        <v>Magang</v>
      </c>
      <c r="Y265" s="24" t="str">
        <v>Dr. Dedi Trisnawarman, S.Si., M.Kom.</v>
      </c>
    </row>
    <row r="266" spans="1:25" ht="15" x14ac:dyDescent="0.2">
      <c r="A266" s="8">
        <v>2</v>
      </c>
      <c r="B266" s="8">
        <v>7</v>
      </c>
      <c r="C266" s="8">
        <v>0</v>
      </c>
      <c r="D266" s="3">
        <v>535220241</v>
      </c>
      <c r="E266" s="3" t="s">
        <v>143</v>
      </c>
      <c r="F266" t="s">
        <v>175</v>
      </c>
      <c r="G266" s="25" cm="1">
        <f t="array" ref="G266">IF(AND(A266:C266=S266:U266),IF((F266=Y266),1,0),999)</f>
        <v>999</v>
      </c>
      <c r="K266" s="5">
        <v>0</v>
      </c>
      <c r="L266" s="5">
        <v>5</v>
      </c>
      <c r="M266" s="5">
        <v>0</v>
      </c>
      <c r="N266" s="5" t="s">
        <v>1151</v>
      </c>
      <c r="O266" s="5" t="s">
        <v>441</v>
      </c>
      <c r="P266" s="5" t="s">
        <v>142</v>
      </c>
      <c r="Q266" s="5" t="s">
        <v>172</v>
      </c>
      <c r="S266" s="24">
        <v>0</v>
      </c>
      <c r="T266" s="24">
        <v>5</v>
      </c>
      <c r="U266" s="24">
        <v>0</v>
      </c>
      <c r="V266" s="24" t="str">
        <v>ONGGO JULIUS SIDDHARTA</v>
      </c>
      <c r="W266" s="24" t="str">
        <v>825220085</v>
      </c>
      <c r="X266" s="24" t="str">
        <v>Magang</v>
      </c>
      <c r="Y266" s="24" t="str">
        <v>Dr. Dedi Trisnawarman, S.Si., M.Kom.</v>
      </c>
    </row>
    <row r="267" spans="1:25" ht="15" x14ac:dyDescent="0.2">
      <c r="A267" s="8">
        <v>3</v>
      </c>
      <c r="B267" s="8">
        <v>7</v>
      </c>
      <c r="C267" s="8">
        <v>0</v>
      </c>
      <c r="D267" s="3">
        <v>535220243</v>
      </c>
      <c r="E267" s="3" t="s">
        <v>143</v>
      </c>
      <c r="F267" t="s">
        <v>169</v>
      </c>
      <c r="G267" s="25" cm="1">
        <f t="array" ref="G267">IF(AND(A267:C267=S267:U267),IF((F267=Y267),1,0),999)</f>
        <v>999</v>
      </c>
      <c r="K267" s="5">
        <v>0</v>
      </c>
      <c r="L267" s="5">
        <v>5</v>
      </c>
      <c r="M267" s="5">
        <v>0</v>
      </c>
      <c r="N267" s="5" t="s">
        <v>1152</v>
      </c>
      <c r="O267" s="5" t="s">
        <v>442</v>
      </c>
      <c r="P267" s="5" t="s">
        <v>142</v>
      </c>
      <c r="Q267" s="5" t="s">
        <v>172</v>
      </c>
      <c r="S267" s="24">
        <v>0</v>
      </c>
      <c r="T267" s="24">
        <v>5</v>
      </c>
      <c r="U267" s="24">
        <v>0</v>
      </c>
      <c r="V267" s="24" t="str">
        <v>JASON TERRENCE</v>
      </c>
      <c r="W267" s="24" t="str">
        <v>825220086</v>
      </c>
      <c r="X267" s="24" t="str">
        <v>Magang</v>
      </c>
      <c r="Y267" s="24" t="str">
        <v>Dr. Dedi Trisnawarman, S.Si., M.Kom.</v>
      </c>
    </row>
    <row r="268" spans="1:25" ht="15" x14ac:dyDescent="0.2">
      <c r="A268" s="8">
        <v>3</v>
      </c>
      <c r="B268" s="8">
        <v>7</v>
      </c>
      <c r="C268" s="8">
        <v>0</v>
      </c>
      <c r="D268" s="3">
        <v>535220248</v>
      </c>
      <c r="E268" s="3" t="s">
        <v>143</v>
      </c>
      <c r="F268" t="s">
        <v>169</v>
      </c>
      <c r="G268" s="25" cm="1">
        <f t="array" ref="G268">IF(AND(A268:C268=S268:U268),IF((F268=Y268),1,0),999)</f>
        <v>999</v>
      </c>
      <c r="K268" s="5">
        <v>0</v>
      </c>
      <c r="L268" s="5">
        <v>5</v>
      </c>
      <c r="M268" s="5">
        <v>1</v>
      </c>
      <c r="N268" s="5" t="s">
        <v>1153</v>
      </c>
      <c r="O268" s="5" t="s">
        <v>443</v>
      </c>
      <c r="P268" s="5" t="s">
        <v>142</v>
      </c>
      <c r="Q268" s="5" t="s">
        <v>158</v>
      </c>
      <c r="S268" s="24">
        <v>1</v>
      </c>
      <c r="T268" s="24">
        <v>5</v>
      </c>
      <c r="U268" s="24">
        <v>0</v>
      </c>
      <c r="V268" s="24" t="str">
        <v>CECILLIA CHERISH MARDJUKI</v>
      </c>
      <c r="W268" s="24" t="str">
        <v>825220090</v>
      </c>
      <c r="X268" s="24" t="str">
        <v>Magang</v>
      </c>
      <c r="Y268" s="24" t="str">
        <v>Dr. Dedi Trisnawarman, S.Si., M.Kom.</v>
      </c>
    </row>
    <row r="269" spans="1:25" ht="15" x14ac:dyDescent="0.2">
      <c r="A269" s="8">
        <v>3</v>
      </c>
      <c r="B269" s="8">
        <v>7</v>
      </c>
      <c r="C269" s="8">
        <v>0</v>
      </c>
      <c r="D269" s="3">
        <v>535220252</v>
      </c>
      <c r="E269" s="3" t="s">
        <v>143</v>
      </c>
      <c r="F269" t="s">
        <v>169</v>
      </c>
      <c r="G269" s="25" cm="1">
        <f t="array" ref="G269">IF(AND(A269:C269=S269:U269),IF((F269=Y269),1,0),999)</f>
        <v>999</v>
      </c>
      <c r="K269" s="5">
        <v>0</v>
      </c>
      <c r="L269" s="5">
        <v>5</v>
      </c>
      <c r="M269" s="5">
        <v>1</v>
      </c>
      <c r="N269" s="5" t="s">
        <v>1154</v>
      </c>
      <c r="O269" s="5" t="s">
        <v>444</v>
      </c>
      <c r="P269" s="5" t="s">
        <v>142</v>
      </c>
      <c r="Q269" s="5" t="s">
        <v>158</v>
      </c>
      <c r="S269" s="24">
        <v>1</v>
      </c>
      <c r="T269" s="24">
        <v>5</v>
      </c>
      <c r="U269" s="24">
        <v>0</v>
      </c>
      <c r="V269" s="24" t="str">
        <v>MATTHEW SHANE WILIE</v>
      </c>
      <c r="W269" s="24" t="str">
        <v>825220091</v>
      </c>
      <c r="X269" s="24" t="str">
        <v>Magang</v>
      </c>
      <c r="Y269" s="24" t="str">
        <v>Dr. Dedi Trisnawarman, S.Si., M.Kom.</v>
      </c>
    </row>
    <row r="270" spans="1:25" ht="15" x14ac:dyDescent="0.2">
      <c r="A270" s="8">
        <v>3</v>
      </c>
      <c r="B270" s="8">
        <v>7</v>
      </c>
      <c r="C270" s="8">
        <v>0</v>
      </c>
      <c r="D270" s="3">
        <v>535220254</v>
      </c>
      <c r="E270" s="3" t="s">
        <v>143</v>
      </c>
      <c r="F270" t="s">
        <v>169</v>
      </c>
      <c r="G270" s="25" cm="1">
        <f t="array" ref="G270">IF(AND(A270:C270=S270:U270),IF((F270=Y270),1,0),999)</f>
        <v>999</v>
      </c>
      <c r="K270" s="5">
        <v>0</v>
      </c>
      <c r="L270" s="5">
        <v>5</v>
      </c>
      <c r="M270" s="5">
        <v>1</v>
      </c>
      <c r="N270" s="5" t="s">
        <v>1155</v>
      </c>
      <c r="O270" s="5" t="s">
        <v>445</v>
      </c>
      <c r="P270" s="5" t="s">
        <v>142</v>
      </c>
      <c r="Q270" s="5" t="s">
        <v>158</v>
      </c>
      <c r="S270" s="24">
        <v>1</v>
      </c>
      <c r="T270" s="24">
        <v>5</v>
      </c>
      <c r="U270" s="24">
        <v>0</v>
      </c>
      <c r="V270" s="24" t="str">
        <v>YESSIKA MAHARANI TANJUNG</v>
      </c>
      <c r="W270" s="24" t="str">
        <v>825220092</v>
      </c>
      <c r="X270" s="24" t="str">
        <v>Magang</v>
      </c>
      <c r="Y270" s="24" t="str">
        <v>Dr. Dedi Trisnawarman, S.Si., M.Kom.</v>
      </c>
    </row>
    <row r="271" spans="1:25" ht="15" x14ac:dyDescent="0.2">
      <c r="A271" s="8">
        <v>3</v>
      </c>
      <c r="B271" s="8">
        <v>7</v>
      </c>
      <c r="C271" s="8">
        <v>0</v>
      </c>
      <c r="D271" s="3">
        <v>535220261</v>
      </c>
      <c r="E271" s="3" t="s">
        <v>143</v>
      </c>
      <c r="F271" t="s">
        <v>169</v>
      </c>
      <c r="G271" s="25" cm="1">
        <f t="array" ref="G271">IF(AND(A271:C271=S271:U271),IF((F271=Y271),1,0),999)</f>
        <v>999</v>
      </c>
      <c r="K271" s="5">
        <v>0</v>
      </c>
      <c r="L271" s="5">
        <v>5</v>
      </c>
      <c r="M271" s="5">
        <v>1</v>
      </c>
      <c r="N271" s="5" t="s">
        <v>1156</v>
      </c>
      <c r="O271" s="5" t="s">
        <v>446</v>
      </c>
      <c r="P271" s="5" t="s">
        <v>142</v>
      </c>
      <c r="Q271" s="5" t="s">
        <v>158</v>
      </c>
      <c r="S271" s="24">
        <v>1</v>
      </c>
      <c r="T271" s="24">
        <v>5</v>
      </c>
      <c r="U271" s="24">
        <v>0</v>
      </c>
      <c r="V271" s="24" t="str">
        <v>REINERIUS SUKMA DIMAS KRISTIANTORO</v>
      </c>
      <c r="W271" s="24" t="str">
        <v>825220097</v>
      </c>
      <c r="X271" s="24" t="str">
        <v>Magang</v>
      </c>
      <c r="Y271" s="24" t="str">
        <v>Dr. Dedi Trisnawarman, S.Si., M.Kom.</v>
      </c>
    </row>
    <row r="272" spans="1:25" ht="15" x14ac:dyDescent="0.2">
      <c r="A272" s="8">
        <v>4</v>
      </c>
      <c r="B272" s="8">
        <v>7</v>
      </c>
      <c r="C272" s="8">
        <v>0</v>
      </c>
      <c r="D272" s="3">
        <v>825220141</v>
      </c>
      <c r="E272" s="3" t="s">
        <v>142</v>
      </c>
      <c r="F272" t="s">
        <v>174</v>
      </c>
      <c r="G272" s="25" cm="1">
        <f t="array" ref="G272">IF(AND(A272:C272=S272:U272),IF((F272=Y272),1,0),999)</f>
        <v>999</v>
      </c>
      <c r="K272" s="5">
        <v>0</v>
      </c>
      <c r="L272" s="5">
        <v>5</v>
      </c>
      <c r="M272" s="5">
        <v>1</v>
      </c>
      <c r="N272" s="5" t="s">
        <v>1157</v>
      </c>
      <c r="O272" s="5" t="s">
        <v>447</v>
      </c>
      <c r="P272" s="5" t="s">
        <v>142</v>
      </c>
      <c r="Q272" s="5" t="s">
        <v>158</v>
      </c>
      <c r="S272" s="24">
        <v>1</v>
      </c>
      <c r="T272" s="24">
        <v>5</v>
      </c>
      <c r="U272" s="24">
        <v>0</v>
      </c>
      <c r="V272" s="24" t="str">
        <v>YUDHISTIRA WIJAYA KESUMA</v>
      </c>
      <c r="W272" s="24" t="str">
        <v>825220098</v>
      </c>
      <c r="X272" s="24" t="str">
        <v>Magang</v>
      </c>
      <c r="Y272" s="24" t="str">
        <v>Dr. Dedi Trisnawarman, S.Si., M.Kom.</v>
      </c>
    </row>
    <row r="273" spans="1:25" ht="15" x14ac:dyDescent="0.2">
      <c r="A273" s="8">
        <v>4</v>
      </c>
      <c r="B273" s="8">
        <v>7</v>
      </c>
      <c r="C273" s="8">
        <v>0</v>
      </c>
      <c r="D273" s="3">
        <v>825220143</v>
      </c>
      <c r="E273" s="3" t="s">
        <v>142</v>
      </c>
      <c r="F273" t="s">
        <v>174</v>
      </c>
      <c r="G273" s="25" cm="1">
        <f t="array" ref="G273">IF(AND(A273:C273=S273:U273),IF((F273=Y273),1,0),999)</f>
        <v>999</v>
      </c>
      <c r="K273" s="5">
        <v>1</v>
      </c>
      <c r="L273" s="5">
        <v>5</v>
      </c>
      <c r="M273" s="5">
        <v>0</v>
      </c>
      <c r="N273" s="5" t="s">
        <v>1158</v>
      </c>
      <c r="O273" s="5" t="s">
        <v>448</v>
      </c>
      <c r="P273" s="5" t="s">
        <v>142</v>
      </c>
      <c r="Q273" s="5" t="s">
        <v>172</v>
      </c>
      <c r="S273" s="24">
        <v>2</v>
      </c>
      <c r="T273" s="24">
        <v>5</v>
      </c>
      <c r="U273" s="24">
        <v>0</v>
      </c>
      <c r="V273" s="24" t="str">
        <v>WHITNEY</v>
      </c>
      <c r="W273" s="24" t="str">
        <v>825220099</v>
      </c>
      <c r="X273" s="24" t="str">
        <v>Magang</v>
      </c>
      <c r="Y273" s="24" t="str">
        <v>Dr. Dedi Trisnawarman, S.Si., M.Kom.</v>
      </c>
    </row>
    <row r="274" spans="1:25" ht="15" x14ac:dyDescent="0.2">
      <c r="A274" s="8">
        <v>4</v>
      </c>
      <c r="B274" s="8">
        <v>7</v>
      </c>
      <c r="C274" s="8">
        <v>0</v>
      </c>
      <c r="D274" s="3">
        <v>825220156</v>
      </c>
      <c r="E274" s="3" t="s">
        <v>142</v>
      </c>
      <c r="F274" t="s">
        <v>174</v>
      </c>
      <c r="G274" s="25" cm="1">
        <f t="array" ref="G274">IF(AND(A274:C274=S274:U274),IF((F274=Y274),1,0),999)</f>
        <v>999</v>
      </c>
      <c r="K274" s="5">
        <v>1</v>
      </c>
      <c r="L274" s="5">
        <v>5</v>
      </c>
      <c r="M274" s="5">
        <v>0</v>
      </c>
      <c r="N274" s="5" t="s">
        <v>1159</v>
      </c>
      <c r="O274" s="5" t="s">
        <v>449</v>
      </c>
      <c r="P274" s="5" t="s">
        <v>142</v>
      </c>
      <c r="Q274" s="5" t="s">
        <v>172</v>
      </c>
      <c r="S274" s="24">
        <v>2</v>
      </c>
      <c r="T274" s="24">
        <v>5</v>
      </c>
      <c r="U274" s="24">
        <v>0</v>
      </c>
      <c r="V274" s="24" t="str">
        <v>NATHASYA KRISTIANTI FERDIANA</v>
      </c>
      <c r="W274" s="24" t="str">
        <v>825220102</v>
      </c>
      <c r="X274" s="24" t="str">
        <v>Magang</v>
      </c>
      <c r="Y274" s="24" t="str">
        <v>Dr. Dedi Trisnawarman, S.Si., M.Kom.</v>
      </c>
    </row>
    <row r="275" spans="1:25" ht="15" x14ac:dyDescent="0.2">
      <c r="A275" s="8">
        <v>4</v>
      </c>
      <c r="B275" s="8">
        <v>7</v>
      </c>
      <c r="C275" s="8">
        <v>0</v>
      </c>
      <c r="D275" s="3">
        <v>825220172</v>
      </c>
      <c r="E275" s="3" t="s">
        <v>142</v>
      </c>
      <c r="F275" t="s">
        <v>174</v>
      </c>
      <c r="G275" s="25" cm="1">
        <f t="array" ref="G275">IF(AND(A275:C275=S275:U275),IF((F275=Y275),1,0),999)</f>
        <v>999</v>
      </c>
      <c r="K275" s="5">
        <v>1</v>
      </c>
      <c r="L275" s="5">
        <v>5</v>
      </c>
      <c r="M275" s="5">
        <v>0</v>
      </c>
      <c r="N275" s="5" t="s">
        <v>1160</v>
      </c>
      <c r="O275" s="5" t="s">
        <v>450</v>
      </c>
      <c r="P275" s="5" t="s">
        <v>142</v>
      </c>
      <c r="Q275" s="5" t="s">
        <v>172</v>
      </c>
      <c r="S275" s="24">
        <v>2</v>
      </c>
      <c r="T275" s="24">
        <v>5</v>
      </c>
      <c r="U275" s="24">
        <v>0</v>
      </c>
      <c r="V275" s="24" t="str">
        <v>SHIFA AZAHRA PUTRI KURNIA</v>
      </c>
      <c r="W275" s="24" t="str">
        <v>825220103</v>
      </c>
      <c r="X275" s="24" t="str">
        <v>Magang</v>
      </c>
      <c r="Y275" s="24" t="str">
        <v>Dr. Dedi Trisnawarman, S.Si., M.Kom.</v>
      </c>
    </row>
    <row r="276" spans="1:25" ht="15" x14ac:dyDescent="0.2">
      <c r="A276" s="8">
        <v>4</v>
      </c>
      <c r="B276" s="8">
        <v>7</v>
      </c>
      <c r="C276" s="8">
        <v>0</v>
      </c>
      <c r="D276" s="3">
        <v>825220173</v>
      </c>
      <c r="E276" s="3" t="s">
        <v>142</v>
      </c>
      <c r="F276" t="s">
        <v>174</v>
      </c>
      <c r="G276" s="25" cm="1">
        <f t="array" ref="G276">IF(AND(A276:C276=S276:U276),IF((F276=Y276),1,0),999)</f>
        <v>999</v>
      </c>
      <c r="K276" s="5">
        <v>1</v>
      </c>
      <c r="L276" s="5">
        <v>5</v>
      </c>
      <c r="M276" s="5">
        <v>0</v>
      </c>
      <c r="N276" s="5" t="s">
        <v>1161</v>
      </c>
      <c r="O276" s="5" t="s">
        <v>451</v>
      </c>
      <c r="P276" s="5" t="s">
        <v>142</v>
      </c>
      <c r="Q276" s="5" t="s">
        <v>172</v>
      </c>
      <c r="S276" s="24">
        <v>2</v>
      </c>
      <c r="T276" s="24">
        <v>5</v>
      </c>
      <c r="U276" s="24">
        <v>0</v>
      </c>
      <c r="V276" s="24" t="str">
        <v xml:space="preserve">CARISSA PUTERI </v>
      </c>
      <c r="W276" s="24" t="str">
        <v>825220110</v>
      </c>
      <c r="X276" s="24" t="str">
        <v>Magang</v>
      </c>
      <c r="Y276" s="24" t="str">
        <v>Dr. Dedi Trisnawarman, S.Si., M.Kom.</v>
      </c>
    </row>
    <row r="277" spans="1:25" ht="15" x14ac:dyDescent="0.2">
      <c r="A277" s="11">
        <v>5</v>
      </c>
      <c r="B277" s="8">
        <v>7</v>
      </c>
      <c r="C277" s="8">
        <v>0</v>
      </c>
      <c r="D277" s="4">
        <v>825220070</v>
      </c>
      <c r="E277" s="3" t="s">
        <v>142</v>
      </c>
      <c r="F277" t="s">
        <v>174</v>
      </c>
      <c r="G277" s="25" cm="1">
        <f t="array" ref="G277">IF(AND(A277:C277=S277:U277),IF((F277=Y277),1,0),999)</f>
        <v>999</v>
      </c>
      <c r="K277" s="5">
        <v>1</v>
      </c>
      <c r="L277" s="5">
        <v>5</v>
      </c>
      <c r="M277" s="5">
        <v>0</v>
      </c>
      <c r="N277" s="5" t="s">
        <v>1162</v>
      </c>
      <c r="O277" s="5" t="s">
        <v>452</v>
      </c>
      <c r="P277" s="5" t="s">
        <v>142</v>
      </c>
      <c r="Q277" s="5" t="s">
        <v>172</v>
      </c>
      <c r="S277" s="24">
        <v>2</v>
      </c>
      <c r="T277" s="24">
        <v>5</v>
      </c>
      <c r="U277" s="24">
        <v>0</v>
      </c>
      <c r="V277" s="24" t="str">
        <v>DEDE DWI PRANATA PANNAVUDHO</v>
      </c>
      <c r="W277" s="24" t="str">
        <v>825220111</v>
      </c>
      <c r="X277" s="24" t="str">
        <v>Magang</v>
      </c>
      <c r="Y277" s="24" t="str">
        <v>Dr. Dedi Trisnawarman, S.Si., M.Kom.</v>
      </c>
    </row>
    <row r="278" spans="1:25" ht="15" x14ac:dyDescent="0.2">
      <c r="A278" s="11">
        <v>5</v>
      </c>
      <c r="B278" s="8">
        <v>7</v>
      </c>
      <c r="C278" s="8">
        <v>0</v>
      </c>
      <c r="D278" s="3">
        <v>825220090</v>
      </c>
      <c r="E278" s="3" t="s">
        <v>142</v>
      </c>
      <c r="F278" t="s">
        <v>172</v>
      </c>
      <c r="G278" s="25" cm="1">
        <f t="array" ref="G278">IF(AND(A278:C278=S278:U278),IF((F278=Y278),1,0),999)</f>
        <v>999</v>
      </c>
      <c r="K278" s="5">
        <v>1</v>
      </c>
      <c r="L278" s="5">
        <v>5</v>
      </c>
      <c r="M278" s="5">
        <v>1</v>
      </c>
      <c r="N278" s="5" t="s">
        <v>1163</v>
      </c>
      <c r="O278" s="5" t="s">
        <v>453</v>
      </c>
      <c r="P278" s="5" t="s">
        <v>142</v>
      </c>
      <c r="Q278" s="5" t="s">
        <v>158</v>
      </c>
      <c r="S278" s="24">
        <v>3</v>
      </c>
      <c r="T278" s="24">
        <v>5</v>
      </c>
      <c r="U278" s="24">
        <v>0</v>
      </c>
      <c r="V278" s="24" t="str">
        <v>WILLIAM ALEXANDER</v>
      </c>
      <c r="W278" s="24" t="str">
        <v>825220117</v>
      </c>
      <c r="X278" s="24" t="str">
        <v>Magang</v>
      </c>
      <c r="Y278" s="24" t="str">
        <v>Dr. Dedi Trisnawarman, S.Si., M.Kom.</v>
      </c>
    </row>
    <row r="279" spans="1:25" ht="15" x14ac:dyDescent="0.2">
      <c r="A279" s="11">
        <v>5</v>
      </c>
      <c r="B279" s="8">
        <v>7</v>
      </c>
      <c r="C279" s="8">
        <v>0</v>
      </c>
      <c r="D279" s="3">
        <v>825220091</v>
      </c>
      <c r="E279" s="3" t="s">
        <v>142</v>
      </c>
      <c r="F279" t="s">
        <v>172</v>
      </c>
      <c r="G279" s="25" cm="1">
        <f t="array" ref="G279">IF(AND(A279:C279=S279:U279),IF((F279=Y279),1,0),999)</f>
        <v>999</v>
      </c>
      <c r="K279" s="5">
        <v>1</v>
      </c>
      <c r="L279" s="5">
        <v>5</v>
      </c>
      <c r="M279" s="5">
        <v>1</v>
      </c>
      <c r="N279" s="5" t="s">
        <v>1164</v>
      </c>
      <c r="O279" s="5" t="s">
        <v>454</v>
      </c>
      <c r="P279" s="5" t="s">
        <v>142</v>
      </c>
      <c r="Q279" s="5" t="s">
        <v>158</v>
      </c>
      <c r="S279" s="24">
        <v>0</v>
      </c>
      <c r="T279" s="24">
        <v>5</v>
      </c>
      <c r="U279" s="24">
        <v>1</v>
      </c>
      <c r="V279" s="24" t="str">
        <v>STEVE CARINDRA</v>
      </c>
      <c r="W279" s="24" t="str">
        <v>535220094</v>
      </c>
      <c r="X279" s="24" t="str">
        <v>Magang</v>
      </c>
      <c r="Y279" s="24" t="str">
        <v>Herman Tusiadi, S.Kom., MM</v>
      </c>
    </row>
    <row r="280" spans="1:25" ht="15" x14ac:dyDescent="0.2">
      <c r="A280" s="11">
        <v>5</v>
      </c>
      <c r="B280" s="8">
        <v>7</v>
      </c>
      <c r="C280" s="8">
        <v>0</v>
      </c>
      <c r="D280" s="3">
        <v>825220092</v>
      </c>
      <c r="E280" s="3" t="s">
        <v>142</v>
      </c>
      <c r="F280" t="s">
        <v>172</v>
      </c>
      <c r="G280" s="25" cm="1">
        <f t="array" ref="G280">IF(AND(A280:C280=S280:U280),IF((F280=Y280),1,0),999)</f>
        <v>999</v>
      </c>
      <c r="K280" s="5">
        <v>1</v>
      </c>
      <c r="L280" s="5">
        <v>5</v>
      </c>
      <c r="M280" s="5">
        <v>1</v>
      </c>
      <c r="N280" s="5" t="s">
        <v>1165</v>
      </c>
      <c r="O280" s="5" t="s">
        <v>455</v>
      </c>
      <c r="P280" s="5" t="s">
        <v>142</v>
      </c>
      <c r="Q280" s="5" t="s">
        <v>158</v>
      </c>
      <c r="S280" s="24">
        <v>0</v>
      </c>
      <c r="T280" s="24">
        <v>5</v>
      </c>
      <c r="U280" s="24">
        <v>1</v>
      </c>
      <c r="V280" s="24" t="str">
        <v>HANVIN ADITYA</v>
      </c>
      <c r="W280" s="24" t="str">
        <v>535220098</v>
      </c>
      <c r="X280" s="24" t="str">
        <v>Magang</v>
      </c>
      <c r="Y280" s="24" t="str">
        <v>Herman Tusiadi, S.Kom., MM</v>
      </c>
    </row>
    <row r="281" spans="1:25" ht="15" x14ac:dyDescent="0.2">
      <c r="A281" s="11">
        <v>5</v>
      </c>
      <c r="B281" s="8">
        <v>7</v>
      </c>
      <c r="C281" s="8">
        <v>0</v>
      </c>
      <c r="D281" s="3">
        <v>825220097</v>
      </c>
      <c r="E281" s="3" t="s">
        <v>142</v>
      </c>
      <c r="F281" t="s">
        <v>172</v>
      </c>
      <c r="G281" s="25" cm="1">
        <f t="array" ref="G281">IF(AND(A281:C281=S281:U281),IF((F281=Y281),1,0),999)</f>
        <v>999</v>
      </c>
      <c r="K281" s="5">
        <v>1</v>
      </c>
      <c r="L281" s="5">
        <v>5</v>
      </c>
      <c r="M281" s="5">
        <v>1</v>
      </c>
      <c r="N281" s="5" t="s">
        <v>1166</v>
      </c>
      <c r="O281" s="5" t="s">
        <v>456</v>
      </c>
      <c r="P281" s="5" t="s">
        <v>142</v>
      </c>
      <c r="Q281" s="5" t="s">
        <v>158</v>
      </c>
      <c r="S281" s="24">
        <v>0</v>
      </c>
      <c r="T281" s="24">
        <v>5</v>
      </c>
      <c r="U281" s="24">
        <v>1</v>
      </c>
      <c r="V281" s="24" t="str">
        <v>NICHOLAS EUGENE SUPARDI</v>
      </c>
      <c r="W281" s="24" t="str">
        <v>535220102</v>
      </c>
      <c r="X281" s="24" t="str">
        <v>Magang</v>
      </c>
      <c r="Y281" s="24" t="str">
        <v>Herman Tusiadi, S.Kom., MM</v>
      </c>
    </row>
    <row r="282" spans="1:25" ht="15" x14ac:dyDescent="0.2">
      <c r="A282" s="8">
        <v>6</v>
      </c>
      <c r="B282" s="8">
        <v>7</v>
      </c>
      <c r="C282" s="8">
        <v>0</v>
      </c>
      <c r="D282" s="3">
        <v>535220094</v>
      </c>
      <c r="E282" s="3" t="s">
        <v>142</v>
      </c>
      <c r="F282" t="s">
        <v>158</v>
      </c>
      <c r="G282" s="25" cm="1">
        <f t="array" ref="G282">IF(AND(A282:C282=S282:U282),IF((F282=Y282),1,0),999)</f>
        <v>999</v>
      </c>
      <c r="K282" s="5">
        <v>1</v>
      </c>
      <c r="L282" s="5">
        <v>5</v>
      </c>
      <c r="M282" s="5">
        <v>1</v>
      </c>
      <c r="N282" s="5" t="s">
        <v>1167</v>
      </c>
      <c r="O282" s="5" t="s">
        <v>457</v>
      </c>
      <c r="P282" s="5" t="s">
        <v>142</v>
      </c>
      <c r="Q282" s="5" t="s">
        <v>158</v>
      </c>
      <c r="S282" s="24">
        <v>0</v>
      </c>
      <c r="T282" s="24">
        <v>5</v>
      </c>
      <c r="U282" s="24">
        <v>1</v>
      </c>
      <c r="V282" s="24" t="str">
        <v>HANS NATHANAEL TEDJA</v>
      </c>
      <c r="W282" s="24" t="str">
        <v>535220155</v>
      </c>
      <c r="X282" s="24" t="str">
        <v>Magang</v>
      </c>
      <c r="Y282" s="24" t="str">
        <v>Herman Tusiadi, S.Kom., MM</v>
      </c>
    </row>
    <row r="283" spans="1:25" ht="15" x14ac:dyDescent="0.2">
      <c r="A283" s="8">
        <v>6</v>
      </c>
      <c r="B283" s="8">
        <v>7</v>
      </c>
      <c r="C283" s="8">
        <v>0</v>
      </c>
      <c r="D283" s="3">
        <v>535220098</v>
      </c>
      <c r="E283" s="3" t="s">
        <v>142</v>
      </c>
      <c r="F283" t="s">
        <v>158</v>
      </c>
      <c r="G283" s="25" cm="1">
        <f t="array" ref="G283">IF(AND(A283:C283=S283:U283),IF((F283=Y283),1,0),999)</f>
        <v>999</v>
      </c>
      <c r="K283" s="5">
        <v>2</v>
      </c>
      <c r="L283" s="5">
        <v>5</v>
      </c>
      <c r="M283" s="5">
        <v>0</v>
      </c>
      <c r="N283" s="5" t="s">
        <v>1168</v>
      </c>
      <c r="O283" s="5" t="s">
        <v>458</v>
      </c>
      <c r="P283" s="5" t="s">
        <v>142</v>
      </c>
      <c r="Q283" s="5" t="s">
        <v>172</v>
      </c>
      <c r="S283" s="24">
        <v>0</v>
      </c>
      <c r="T283" s="24">
        <v>5</v>
      </c>
      <c r="U283" s="24">
        <v>1</v>
      </c>
      <c r="V283" s="24" t="str">
        <v>CARLOUIS FERNANDO HARIYADI</v>
      </c>
      <c r="W283" s="24" t="str">
        <v>535220156</v>
      </c>
      <c r="X283" s="24" t="str">
        <v>Magang</v>
      </c>
      <c r="Y283" s="24" t="str">
        <v>Herman Tusiadi, S.Kom., MM</v>
      </c>
    </row>
    <row r="284" spans="1:25" ht="15" x14ac:dyDescent="0.2">
      <c r="A284" s="8">
        <v>6</v>
      </c>
      <c r="B284" s="8">
        <v>7</v>
      </c>
      <c r="C284" s="8">
        <v>0</v>
      </c>
      <c r="D284" s="3">
        <v>535220102</v>
      </c>
      <c r="E284" s="3" t="s">
        <v>142</v>
      </c>
      <c r="F284" t="s">
        <v>158</v>
      </c>
      <c r="G284" s="25" cm="1">
        <f t="array" ref="G284">IF(AND(A284:C284=S284:U284),IF((F284=Y284),1,0),999)</f>
        <v>999</v>
      </c>
      <c r="K284" s="5">
        <v>2</v>
      </c>
      <c r="L284" s="5">
        <v>5</v>
      </c>
      <c r="M284" s="5">
        <v>0</v>
      </c>
      <c r="N284" s="5" t="s">
        <v>1169</v>
      </c>
      <c r="O284" s="5" t="s">
        <v>459</v>
      </c>
      <c r="P284" s="5" t="s">
        <v>142</v>
      </c>
      <c r="Q284" s="5" t="s">
        <v>172</v>
      </c>
      <c r="S284" s="24">
        <v>1</v>
      </c>
      <c r="T284" s="24">
        <v>5</v>
      </c>
      <c r="U284" s="24">
        <v>1</v>
      </c>
      <c r="V284" s="24" t="str">
        <v>DUSTIN JOSHUA ARMANDO WELLIKEN</v>
      </c>
      <c r="W284" s="24" t="str">
        <v>535220157</v>
      </c>
      <c r="X284" s="24" t="str">
        <v>Magang</v>
      </c>
      <c r="Y284" s="24" t="str">
        <v>Herman Tusiadi, S.Kom., MM</v>
      </c>
    </row>
    <row r="285" spans="1:25" ht="15" x14ac:dyDescent="0.2">
      <c r="A285" s="8">
        <v>6</v>
      </c>
      <c r="B285" s="8">
        <v>7</v>
      </c>
      <c r="C285" s="8">
        <v>0</v>
      </c>
      <c r="D285" s="3">
        <v>535220155</v>
      </c>
      <c r="E285" s="3" t="s">
        <v>142</v>
      </c>
      <c r="F285" t="s">
        <v>158</v>
      </c>
      <c r="G285" s="25" cm="1">
        <f t="array" ref="G285">IF(AND(A285:C285=S285:U285),IF((F285=Y285),1,0),999)</f>
        <v>999</v>
      </c>
      <c r="K285" s="5">
        <v>2</v>
      </c>
      <c r="L285" s="5">
        <v>5</v>
      </c>
      <c r="M285" s="5">
        <v>0</v>
      </c>
      <c r="N285" s="5" t="s">
        <v>1170</v>
      </c>
      <c r="O285" s="5" t="s">
        <v>460</v>
      </c>
      <c r="P285" s="5" t="s">
        <v>142</v>
      </c>
      <c r="Q285" s="5" t="s">
        <v>172</v>
      </c>
      <c r="S285" s="24">
        <v>1</v>
      </c>
      <c r="T285" s="24">
        <v>5</v>
      </c>
      <c r="U285" s="24">
        <v>1</v>
      </c>
      <c r="V285" s="24" t="str">
        <v xml:space="preserve">HANS CHRISTIAN HANDOTO </v>
      </c>
      <c r="W285" s="24" t="str">
        <v>535220159</v>
      </c>
      <c r="X285" s="24" t="str">
        <v>Magang</v>
      </c>
      <c r="Y285" s="24" t="str">
        <v>Herman Tusiadi, S.Kom., MM</v>
      </c>
    </row>
    <row r="286" spans="1:25" ht="15" x14ac:dyDescent="0.2">
      <c r="A286" s="8">
        <v>6</v>
      </c>
      <c r="B286" s="8">
        <v>7</v>
      </c>
      <c r="C286" s="8">
        <v>0</v>
      </c>
      <c r="D286" s="3">
        <v>535220156</v>
      </c>
      <c r="E286" s="3" t="s">
        <v>142</v>
      </c>
      <c r="F286" t="s">
        <v>158</v>
      </c>
      <c r="G286" s="25" cm="1">
        <f t="array" ref="G286">IF(AND(A286:C286=S286:U286),IF((F286=Y286),1,0),999)</f>
        <v>999</v>
      </c>
      <c r="K286" s="5">
        <v>2</v>
      </c>
      <c r="L286" s="5">
        <v>5</v>
      </c>
      <c r="M286" s="5">
        <v>0</v>
      </c>
      <c r="N286" s="5" t="s">
        <v>1171</v>
      </c>
      <c r="O286" s="5" t="s">
        <v>461</v>
      </c>
      <c r="P286" s="5" t="s">
        <v>142</v>
      </c>
      <c r="Q286" s="5" t="s">
        <v>172</v>
      </c>
      <c r="S286" s="24">
        <v>1</v>
      </c>
      <c r="T286" s="24">
        <v>5</v>
      </c>
      <c r="U286" s="24">
        <v>1</v>
      </c>
      <c r="V286" s="24" t="str">
        <v>NASHWA SAWITRI DEWAYANI</v>
      </c>
      <c r="W286" s="24" t="str">
        <v>535220220</v>
      </c>
      <c r="X286" s="24" t="str">
        <v>Magang</v>
      </c>
      <c r="Y286" s="24" t="str">
        <v>Herman Tusiadi, S.Kom., MM</v>
      </c>
    </row>
    <row r="287" spans="1:25" ht="15" x14ac:dyDescent="0.2">
      <c r="A287" s="8">
        <v>0</v>
      </c>
      <c r="B287" s="8">
        <v>7</v>
      </c>
      <c r="C287" s="8">
        <v>1</v>
      </c>
      <c r="D287" s="3">
        <v>825220098</v>
      </c>
      <c r="E287" s="3" t="s">
        <v>142</v>
      </c>
      <c r="F287" t="s">
        <v>172</v>
      </c>
      <c r="G287" s="25" cm="1">
        <f t="array" ref="G287">IF(AND(A287:C287=S287:U287),IF((F287=Y287),1,0),999)</f>
        <v>999</v>
      </c>
      <c r="K287" s="5">
        <v>2</v>
      </c>
      <c r="L287" s="5">
        <v>5</v>
      </c>
      <c r="M287" s="5">
        <v>0</v>
      </c>
      <c r="N287" s="5" t="s">
        <v>1172</v>
      </c>
      <c r="O287" s="5" t="s">
        <v>462</v>
      </c>
      <c r="P287" s="5" t="s">
        <v>142</v>
      </c>
      <c r="Q287" s="5" t="s">
        <v>172</v>
      </c>
      <c r="S287" s="24">
        <v>1</v>
      </c>
      <c r="T287" s="24">
        <v>5</v>
      </c>
      <c r="U287" s="24">
        <v>1</v>
      </c>
      <c r="V287" s="24" t="str">
        <v>GERRY DOMINIKI SINAGA</v>
      </c>
      <c r="W287" s="24" t="str">
        <v>535220225</v>
      </c>
      <c r="X287" s="24" t="str">
        <v>Magang</v>
      </c>
      <c r="Y287" s="24" t="str">
        <v>Herman Tusiadi, S.Kom., MM</v>
      </c>
    </row>
    <row r="288" spans="1:25" ht="15" x14ac:dyDescent="0.2">
      <c r="A288" s="8">
        <v>0</v>
      </c>
      <c r="B288" s="8">
        <v>7</v>
      </c>
      <c r="C288" s="8">
        <v>1</v>
      </c>
      <c r="D288" s="3">
        <v>825220099</v>
      </c>
      <c r="E288" s="3" t="s">
        <v>142</v>
      </c>
      <c r="F288" t="s">
        <v>172</v>
      </c>
      <c r="G288" s="25" cm="1">
        <f t="array" ref="G288">IF(AND(A288:C288=S288:U288),IF((F288=Y288),1,0),999)</f>
        <v>999</v>
      </c>
      <c r="K288" s="5">
        <v>2</v>
      </c>
      <c r="L288" s="5">
        <v>5</v>
      </c>
      <c r="M288" s="5">
        <v>1</v>
      </c>
      <c r="N288" s="5" t="s">
        <v>1173</v>
      </c>
      <c r="O288" s="5" t="s">
        <v>463</v>
      </c>
      <c r="P288" s="5" t="s">
        <v>142</v>
      </c>
      <c r="Q288" s="5" t="s">
        <v>158</v>
      </c>
      <c r="S288" s="24">
        <v>1</v>
      </c>
      <c r="T288" s="24">
        <v>5</v>
      </c>
      <c r="U288" s="24">
        <v>1</v>
      </c>
      <c r="V288" s="24" t="str">
        <v>MICHAEL ANGELO JORDAN</v>
      </c>
      <c r="W288" s="24" t="str">
        <v>535220246</v>
      </c>
      <c r="X288" s="24" t="str">
        <v>Magang</v>
      </c>
      <c r="Y288" s="24" t="str">
        <v>Herman Tusiadi, S.Kom., MM</v>
      </c>
    </row>
    <row r="289" spans="1:25" ht="15" x14ac:dyDescent="0.2">
      <c r="A289" s="8">
        <v>0</v>
      </c>
      <c r="B289" s="8">
        <v>7</v>
      </c>
      <c r="C289" s="8">
        <v>1</v>
      </c>
      <c r="D289" s="3">
        <v>825220102</v>
      </c>
      <c r="E289" s="3" t="s">
        <v>142</v>
      </c>
      <c r="F289" t="s">
        <v>172</v>
      </c>
      <c r="G289" s="25" cm="1">
        <f t="array" ref="G289">IF(AND(A289:C289=S289:U289),IF((F289=Y289),1,0),999)</f>
        <v>999</v>
      </c>
      <c r="K289" s="5">
        <v>3</v>
      </c>
      <c r="L289" s="5">
        <v>5</v>
      </c>
      <c r="M289" s="5">
        <v>0</v>
      </c>
      <c r="N289" s="5" t="s">
        <v>1174</v>
      </c>
      <c r="O289" s="5" t="s">
        <v>464</v>
      </c>
      <c r="P289" s="5" t="s">
        <v>142</v>
      </c>
      <c r="Q289" s="5" t="s">
        <v>172</v>
      </c>
      <c r="S289" s="24">
        <v>2</v>
      </c>
      <c r="T289" s="24">
        <v>5</v>
      </c>
      <c r="U289" s="24">
        <v>1</v>
      </c>
      <c r="V289" s="24" t="str">
        <v>WENLY RUSLI</v>
      </c>
      <c r="W289" s="24" t="str">
        <v>535220258</v>
      </c>
      <c r="X289" s="24" t="str">
        <v>Magang</v>
      </c>
      <c r="Y289" s="24" t="str">
        <v>Herman Tusiadi, S.Kom., MM</v>
      </c>
    </row>
    <row r="290" spans="1:25" ht="15" x14ac:dyDescent="0.2">
      <c r="A290" s="8">
        <v>0</v>
      </c>
      <c r="B290" s="8">
        <v>7</v>
      </c>
      <c r="C290" s="8">
        <v>1</v>
      </c>
      <c r="D290" s="3">
        <v>825220103</v>
      </c>
      <c r="E290" s="3" t="s">
        <v>142</v>
      </c>
      <c r="F290" t="s">
        <v>172</v>
      </c>
      <c r="G290" s="25" cm="1">
        <f t="array" ref="G290">IF(AND(A290:C290=S290:U290),IF((F290=Y290),1,0),999)</f>
        <v>999</v>
      </c>
      <c r="K290" s="5">
        <v>0</v>
      </c>
      <c r="L290" s="5">
        <v>6</v>
      </c>
      <c r="M290" s="5">
        <v>0</v>
      </c>
      <c r="N290" s="5" t="s">
        <v>1175</v>
      </c>
      <c r="O290" s="5" t="s">
        <v>465</v>
      </c>
      <c r="P290" s="5" t="s">
        <v>143</v>
      </c>
      <c r="Q290" s="5" t="s">
        <v>173</v>
      </c>
      <c r="S290" s="24">
        <v>0</v>
      </c>
      <c r="T290" s="24">
        <v>6</v>
      </c>
      <c r="U290" s="24">
        <v>0</v>
      </c>
      <c r="V290" s="24" t="str">
        <v>ASTON WILLIAM</v>
      </c>
      <c r="W290" s="24" t="str">
        <v>825220005</v>
      </c>
      <c r="X290" s="24" t="str">
        <v>Stupen</v>
      </c>
      <c r="Y290" s="24" t="str">
        <v>Novario Jaya Perdana, S.Kom., MT</v>
      </c>
    </row>
    <row r="291" spans="1:25" ht="15" x14ac:dyDescent="0.2">
      <c r="A291" s="8">
        <v>0</v>
      </c>
      <c r="B291" s="8">
        <v>7</v>
      </c>
      <c r="C291" s="8">
        <v>1</v>
      </c>
      <c r="D291" s="3">
        <v>825220110</v>
      </c>
      <c r="E291" s="3" t="s">
        <v>142</v>
      </c>
      <c r="F291" t="s">
        <v>172</v>
      </c>
      <c r="G291" s="25" cm="1">
        <f t="array" ref="G291">IF(AND(A291:C291=S291:U291),IF((F291=Y291),1,0),999)</f>
        <v>999</v>
      </c>
      <c r="K291" s="5">
        <v>0</v>
      </c>
      <c r="L291" s="5">
        <v>6</v>
      </c>
      <c r="M291" s="5">
        <v>0</v>
      </c>
      <c r="N291" s="5" t="s">
        <v>1176</v>
      </c>
      <c r="O291" s="5" t="s">
        <v>466</v>
      </c>
      <c r="P291" s="5" t="s">
        <v>143</v>
      </c>
      <c r="Q291" s="5" t="s">
        <v>173</v>
      </c>
      <c r="S291" s="24">
        <v>0</v>
      </c>
      <c r="T291" s="24">
        <v>6</v>
      </c>
      <c r="U291" s="24">
        <v>0</v>
      </c>
      <c r="V291" s="24" t="str">
        <v>ADRIANNUS JUSTIN SETIAWAN</v>
      </c>
      <c r="W291" s="24" t="str">
        <v>825220007</v>
      </c>
      <c r="X291" s="24" t="str">
        <v>Stupen</v>
      </c>
      <c r="Y291" s="24" t="str">
        <v>Novario Jaya Perdana, S.Kom., MT</v>
      </c>
    </row>
    <row r="292" spans="1:25" ht="15" x14ac:dyDescent="0.2">
      <c r="A292" s="8">
        <v>1</v>
      </c>
      <c r="B292" s="8">
        <v>7</v>
      </c>
      <c r="C292" s="8">
        <v>1</v>
      </c>
      <c r="D292" s="3">
        <v>825220111</v>
      </c>
      <c r="E292" s="3" t="s">
        <v>142</v>
      </c>
      <c r="F292" t="s">
        <v>172</v>
      </c>
      <c r="G292" s="25" cm="1">
        <f t="array" ref="G292">IF(AND(A292:C292=S292:U292),IF((F292=Y292),1,0),999)</f>
        <v>999</v>
      </c>
      <c r="K292" s="5">
        <v>0</v>
      </c>
      <c r="L292" s="5">
        <v>6</v>
      </c>
      <c r="M292" s="5">
        <v>0</v>
      </c>
      <c r="N292" s="5" t="s">
        <v>1177</v>
      </c>
      <c r="O292" s="5" t="s">
        <v>467</v>
      </c>
      <c r="P292" s="5" t="s">
        <v>143</v>
      </c>
      <c r="Q292" s="5" t="s">
        <v>173</v>
      </c>
      <c r="S292" s="24">
        <v>0</v>
      </c>
      <c r="T292" s="24">
        <v>6</v>
      </c>
      <c r="U292" s="24">
        <v>0</v>
      </c>
      <c r="V292" s="24" t="str">
        <v>LUISSANDRO HERMAWAN</v>
      </c>
      <c r="W292" s="24" t="str">
        <v>825220015</v>
      </c>
      <c r="X292" s="24" t="str">
        <v>Stupen</v>
      </c>
      <c r="Y292" s="24" t="str">
        <v>Novario Jaya Perdana, S.Kom., MT</v>
      </c>
    </row>
    <row r="293" spans="1:25" ht="15" x14ac:dyDescent="0.2">
      <c r="A293" s="8">
        <v>1</v>
      </c>
      <c r="B293" s="8">
        <v>7</v>
      </c>
      <c r="C293" s="8">
        <v>1</v>
      </c>
      <c r="D293" s="3">
        <v>825220117</v>
      </c>
      <c r="E293" s="3" t="s">
        <v>142</v>
      </c>
      <c r="F293" t="s">
        <v>172</v>
      </c>
      <c r="G293" s="25" cm="1">
        <f t="array" ref="G293">IF(AND(A293:C293=S293:U293),IF((F293=Y293),1,0),999)</f>
        <v>999</v>
      </c>
      <c r="K293" s="5">
        <v>0</v>
      </c>
      <c r="L293" s="5">
        <v>6</v>
      </c>
      <c r="M293" s="5">
        <v>0</v>
      </c>
      <c r="N293" s="5" t="s">
        <v>1178</v>
      </c>
      <c r="O293" s="5" t="s">
        <v>468</v>
      </c>
      <c r="P293" s="5" t="s">
        <v>143</v>
      </c>
      <c r="Q293" s="5" t="s">
        <v>173</v>
      </c>
      <c r="S293" s="24">
        <v>0</v>
      </c>
      <c r="T293" s="24">
        <v>6</v>
      </c>
      <c r="U293" s="24">
        <v>0</v>
      </c>
      <c r="V293" s="24" t="str">
        <v>DANIEL OKTAVIANUS</v>
      </c>
      <c r="W293" s="24" t="str">
        <v>825220017</v>
      </c>
      <c r="X293" s="24" t="str">
        <v>Stupen</v>
      </c>
      <c r="Y293" s="24" t="str">
        <v>Novario Jaya Perdana, S.Kom., MT</v>
      </c>
    </row>
    <row r="294" spans="1:25" ht="15" x14ac:dyDescent="0.2">
      <c r="A294" s="8">
        <v>1</v>
      </c>
      <c r="B294" s="8">
        <v>7</v>
      </c>
      <c r="C294" s="8">
        <v>1</v>
      </c>
      <c r="D294" s="3">
        <v>535220157</v>
      </c>
      <c r="E294" s="3" t="s">
        <v>142</v>
      </c>
      <c r="F294" t="s">
        <v>158</v>
      </c>
      <c r="G294" s="25" cm="1">
        <f t="array" ref="G294">IF(AND(A294:C294=S294:U294),IF((F294=Y294),1,0),999)</f>
        <v>999</v>
      </c>
      <c r="K294" s="5">
        <v>0</v>
      </c>
      <c r="L294" s="5">
        <v>6</v>
      </c>
      <c r="M294" s="5">
        <v>0</v>
      </c>
      <c r="N294" s="5" t="s">
        <v>1179</v>
      </c>
      <c r="O294" s="5" t="s">
        <v>469</v>
      </c>
      <c r="P294" s="5" t="s">
        <v>143</v>
      </c>
      <c r="Q294" s="5" t="s">
        <v>173</v>
      </c>
      <c r="S294" s="24">
        <v>0</v>
      </c>
      <c r="T294" s="24">
        <v>6</v>
      </c>
      <c r="U294" s="24">
        <v>0</v>
      </c>
      <c r="V294" s="24" t="str">
        <v>MARCELLINO FREDERICK WIJAYA</v>
      </c>
      <c r="W294" s="24" t="str">
        <v>825220021</v>
      </c>
      <c r="X294" s="24" t="str">
        <v>Stupen</v>
      </c>
      <c r="Y294" s="24" t="str">
        <v>Novario Jaya Perdana, S.Kom., MT</v>
      </c>
    </row>
    <row r="295" spans="1:25" ht="15" x14ac:dyDescent="0.2">
      <c r="A295" s="8">
        <v>1</v>
      </c>
      <c r="B295" s="8">
        <v>7</v>
      </c>
      <c r="C295" s="8">
        <v>1</v>
      </c>
      <c r="D295" s="3">
        <v>535220159</v>
      </c>
      <c r="E295" s="3" t="s">
        <v>142</v>
      </c>
      <c r="F295" t="s">
        <v>158</v>
      </c>
      <c r="G295" s="25" cm="1">
        <f t="array" ref="G295">IF(AND(A295:C295=S295:U295),IF((F295=Y295),1,0),999)</f>
        <v>999</v>
      </c>
      <c r="K295" s="5">
        <v>0</v>
      </c>
      <c r="L295" s="5">
        <v>6</v>
      </c>
      <c r="M295" s="5">
        <v>1</v>
      </c>
      <c r="N295" s="5" t="s">
        <v>1180</v>
      </c>
      <c r="O295" s="5" t="s">
        <v>470</v>
      </c>
      <c r="P295" s="5" t="s">
        <v>142</v>
      </c>
      <c r="Q295" s="5" t="s">
        <v>174</v>
      </c>
      <c r="S295" s="24">
        <v>1</v>
      </c>
      <c r="T295" s="24">
        <v>6</v>
      </c>
      <c r="U295" s="24">
        <v>0</v>
      </c>
      <c r="V295" s="24" t="str">
        <v>MARCELLINUS ANTHONY</v>
      </c>
      <c r="W295" s="24" t="str">
        <v>825220031</v>
      </c>
      <c r="X295" s="24" t="str">
        <v>Stupen</v>
      </c>
      <c r="Y295" s="24" t="str">
        <v>Novario Jaya Perdana, S.Kom., MT</v>
      </c>
    </row>
    <row r="296" spans="1:25" ht="15" x14ac:dyDescent="0.2">
      <c r="A296" s="8">
        <v>1</v>
      </c>
      <c r="B296" s="8">
        <v>7</v>
      </c>
      <c r="C296" s="8">
        <v>1</v>
      </c>
      <c r="D296" s="3">
        <v>535220220</v>
      </c>
      <c r="E296" s="3" t="s">
        <v>142</v>
      </c>
      <c r="F296" t="s">
        <v>158</v>
      </c>
      <c r="G296" s="25" cm="1">
        <f t="array" ref="G296">IF(AND(A296:C296=S296:U296),IF((F296=Y296),1,0),999)</f>
        <v>999</v>
      </c>
      <c r="K296" s="5">
        <v>0</v>
      </c>
      <c r="L296" s="5">
        <v>6</v>
      </c>
      <c r="M296" s="5">
        <v>1</v>
      </c>
      <c r="N296" s="5" t="s">
        <v>1181</v>
      </c>
      <c r="O296" s="5" t="s">
        <v>471</v>
      </c>
      <c r="P296" s="5" t="s">
        <v>142</v>
      </c>
      <c r="Q296" s="5" t="s">
        <v>174</v>
      </c>
      <c r="S296" s="24">
        <v>1</v>
      </c>
      <c r="T296" s="24">
        <v>6</v>
      </c>
      <c r="U296" s="24">
        <v>0</v>
      </c>
      <c r="V296" s="24" t="str">
        <v>YANSEN</v>
      </c>
      <c r="W296" s="24" t="str">
        <v>825220032</v>
      </c>
      <c r="X296" s="24" t="str">
        <v>Stupen</v>
      </c>
      <c r="Y296" s="24" t="str">
        <v>Novario Jaya Perdana, S.Kom., MT</v>
      </c>
    </row>
    <row r="297" spans="1:25" ht="15" x14ac:dyDescent="0.2">
      <c r="A297" s="11">
        <v>2</v>
      </c>
      <c r="B297" s="8">
        <v>7</v>
      </c>
      <c r="C297" s="8">
        <v>1</v>
      </c>
      <c r="D297" s="4">
        <v>535220225</v>
      </c>
      <c r="E297" s="3" t="s">
        <v>142</v>
      </c>
      <c r="F297" t="s">
        <v>158</v>
      </c>
      <c r="G297" s="25" cm="1">
        <f t="array" ref="G297">IF(AND(A297:C297=S297:U297),IF((F297=Y297),1,0),999)</f>
        <v>999</v>
      </c>
      <c r="K297" s="5">
        <v>0</v>
      </c>
      <c r="L297" s="5">
        <v>6</v>
      </c>
      <c r="M297" s="5">
        <v>1</v>
      </c>
      <c r="N297" s="5" t="s">
        <v>1182</v>
      </c>
      <c r="O297" s="5" t="s">
        <v>472</v>
      </c>
      <c r="P297" s="5" t="s">
        <v>142</v>
      </c>
      <c r="Q297" s="5" t="s">
        <v>174</v>
      </c>
      <c r="S297" s="24">
        <v>1</v>
      </c>
      <c r="T297" s="24">
        <v>6</v>
      </c>
      <c r="U297" s="24">
        <v>0</v>
      </c>
      <c r="V297" s="24" t="str">
        <v>WILSON FELIANO JUSEL</v>
      </c>
      <c r="W297" s="24" t="str">
        <v>825220033</v>
      </c>
      <c r="X297" s="24" t="str">
        <v>Stupen</v>
      </c>
      <c r="Y297" s="24" t="str">
        <v>Novario Jaya Perdana, S.Kom., MT</v>
      </c>
    </row>
    <row r="298" spans="1:25" ht="15" x14ac:dyDescent="0.2">
      <c r="A298" s="11">
        <v>2</v>
      </c>
      <c r="B298" s="8">
        <v>7</v>
      </c>
      <c r="C298" s="8">
        <v>1</v>
      </c>
      <c r="D298" s="3">
        <v>535220246</v>
      </c>
      <c r="E298" s="3" t="s">
        <v>142</v>
      </c>
      <c r="F298" t="s">
        <v>158</v>
      </c>
      <c r="G298" s="25" cm="1">
        <f t="array" ref="G298">IF(AND(A298:C298=S298:U298),IF((F298=Y298),1,0),999)</f>
        <v>999</v>
      </c>
      <c r="K298" s="5">
        <v>0</v>
      </c>
      <c r="L298" s="5">
        <v>6</v>
      </c>
      <c r="M298" s="5">
        <v>1</v>
      </c>
      <c r="N298" s="5" t="s">
        <v>1183</v>
      </c>
      <c r="O298" s="5" t="s">
        <v>473</v>
      </c>
      <c r="P298" s="5" t="s">
        <v>142</v>
      </c>
      <c r="Q298" s="5" t="s">
        <v>174</v>
      </c>
      <c r="S298" s="24">
        <v>1</v>
      </c>
      <c r="T298" s="24">
        <v>6</v>
      </c>
      <c r="U298" s="24">
        <v>0</v>
      </c>
      <c r="V298" s="24" t="str">
        <v>VINCENT</v>
      </c>
      <c r="W298" s="24" t="str">
        <v>825220035</v>
      </c>
      <c r="X298" s="24" t="str">
        <v>Stupen</v>
      </c>
      <c r="Y298" s="24" t="str">
        <v>Novario Jaya Perdana, S.Kom., MT</v>
      </c>
    </row>
    <row r="299" spans="1:25" ht="15" x14ac:dyDescent="0.2">
      <c r="A299" s="11">
        <v>2</v>
      </c>
      <c r="B299" s="8">
        <v>7</v>
      </c>
      <c r="C299" s="8">
        <v>1</v>
      </c>
      <c r="D299" s="3">
        <v>535220258</v>
      </c>
      <c r="E299" s="3" t="s">
        <v>142</v>
      </c>
      <c r="F299" t="s">
        <v>158</v>
      </c>
      <c r="G299" s="25" cm="1">
        <f t="array" ref="G299">IF(AND(A299:C299=S299:U299),IF((F299=Y299),1,0),999)</f>
        <v>999</v>
      </c>
      <c r="K299" s="5">
        <v>0</v>
      </c>
      <c r="L299" s="5">
        <v>6</v>
      </c>
      <c r="M299" s="5">
        <v>1</v>
      </c>
      <c r="N299" s="5" t="s">
        <v>1184</v>
      </c>
      <c r="O299" s="5" t="s">
        <v>474</v>
      </c>
      <c r="P299" s="5" t="s">
        <v>142</v>
      </c>
      <c r="Q299" s="5" t="s">
        <v>174</v>
      </c>
      <c r="S299" s="24">
        <v>1</v>
      </c>
      <c r="T299" s="24">
        <v>6</v>
      </c>
      <c r="U299" s="24">
        <v>0</v>
      </c>
      <c r="V299" s="24" t="str">
        <v>RAFAEL RASHEL RUNTU</v>
      </c>
      <c r="W299" s="24" t="str">
        <v>825220039</v>
      </c>
      <c r="X299" s="24" t="str">
        <v>Stupen</v>
      </c>
      <c r="Y299" s="24" t="str">
        <v>Novario Jaya Perdana, S.Kom., MT</v>
      </c>
    </row>
    <row r="300" spans="1:25" ht="15" x14ac:dyDescent="0.2">
      <c r="A300" s="11">
        <v>2</v>
      </c>
      <c r="B300" s="8">
        <v>7</v>
      </c>
      <c r="C300" s="8">
        <v>1</v>
      </c>
      <c r="D300" s="3">
        <v>535220042</v>
      </c>
      <c r="E300" s="3" t="s">
        <v>142</v>
      </c>
      <c r="F300" t="s">
        <v>164</v>
      </c>
      <c r="G300" s="25" cm="1">
        <f t="array" ref="G300">IF(AND(A300:C300=S300:U300),IF((F300=Y300),1,0),999)</f>
        <v>999</v>
      </c>
      <c r="K300" s="5">
        <v>0</v>
      </c>
      <c r="L300" s="5">
        <v>6</v>
      </c>
      <c r="M300" s="5">
        <v>2</v>
      </c>
      <c r="N300" s="5" t="s">
        <v>1185</v>
      </c>
      <c r="O300" s="5" t="s">
        <v>475</v>
      </c>
      <c r="P300" s="5" t="s">
        <v>143</v>
      </c>
      <c r="Q300" s="5" t="s">
        <v>175</v>
      </c>
      <c r="S300" s="24">
        <v>2</v>
      </c>
      <c r="T300" s="24">
        <v>6</v>
      </c>
      <c r="U300" s="24">
        <v>0</v>
      </c>
      <c r="V300" s="24" t="str">
        <v>GABRIELLA ADELINE HALIM</v>
      </c>
      <c r="W300" s="24" t="str">
        <v>825220050</v>
      </c>
      <c r="X300" s="24" t="str">
        <v>Stupen</v>
      </c>
      <c r="Y300" s="24" t="str">
        <v>Novario Jaya Perdana, S.Kom., MT</v>
      </c>
    </row>
    <row r="301" spans="1:25" ht="15" x14ac:dyDescent="0.2">
      <c r="A301" s="11">
        <v>2</v>
      </c>
      <c r="B301" s="8">
        <v>7</v>
      </c>
      <c r="C301" s="8">
        <v>1</v>
      </c>
      <c r="D301" s="3">
        <v>535220043</v>
      </c>
      <c r="E301" s="3" t="s">
        <v>142</v>
      </c>
      <c r="F301" t="s">
        <v>164</v>
      </c>
      <c r="G301" s="25" cm="1">
        <f t="array" ref="G301">IF(AND(A301:C301=S301:U301),IF((F301=Y301),1,0),999)</f>
        <v>999</v>
      </c>
      <c r="K301" s="5">
        <v>0</v>
      </c>
      <c r="L301" s="5">
        <v>6</v>
      </c>
      <c r="M301" s="5">
        <v>2</v>
      </c>
      <c r="N301" s="5" t="s">
        <v>1186</v>
      </c>
      <c r="O301" s="5" t="s">
        <v>476</v>
      </c>
      <c r="P301" s="5" t="s">
        <v>143</v>
      </c>
      <c r="Q301" s="5" t="s">
        <v>175</v>
      </c>
      <c r="S301" s="24">
        <v>2</v>
      </c>
      <c r="T301" s="24">
        <v>6</v>
      </c>
      <c r="U301" s="24">
        <v>0</v>
      </c>
      <c r="V301" s="24" t="str">
        <v>GRACE CAKRA</v>
      </c>
      <c r="W301" s="24" t="str">
        <v>825220052</v>
      </c>
      <c r="X301" s="24" t="str">
        <v>Stupen</v>
      </c>
      <c r="Y301" s="24" t="str">
        <v>Novario Jaya Perdana, S.Kom., MT</v>
      </c>
    </row>
    <row r="302" spans="1:25" ht="15" x14ac:dyDescent="0.2">
      <c r="A302" s="8">
        <v>3</v>
      </c>
      <c r="B302" s="8">
        <v>7</v>
      </c>
      <c r="C302" s="8">
        <v>1</v>
      </c>
      <c r="D302" s="3">
        <v>535220048</v>
      </c>
      <c r="E302" s="3" t="s">
        <v>142</v>
      </c>
      <c r="F302" t="s">
        <v>164</v>
      </c>
      <c r="G302" s="25" cm="1">
        <f t="array" ref="G302">IF(AND(A302:C302=S302:U302),IF((F302=Y302),1,0),999)</f>
        <v>999</v>
      </c>
      <c r="K302" s="5">
        <v>0</v>
      </c>
      <c r="L302" s="5">
        <v>6</v>
      </c>
      <c r="M302" s="5">
        <v>2</v>
      </c>
      <c r="N302" s="5" t="s">
        <v>1187</v>
      </c>
      <c r="O302" s="5" t="s">
        <v>477</v>
      </c>
      <c r="P302" s="5" t="s">
        <v>143</v>
      </c>
      <c r="Q302" s="5" t="s">
        <v>175</v>
      </c>
      <c r="S302" s="24">
        <v>2</v>
      </c>
      <c r="T302" s="24">
        <v>6</v>
      </c>
      <c r="U302" s="24">
        <v>0</v>
      </c>
      <c r="V302" s="24" t="str">
        <v xml:space="preserve">ALIF FAZJRUL CAESAR IFMAINI </v>
      </c>
      <c r="W302" s="24" t="str">
        <v>825220066</v>
      </c>
      <c r="X302" s="24" t="str">
        <v>Stupen</v>
      </c>
      <c r="Y302" s="24" t="str">
        <v>Novario Jaya Perdana, S.Kom., MT</v>
      </c>
    </row>
    <row r="303" spans="1:25" ht="15" x14ac:dyDescent="0.2">
      <c r="A303" s="8">
        <v>3</v>
      </c>
      <c r="B303" s="8">
        <v>7</v>
      </c>
      <c r="C303" s="8">
        <v>1</v>
      </c>
      <c r="D303" s="3">
        <v>535220049</v>
      </c>
      <c r="E303" s="3" t="s">
        <v>142</v>
      </c>
      <c r="F303" t="s">
        <v>164</v>
      </c>
      <c r="G303" s="25" cm="1">
        <f t="array" ref="G303">IF(AND(A303:C303=S303:U303),IF((F303=Y303),1,0),999)</f>
        <v>999</v>
      </c>
      <c r="K303" s="5">
        <v>0</v>
      </c>
      <c r="L303" s="5">
        <v>6</v>
      </c>
      <c r="M303" s="5">
        <v>2</v>
      </c>
      <c r="N303" s="5" t="s">
        <v>1188</v>
      </c>
      <c r="O303" s="5" t="s">
        <v>478</v>
      </c>
      <c r="P303" s="5" t="s">
        <v>143</v>
      </c>
      <c r="Q303" s="5" t="s">
        <v>175</v>
      </c>
      <c r="S303" s="24">
        <v>2</v>
      </c>
      <c r="T303" s="24">
        <v>6</v>
      </c>
      <c r="U303" s="24">
        <v>0</v>
      </c>
      <c r="V303" s="24" t="str">
        <v>MUHAMAD AKBAR MAULANA</v>
      </c>
      <c r="W303" s="24" t="str">
        <v>825220170</v>
      </c>
      <c r="X303" s="24" t="str">
        <v>Stupen</v>
      </c>
      <c r="Y303" s="24" t="str">
        <v>Novario Jaya Perdana, S.Kom., MT</v>
      </c>
    </row>
    <row r="304" spans="1:25" ht="15" x14ac:dyDescent="0.2">
      <c r="A304" s="8">
        <v>3</v>
      </c>
      <c r="B304" s="8">
        <v>7</v>
      </c>
      <c r="C304" s="8">
        <v>1</v>
      </c>
      <c r="D304" s="3">
        <v>535220073</v>
      </c>
      <c r="E304" s="3" t="s">
        <v>142</v>
      </c>
      <c r="F304" t="s">
        <v>164</v>
      </c>
      <c r="G304" s="25" cm="1">
        <f t="array" ref="G304">IF(AND(A304:C304=S304:U304),IF((F304=Y304),1,0),999)</f>
        <v>999</v>
      </c>
      <c r="K304" s="5">
        <v>0</v>
      </c>
      <c r="L304" s="5">
        <v>6</v>
      </c>
      <c r="M304" s="5">
        <v>2</v>
      </c>
      <c r="N304" s="5" t="s">
        <v>1189</v>
      </c>
      <c r="O304" s="5" t="s">
        <v>479</v>
      </c>
      <c r="P304" s="5" t="s">
        <v>143</v>
      </c>
      <c r="Q304" s="5" t="s">
        <v>175</v>
      </c>
      <c r="S304" s="24">
        <v>2</v>
      </c>
      <c r="T304" s="24">
        <v>6</v>
      </c>
      <c r="U304" s="24">
        <v>0</v>
      </c>
      <c r="V304" s="24" t="str">
        <v>KALIS JOVIAL TELAUMBANUA</v>
      </c>
      <c r="W304" s="24" t="str">
        <v>825200094</v>
      </c>
      <c r="X304" s="24" t="str">
        <v>KKN</v>
      </c>
      <c r="Y304" s="24" t="str">
        <v>Novario Jaya Perdana, S.Kom., MT</v>
      </c>
    </row>
    <row r="305" spans="1:25" ht="15" x14ac:dyDescent="0.2">
      <c r="A305" s="8">
        <v>3</v>
      </c>
      <c r="B305" s="8">
        <v>7</v>
      </c>
      <c r="C305" s="8">
        <v>1</v>
      </c>
      <c r="D305" s="3">
        <v>535220074</v>
      </c>
      <c r="E305" s="3" t="s">
        <v>142</v>
      </c>
      <c r="F305" t="s">
        <v>164</v>
      </c>
      <c r="G305" s="25" cm="1">
        <f t="array" ref="G305">IF(AND(A305:C305=S305:U305),IF((F305=Y305),1,0),999)</f>
        <v>999</v>
      </c>
      <c r="K305" s="5">
        <v>1</v>
      </c>
      <c r="L305" s="5">
        <v>6</v>
      </c>
      <c r="M305" s="5">
        <v>0</v>
      </c>
      <c r="N305" s="5" t="s">
        <v>1190</v>
      </c>
      <c r="O305" s="5" t="s">
        <v>480</v>
      </c>
      <c r="P305" s="5" t="s">
        <v>143</v>
      </c>
      <c r="Q305" s="5" t="s">
        <v>173</v>
      </c>
      <c r="S305" s="24">
        <v>3</v>
      </c>
      <c r="T305" s="24">
        <v>6</v>
      </c>
      <c r="U305" s="24">
        <v>0</v>
      </c>
      <c r="V305" s="24" t="str">
        <v>RENSHI YEHEZKIEL</v>
      </c>
      <c r="W305" s="24" t="str">
        <v>825220096</v>
      </c>
      <c r="X305" s="24" t="str">
        <v>KKN</v>
      </c>
      <c r="Y305" s="24" t="str">
        <v>Novario Jaya Perdana, S.Kom., MT</v>
      </c>
    </row>
    <row r="306" spans="1:25" ht="15" x14ac:dyDescent="0.2">
      <c r="A306" s="8">
        <v>3</v>
      </c>
      <c r="B306" s="8">
        <v>7</v>
      </c>
      <c r="C306" s="8">
        <v>1</v>
      </c>
      <c r="D306" s="3">
        <v>535220081</v>
      </c>
      <c r="E306" s="3" t="s">
        <v>142</v>
      </c>
      <c r="F306" t="s">
        <v>164</v>
      </c>
      <c r="G306" s="25" cm="1">
        <f t="array" ref="G306">IF(AND(A306:C306=S306:U306),IF((F306=Y306),1,0),999)</f>
        <v>999</v>
      </c>
      <c r="K306" s="5">
        <v>1</v>
      </c>
      <c r="L306" s="5">
        <v>6</v>
      </c>
      <c r="M306" s="5">
        <v>0</v>
      </c>
      <c r="N306" s="5" t="s">
        <v>1191</v>
      </c>
      <c r="O306" s="5" t="s">
        <v>481</v>
      </c>
      <c r="P306" s="5" t="s">
        <v>143</v>
      </c>
      <c r="Q306" s="5" t="s">
        <v>173</v>
      </c>
      <c r="S306" s="24">
        <v>3</v>
      </c>
      <c r="T306" s="24">
        <v>6</v>
      </c>
      <c r="U306" s="24">
        <v>0</v>
      </c>
      <c r="V306" s="24" t="str">
        <v>SRI BINTANG PRATOMO</v>
      </c>
      <c r="W306" s="24" t="str">
        <v>825220070</v>
      </c>
      <c r="X306" s="24" t="str">
        <v>Magang</v>
      </c>
      <c r="Y306" s="24" t="str">
        <v>Bagus Mulyawan, S.Kom., MM</v>
      </c>
    </row>
    <row r="307" spans="1:25" ht="15" x14ac:dyDescent="0.2">
      <c r="A307" s="8">
        <v>0</v>
      </c>
      <c r="B307" s="8">
        <v>8</v>
      </c>
      <c r="C307" s="8">
        <v>0</v>
      </c>
      <c r="D307" s="3">
        <v>825220094</v>
      </c>
      <c r="E307" s="3" t="s">
        <v>143</v>
      </c>
      <c r="F307" t="s">
        <v>162</v>
      </c>
      <c r="G307" s="25" cm="1">
        <f t="array" ref="G307">IF(AND(A307:C307=S307:U307),IF((F307=Y307),1,0),999)</f>
        <v>999</v>
      </c>
      <c r="K307" s="5">
        <v>1</v>
      </c>
      <c r="L307" s="5">
        <v>6</v>
      </c>
      <c r="M307" s="5">
        <v>0</v>
      </c>
      <c r="N307" s="5" t="s">
        <v>1192</v>
      </c>
      <c r="O307" s="5" t="s">
        <v>482</v>
      </c>
      <c r="P307" s="5" t="s">
        <v>143</v>
      </c>
      <c r="Q307" s="5" t="s">
        <v>173</v>
      </c>
      <c r="S307" s="24">
        <v>0</v>
      </c>
      <c r="T307" s="24">
        <v>6</v>
      </c>
      <c r="U307" s="24">
        <v>1</v>
      </c>
      <c r="V307" s="24" t="str">
        <v xml:space="preserve">ANDRES MALVIN JIU </v>
      </c>
      <c r="W307" s="24" t="str">
        <v>825220026</v>
      </c>
      <c r="X307" s="24" t="str">
        <v>Magang</v>
      </c>
      <c r="Y307" s="24" t="str">
        <v>Bagus Mulyawan, S.Kom., MM</v>
      </c>
    </row>
    <row r="308" spans="1:25" ht="15" x14ac:dyDescent="0.2">
      <c r="A308" s="8">
        <v>0</v>
      </c>
      <c r="B308" s="8">
        <v>8</v>
      </c>
      <c r="C308" s="8">
        <v>0</v>
      </c>
      <c r="D308" s="3">
        <v>825220095</v>
      </c>
      <c r="E308" s="3" t="s">
        <v>143</v>
      </c>
      <c r="F308" t="s">
        <v>162</v>
      </c>
      <c r="G308" s="25" cm="1">
        <f t="array" ref="G308">IF(AND(A308:C308=S308:U308),IF((F308=Y308),1,0),999)</f>
        <v>999</v>
      </c>
      <c r="K308" s="5">
        <v>1</v>
      </c>
      <c r="L308" s="5">
        <v>6</v>
      </c>
      <c r="M308" s="5">
        <v>0</v>
      </c>
      <c r="N308" s="5" t="s">
        <v>1193</v>
      </c>
      <c r="O308" s="5" t="s">
        <v>483</v>
      </c>
      <c r="P308" s="5" t="s">
        <v>143</v>
      </c>
      <c r="Q308" s="5" t="s">
        <v>173</v>
      </c>
      <c r="S308" s="24">
        <v>0</v>
      </c>
      <c r="T308" s="24">
        <v>6</v>
      </c>
      <c r="U308" s="24">
        <v>1</v>
      </c>
      <c r="V308" s="24" t="str">
        <v>DAVID HARIADI</v>
      </c>
      <c r="W308" s="24" t="str">
        <v>825220042</v>
      </c>
      <c r="X308" s="24" t="str">
        <v>Magang</v>
      </c>
      <c r="Y308" s="24" t="str">
        <v>Bagus Mulyawan, S.Kom., MM</v>
      </c>
    </row>
    <row r="309" spans="1:25" ht="15" x14ac:dyDescent="0.2">
      <c r="A309" s="8">
        <v>0</v>
      </c>
      <c r="B309" s="8">
        <v>8</v>
      </c>
      <c r="C309" s="8">
        <v>0</v>
      </c>
      <c r="D309" s="3">
        <v>825220105</v>
      </c>
      <c r="E309" s="3" t="s">
        <v>143</v>
      </c>
      <c r="F309" t="s">
        <v>162</v>
      </c>
      <c r="G309" s="25" cm="1">
        <f t="array" ref="G309">IF(AND(A309:C309=S309:U309),IF((F309=Y309),1,0),999)</f>
        <v>999</v>
      </c>
      <c r="K309" s="5">
        <v>1</v>
      </c>
      <c r="L309" s="5">
        <v>6</v>
      </c>
      <c r="M309" s="5">
        <v>0</v>
      </c>
      <c r="N309" s="5" t="s">
        <v>1194</v>
      </c>
      <c r="O309" s="5" t="s">
        <v>484</v>
      </c>
      <c r="P309" s="5" t="s">
        <v>143</v>
      </c>
      <c r="Q309" s="5" t="s">
        <v>173</v>
      </c>
      <c r="S309" s="24">
        <v>0</v>
      </c>
      <c r="T309" s="24">
        <v>6</v>
      </c>
      <c r="U309" s="24">
        <v>1</v>
      </c>
      <c r="V309" s="24" t="str">
        <v>MALVIN ALFREDO</v>
      </c>
      <c r="W309" s="24" t="str">
        <v>825220043</v>
      </c>
      <c r="X309" s="24" t="str">
        <v>Magang</v>
      </c>
      <c r="Y309" s="24" t="str">
        <v>Bagus Mulyawan, S.Kom., MM</v>
      </c>
    </row>
    <row r="310" spans="1:25" ht="15" x14ac:dyDescent="0.2">
      <c r="A310" s="8">
        <v>0</v>
      </c>
      <c r="B310" s="8">
        <v>8</v>
      </c>
      <c r="C310" s="8">
        <v>0</v>
      </c>
      <c r="D310" s="3">
        <v>825220113</v>
      </c>
      <c r="E310" s="3" t="s">
        <v>143</v>
      </c>
      <c r="F310" t="s">
        <v>162</v>
      </c>
      <c r="G310" s="25" cm="1">
        <f t="array" ref="G310">IF(AND(A310:C310=S310:U310),IF((F310=Y310),1,0),999)</f>
        <v>999</v>
      </c>
      <c r="K310" s="5">
        <v>1</v>
      </c>
      <c r="L310" s="5">
        <v>6</v>
      </c>
      <c r="M310" s="5">
        <v>1</v>
      </c>
      <c r="N310" s="5" t="s">
        <v>1195</v>
      </c>
      <c r="O310" s="5" t="s">
        <v>485</v>
      </c>
      <c r="P310" s="5" t="s">
        <v>142</v>
      </c>
      <c r="Q310" s="5" t="s">
        <v>174</v>
      </c>
      <c r="S310" s="24">
        <v>0</v>
      </c>
      <c r="T310" s="24">
        <v>6</v>
      </c>
      <c r="U310" s="24">
        <v>1</v>
      </c>
      <c r="V310" s="24" t="str">
        <v>FABIO SANTOSO</v>
      </c>
      <c r="W310" s="24" t="str">
        <v>825220044</v>
      </c>
      <c r="X310" s="24" t="str">
        <v>Magang</v>
      </c>
      <c r="Y310" s="24" t="str">
        <v>Bagus Mulyawan, S.Kom., MM</v>
      </c>
    </row>
    <row r="311" spans="1:25" ht="15" x14ac:dyDescent="0.2">
      <c r="A311" s="8">
        <v>0</v>
      </c>
      <c r="B311" s="8">
        <v>8</v>
      </c>
      <c r="C311" s="8">
        <v>0</v>
      </c>
      <c r="D311" s="3">
        <v>825220114</v>
      </c>
      <c r="E311" s="3" t="s">
        <v>143</v>
      </c>
      <c r="F311" t="s">
        <v>162</v>
      </c>
      <c r="G311" s="25" cm="1">
        <f t="array" ref="G311">IF(AND(A311:C311=S311:U311),IF((F311=Y311),1,0),999)</f>
        <v>999</v>
      </c>
      <c r="K311" s="5">
        <v>1</v>
      </c>
      <c r="L311" s="5">
        <v>6</v>
      </c>
      <c r="M311" s="5">
        <v>1</v>
      </c>
      <c r="N311" s="5" t="s">
        <v>1196</v>
      </c>
      <c r="O311" s="5" t="s">
        <v>486</v>
      </c>
      <c r="P311" s="5" t="s">
        <v>142</v>
      </c>
      <c r="Q311" s="5" t="s">
        <v>174</v>
      </c>
      <c r="S311" s="24">
        <v>0</v>
      </c>
      <c r="T311" s="24">
        <v>6</v>
      </c>
      <c r="U311" s="24">
        <v>1</v>
      </c>
      <c r="V311" s="24" t="str">
        <v>FEDRIKO ARTYA RUVI</v>
      </c>
      <c r="W311" s="24" t="str">
        <v>825220053</v>
      </c>
      <c r="X311" s="24" t="str">
        <v>Magang</v>
      </c>
      <c r="Y311" s="24" t="str">
        <v>Bagus Mulyawan, S.Kom., MM</v>
      </c>
    </row>
    <row r="312" spans="1:25" ht="15" x14ac:dyDescent="0.2">
      <c r="A312" s="8">
        <v>1</v>
      </c>
      <c r="B312" s="8">
        <v>8</v>
      </c>
      <c r="C312" s="8">
        <v>0</v>
      </c>
      <c r="D312" s="3">
        <v>825220115</v>
      </c>
      <c r="E312" s="3" t="s">
        <v>143</v>
      </c>
      <c r="F312" t="s">
        <v>162</v>
      </c>
      <c r="G312" s="25" cm="1">
        <f t="array" ref="G312">IF(AND(A312:C312=S312:U312),IF((F312=Y312),1,0),999)</f>
        <v>999</v>
      </c>
      <c r="K312" s="5">
        <v>1</v>
      </c>
      <c r="L312" s="5">
        <v>6</v>
      </c>
      <c r="M312" s="5">
        <v>1</v>
      </c>
      <c r="N312" s="5" t="s">
        <v>1197</v>
      </c>
      <c r="O312" s="5" t="s">
        <v>487</v>
      </c>
      <c r="P312" s="5" t="s">
        <v>142</v>
      </c>
      <c r="Q312" s="5" t="s">
        <v>174</v>
      </c>
      <c r="S312" s="24">
        <v>1</v>
      </c>
      <c r="T312" s="24">
        <v>6</v>
      </c>
      <c r="U312" s="24">
        <v>1</v>
      </c>
      <c r="V312" s="24" t="str">
        <v>LOUIS FRANCIS TALI</v>
      </c>
      <c r="W312" s="24" t="str">
        <v>825220076</v>
      </c>
      <c r="X312" s="24" t="str">
        <v>Magang</v>
      </c>
      <c r="Y312" s="24" t="str">
        <v>Bagus Mulyawan, S.Kom., MM</v>
      </c>
    </row>
    <row r="313" spans="1:25" ht="15" x14ac:dyDescent="0.2">
      <c r="A313" s="8">
        <v>1</v>
      </c>
      <c r="B313" s="8">
        <v>8</v>
      </c>
      <c r="C313" s="8">
        <v>0</v>
      </c>
      <c r="D313" s="3">
        <v>825220121</v>
      </c>
      <c r="E313" s="3" t="s">
        <v>143</v>
      </c>
      <c r="F313" t="s">
        <v>162</v>
      </c>
      <c r="G313" s="25" cm="1">
        <f t="array" ref="G313">IF(AND(A313:C313=S313:U313),IF((F313=Y313),1,0),999)</f>
        <v>999</v>
      </c>
      <c r="K313" s="5">
        <v>1</v>
      </c>
      <c r="L313" s="5">
        <v>6</v>
      </c>
      <c r="M313" s="5">
        <v>1</v>
      </c>
      <c r="N313" s="5" t="s">
        <v>1198</v>
      </c>
      <c r="O313" s="5" t="s">
        <v>488</v>
      </c>
      <c r="P313" s="5" t="s">
        <v>142</v>
      </c>
      <c r="Q313" s="5" t="s">
        <v>174</v>
      </c>
      <c r="S313" s="24">
        <v>1</v>
      </c>
      <c r="T313" s="24">
        <v>6</v>
      </c>
      <c r="U313" s="24">
        <v>1</v>
      </c>
      <c r="V313" s="24" t="str">
        <v>CHRISTINA ANGELICA</v>
      </c>
      <c r="W313" s="24" t="str">
        <v>825220077</v>
      </c>
      <c r="X313" s="24" t="str">
        <v>Magang</v>
      </c>
      <c r="Y313" s="24" t="str">
        <v>Bagus Mulyawan, S.Kom., MM</v>
      </c>
    </row>
    <row r="314" spans="1:25" ht="15" x14ac:dyDescent="0.2">
      <c r="A314" s="8">
        <v>1</v>
      </c>
      <c r="B314" s="8">
        <v>8</v>
      </c>
      <c r="C314" s="8">
        <v>0</v>
      </c>
      <c r="D314" s="3">
        <v>825220124</v>
      </c>
      <c r="E314" s="3" t="s">
        <v>143</v>
      </c>
      <c r="F314" t="s">
        <v>162</v>
      </c>
      <c r="G314" s="25" cm="1">
        <f t="array" ref="G314">IF(AND(A314:C314=S314:U314),IF((F314=Y314),1,0),999)</f>
        <v>999</v>
      </c>
      <c r="K314" s="5">
        <v>1</v>
      </c>
      <c r="L314" s="5">
        <v>6</v>
      </c>
      <c r="M314" s="5">
        <v>1</v>
      </c>
      <c r="N314" s="5" t="s">
        <v>1199</v>
      </c>
      <c r="O314" s="5" t="s">
        <v>489</v>
      </c>
      <c r="P314" s="5" t="s">
        <v>142</v>
      </c>
      <c r="Q314" s="5" t="s">
        <v>174</v>
      </c>
      <c r="S314" s="24">
        <v>1</v>
      </c>
      <c r="T314" s="24">
        <v>6</v>
      </c>
      <c r="U314" s="24">
        <v>1</v>
      </c>
      <c r="V314" s="24" t="str">
        <v>KHANIA LUIZA CAHYA TULUSWATI</v>
      </c>
      <c r="W314" s="24" t="str">
        <v>825220078</v>
      </c>
      <c r="X314" s="24" t="str">
        <v>Magang</v>
      </c>
      <c r="Y314" s="24" t="str">
        <v>Bagus Mulyawan, S.Kom., MM</v>
      </c>
    </row>
    <row r="315" spans="1:25" ht="15" x14ac:dyDescent="0.2">
      <c r="A315" s="8">
        <v>1</v>
      </c>
      <c r="B315" s="8">
        <v>8</v>
      </c>
      <c r="C315" s="8">
        <v>0</v>
      </c>
      <c r="D315" s="3">
        <v>825220131</v>
      </c>
      <c r="E315" s="3" t="s">
        <v>143</v>
      </c>
      <c r="F315" t="s">
        <v>162</v>
      </c>
      <c r="G315" s="25" cm="1">
        <f t="array" ref="G315">IF(AND(A315:C315=S315:U315),IF((F315=Y315),1,0),999)</f>
        <v>999</v>
      </c>
      <c r="K315" s="5">
        <v>1</v>
      </c>
      <c r="L315" s="5">
        <v>6</v>
      </c>
      <c r="M315" s="5">
        <v>2</v>
      </c>
      <c r="N315" s="5" t="s">
        <v>1200</v>
      </c>
      <c r="O315" s="5" t="s">
        <v>490</v>
      </c>
      <c r="P315" s="5" t="s">
        <v>143</v>
      </c>
      <c r="Q315" s="5" t="s">
        <v>175</v>
      </c>
      <c r="S315" s="24">
        <v>1</v>
      </c>
      <c r="T315" s="24">
        <v>6</v>
      </c>
      <c r="U315" s="24">
        <v>1</v>
      </c>
      <c r="V315" s="24" t="str">
        <v>ZICHO OCTOZEUS TAN</v>
      </c>
      <c r="W315" s="24" t="str">
        <v>825220079</v>
      </c>
      <c r="X315" s="24" t="str">
        <v>Magang</v>
      </c>
      <c r="Y315" s="24" t="str">
        <v>Bagus Mulyawan, S.Kom., MM</v>
      </c>
    </row>
    <row r="316" spans="1:25" ht="15" x14ac:dyDescent="0.2">
      <c r="A316" s="8">
        <v>1</v>
      </c>
      <c r="B316" s="8">
        <v>8</v>
      </c>
      <c r="C316" s="8">
        <v>0</v>
      </c>
      <c r="D316" s="3">
        <v>825220133</v>
      </c>
      <c r="E316" s="3" t="s">
        <v>143</v>
      </c>
      <c r="F316" t="s">
        <v>162</v>
      </c>
      <c r="G316" s="25" cm="1">
        <f t="array" ref="G316">IF(AND(A316:C316=S316:U316),IF((F316=Y316),1,0),999)</f>
        <v>999</v>
      </c>
      <c r="K316" s="5">
        <v>1</v>
      </c>
      <c r="L316" s="5">
        <v>6</v>
      </c>
      <c r="M316" s="5">
        <v>2</v>
      </c>
      <c r="N316" s="5" t="s">
        <v>1201</v>
      </c>
      <c r="O316" s="5" t="s">
        <v>491</v>
      </c>
      <c r="P316" s="5" t="s">
        <v>143</v>
      </c>
      <c r="Q316" s="5" t="s">
        <v>175</v>
      </c>
      <c r="S316" s="24">
        <v>1</v>
      </c>
      <c r="T316" s="24">
        <v>6</v>
      </c>
      <c r="U316" s="24">
        <v>1</v>
      </c>
      <c r="V316" s="24" t="str">
        <v>ANTHONY BERNARD</v>
      </c>
      <c r="W316" s="24" t="str">
        <v>825220127</v>
      </c>
      <c r="X316" s="24" t="str">
        <v>Magang</v>
      </c>
      <c r="Y316" s="24" t="str">
        <v>Bagus Mulyawan, S.Kom., MM</v>
      </c>
    </row>
    <row r="317" spans="1:25" ht="15" x14ac:dyDescent="0.2">
      <c r="A317" s="11">
        <v>2</v>
      </c>
      <c r="B317" s="8">
        <v>8</v>
      </c>
      <c r="C317" s="8">
        <v>0</v>
      </c>
      <c r="D317" s="4">
        <v>825220137</v>
      </c>
      <c r="E317" s="3" t="s">
        <v>143</v>
      </c>
      <c r="F317" t="s">
        <v>162</v>
      </c>
      <c r="G317" s="25" cm="1">
        <f t="array" ref="G317">IF(AND(A317:C317=S317:U317),IF((F317=Y317),1,0),999)</f>
        <v>999</v>
      </c>
      <c r="K317" s="5">
        <v>1</v>
      </c>
      <c r="L317" s="5">
        <v>6</v>
      </c>
      <c r="M317" s="5">
        <v>2</v>
      </c>
      <c r="N317" s="5" t="s">
        <v>1202</v>
      </c>
      <c r="O317" s="5" t="s">
        <v>492</v>
      </c>
      <c r="P317" s="5" t="s">
        <v>143</v>
      </c>
      <c r="Q317" s="5" t="s">
        <v>175</v>
      </c>
      <c r="S317" s="24">
        <v>2</v>
      </c>
      <c r="T317" s="24">
        <v>6</v>
      </c>
      <c r="U317" s="24">
        <v>1</v>
      </c>
      <c r="V317" s="24" t="str">
        <v>JANE SYAHWALINA KAPRICA SANDRA</v>
      </c>
      <c r="W317" s="24" t="str">
        <v>825220141</v>
      </c>
      <c r="X317" s="24" t="str">
        <v>Magang</v>
      </c>
      <c r="Y317" s="24" t="str">
        <v>Bagus Mulyawan, S.Kom., MM</v>
      </c>
    </row>
    <row r="318" spans="1:25" ht="15" x14ac:dyDescent="0.2">
      <c r="A318" s="11">
        <v>2</v>
      </c>
      <c r="B318" s="8">
        <v>8</v>
      </c>
      <c r="C318" s="8">
        <v>0</v>
      </c>
      <c r="D318" s="3">
        <v>825220005</v>
      </c>
      <c r="E318" s="3" t="s">
        <v>143</v>
      </c>
      <c r="F318" t="s">
        <v>173</v>
      </c>
      <c r="G318" s="25" cm="1">
        <f t="array" ref="G318">IF(AND(A318:C318=S318:U318),IF((F318=Y318),1,0),999)</f>
        <v>999</v>
      </c>
      <c r="K318" s="5">
        <v>1</v>
      </c>
      <c r="L318" s="5">
        <v>6</v>
      </c>
      <c r="M318" s="5">
        <v>2</v>
      </c>
      <c r="N318" s="5" t="s">
        <v>1203</v>
      </c>
      <c r="O318" s="5" t="s">
        <v>493</v>
      </c>
      <c r="P318" s="5" t="s">
        <v>143</v>
      </c>
      <c r="Q318" s="5" t="s">
        <v>175</v>
      </c>
      <c r="S318" s="24">
        <v>2</v>
      </c>
      <c r="T318" s="24">
        <v>6</v>
      </c>
      <c r="U318" s="24">
        <v>1</v>
      </c>
      <c r="V318" s="24" t="str">
        <v>ANDREW GUNAWAN</v>
      </c>
      <c r="W318" s="24" t="str">
        <v>825220143</v>
      </c>
      <c r="X318" s="24" t="str">
        <v>Magang</v>
      </c>
      <c r="Y318" s="24" t="str">
        <v>Bagus Mulyawan, S.Kom., MM</v>
      </c>
    </row>
    <row r="319" spans="1:25" ht="15" x14ac:dyDescent="0.2">
      <c r="A319" s="11">
        <v>2</v>
      </c>
      <c r="B319" s="8">
        <v>8</v>
      </c>
      <c r="C319" s="8">
        <v>0</v>
      </c>
      <c r="D319" s="3">
        <v>825220007</v>
      </c>
      <c r="E319" s="3" t="s">
        <v>143</v>
      </c>
      <c r="F319" t="s">
        <v>173</v>
      </c>
      <c r="G319" s="25" cm="1">
        <f t="array" ref="G319">IF(AND(A319:C319=S319:U319),IF((F319=Y319),1,0),999)</f>
        <v>999</v>
      </c>
      <c r="K319" s="5">
        <v>1</v>
      </c>
      <c r="L319" s="5">
        <v>6</v>
      </c>
      <c r="M319" s="5">
        <v>2</v>
      </c>
      <c r="N319" s="5" t="s">
        <v>1204</v>
      </c>
      <c r="O319" s="5" t="s">
        <v>494</v>
      </c>
      <c r="P319" s="5" t="s">
        <v>143</v>
      </c>
      <c r="Q319" s="5" t="s">
        <v>175</v>
      </c>
      <c r="S319" s="24">
        <v>2</v>
      </c>
      <c r="T319" s="24">
        <v>6</v>
      </c>
      <c r="U319" s="24">
        <v>1</v>
      </c>
      <c r="V319" s="24" t="str">
        <v>NOVIA SYAHFITRI</v>
      </c>
      <c r="W319" s="24" t="str">
        <v>825220156</v>
      </c>
      <c r="X319" s="24" t="str">
        <v>Magang</v>
      </c>
      <c r="Y319" s="24" t="str">
        <v>Bagus Mulyawan, S.Kom., MM</v>
      </c>
    </row>
    <row r="320" spans="1:25" ht="15" x14ac:dyDescent="0.2">
      <c r="A320" s="11">
        <v>2</v>
      </c>
      <c r="B320" s="8">
        <v>8</v>
      </c>
      <c r="C320" s="8">
        <v>0</v>
      </c>
      <c r="D320" s="3">
        <v>825220015</v>
      </c>
      <c r="E320" s="3" t="s">
        <v>143</v>
      </c>
      <c r="F320" t="s">
        <v>173</v>
      </c>
      <c r="G320" s="25" cm="1">
        <f t="array" ref="G320">IF(AND(A320:C320=S320:U320),IF((F320=Y320),1,0),999)</f>
        <v>999</v>
      </c>
      <c r="K320" s="5">
        <v>2</v>
      </c>
      <c r="L320" s="5">
        <v>6</v>
      </c>
      <c r="M320" s="5">
        <v>0</v>
      </c>
      <c r="N320" s="5" t="s">
        <v>1205</v>
      </c>
      <c r="O320" s="5" t="s">
        <v>495</v>
      </c>
      <c r="P320" s="5" t="s">
        <v>143</v>
      </c>
      <c r="Q320" s="5" t="s">
        <v>173</v>
      </c>
      <c r="S320" s="24">
        <v>2</v>
      </c>
      <c r="T320" s="24">
        <v>6</v>
      </c>
      <c r="U320" s="24">
        <v>1</v>
      </c>
      <c r="V320" s="24" t="str">
        <v>CAESHA RACHMA DHANI</v>
      </c>
      <c r="W320" s="24" t="str">
        <v>825220172</v>
      </c>
      <c r="X320" s="24" t="str">
        <v>Magang</v>
      </c>
      <c r="Y320" s="24" t="str">
        <v>Bagus Mulyawan, S.Kom., MM</v>
      </c>
    </row>
    <row r="321" spans="1:25" ht="15" x14ac:dyDescent="0.2">
      <c r="A321" s="11">
        <v>2</v>
      </c>
      <c r="B321" s="8">
        <v>8</v>
      </c>
      <c r="C321" s="8">
        <v>0</v>
      </c>
      <c r="D321" s="3">
        <v>825220017</v>
      </c>
      <c r="E321" s="3" t="s">
        <v>143</v>
      </c>
      <c r="F321" t="s">
        <v>173</v>
      </c>
      <c r="G321" s="25" cm="1">
        <f t="array" ref="G321">IF(AND(A321:C321=S321:U321),IF((F321=Y321),1,0),999)</f>
        <v>999</v>
      </c>
      <c r="K321" s="5">
        <v>2</v>
      </c>
      <c r="L321" s="5">
        <v>6</v>
      </c>
      <c r="M321" s="5">
        <v>0</v>
      </c>
      <c r="N321" s="5" t="s">
        <v>1206</v>
      </c>
      <c r="O321" s="5" t="s">
        <v>496</v>
      </c>
      <c r="P321" s="5" t="s">
        <v>143</v>
      </c>
      <c r="Q321" s="5" t="s">
        <v>173</v>
      </c>
      <c r="S321" s="24">
        <v>2</v>
      </c>
      <c r="T321" s="24">
        <v>6</v>
      </c>
      <c r="U321" s="24">
        <v>1</v>
      </c>
      <c r="V321" s="24" t="str">
        <v>MIKHAEL EDO SINAMBELA</v>
      </c>
      <c r="W321" s="24" t="str">
        <v>825220173</v>
      </c>
      <c r="X321" s="24" t="str">
        <v>Magang</v>
      </c>
      <c r="Y321" s="24" t="str">
        <v>Bagus Mulyawan, S.Kom., MM</v>
      </c>
    </row>
    <row r="322" spans="1:25" ht="15" x14ac:dyDescent="0.2">
      <c r="A322" s="8">
        <v>3</v>
      </c>
      <c r="B322" s="8">
        <v>8</v>
      </c>
      <c r="C322" s="8">
        <v>0</v>
      </c>
      <c r="D322" s="3">
        <v>825220087</v>
      </c>
      <c r="E322" s="3" t="s">
        <v>143</v>
      </c>
      <c r="F322" t="s">
        <v>162</v>
      </c>
      <c r="G322" s="25" cm="1">
        <f t="array" ref="G322">IF(AND(A322:C322=S322:U322),IF((F322=Y322),1,0),999)</f>
        <v>999</v>
      </c>
      <c r="K322" s="5">
        <v>2</v>
      </c>
      <c r="L322" s="5">
        <v>6</v>
      </c>
      <c r="M322" s="5">
        <v>0</v>
      </c>
      <c r="N322" s="5" t="s">
        <v>1207</v>
      </c>
      <c r="O322" s="5" t="s">
        <v>497</v>
      </c>
      <c r="P322" s="5" t="s">
        <v>143</v>
      </c>
      <c r="Q322" s="5" t="s">
        <v>173</v>
      </c>
      <c r="S322" s="24">
        <v>0</v>
      </c>
      <c r="T322" s="24">
        <v>6</v>
      </c>
      <c r="U322" s="24">
        <v>2</v>
      </c>
      <c r="V322" s="24" t="str">
        <v>WILLIAM GUNAWAN</v>
      </c>
      <c r="W322" s="24" t="str">
        <v>535220092</v>
      </c>
      <c r="X322" s="24" t="str">
        <v>Stupen</v>
      </c>
      <c r="Y322" s="24" t="str">
        <v>Dr. Ing. Agus Budi Dharmawan, S.Kom., MT, M.Sc.</v>
      </c>
    </row>
    <row r="323" spans="1:25" ht="15" x14ac:dyDescent="0.2">
      <c r="A323" s="8">
        <v>3</v>
      </c>
      <c r="B323" s="8">
        <v>8</v>
      </c>
      <c r="C323" s="8">
        <v>0</v>
      </c>
      <c r="D323" s="3">
        <v>825220088</v>
      </c>
      <c r="E323" s="3" t="s">
        <v>143</v>
      </c>
      <c r="F323" t="s">
        <v>162</v>
      </c>
      <c r="G323" s="25" cm="1">
        <f t="array" ref="G323">IF(AND(A323:C323=S323:U323),IF((F323=Y323),1,0),999)</f>
        <v>999</v>
      </c>
      <c r="K323" s="5">
        <v>2</v>
      </c>
      <c r="L323" s="5">
        <v>6</v>
      </c>
      <c r="M323" s="5">
        <v>0</v>
      </c>
      <c r="N323" s="5" t="s">
        <v>1208</v>
      </c>
      <c r="O323" s="5" t="s">
        <v>498</v>
      </c>
      <c r="P323" s="5" t="s">
        <v>143</v>
      </c>
      <c r="Q323" s="5" t="s">
        <v>173</v>
      </c>
      <c r="S323" s="24">
        <v>0</v>
      </c>
      <c r="T323" s="24">
        <v>6</v>
      </c>
      <c r="U323" s="24">
        <v>2</v>
      </c>
      <c r="V323" s="24" t="str">
        <v>ALFIAN INDRAJAYA</v>
      </c>
      <c r="W323" s="24" t="str">
        <v>535220136</v>
      </c>
      <c r="X323" s="24" t="str">
        <v>Stupen</v>
      </c>
      <c r="Y323" s="24" t="str">
        <v>Dr. Ing. Agus Budi Dharmawan, S.Kom., MT, M.Sc.</v>
      </c>
    </row>
    <row r="324" spans="1:25" ht="15" x14ac:dyDescent="0.2">
      <c r="A324" s="8">
        <v>3</v>
      </c>
      <c r="B324" s="8">
        <v>8</v>
      </c>
      <c r="C324" s="8">
        <v>0</v>
      </c>
      <c r="D324" s="3">
        <v>825220093</v>
      </c>
      <c r="E324" s="3" t="s">
        <v>143</v>
      </c>
      <c r="F324" t="s">
        <v>162</v>
      </c>
      <c r="G324" s="25" cm="1">
        <f t="array" ref="G324">IF(AND(A324:C324=S324:U324),IF((F324=Y324),1,0),999)</f>
        <v>999</v>
      </c>
      <c r="K324" s="5">
        <v>2</v>
      </c>
      <c r="L324" s="5">
        <v>6</v>
      </c>
      <c r="M324" s="5">
        <v>0</v>
      </c>
      <c r="N324" s="5" t="s">
        <v>1209</v>
      </c>
      <c r="O324" s="5" t="s">
        <v>499</v>
      </c>
      <c r="P324" s="5" t="s">
        <v>146</v>
      </c>
      <c r="Q324" s="5" t="s">
        <v>173</v>
      </c>
      <c r="S324" s="24">
        <v>0</v>
      </c>
      <c r="T324" s="24">
        <v>6</v>
      </c>
      <c r="U324" s="24">
        <v>2</v>
      </c>
      <c r="V324" s="24" t="str">
        <v>KEVIN SAPUTRA</v>
      </c>
      <c r="W324" s="24" t="str">
        <v>535220139</v>
      </c>
      <c r="X324" s="24" t="str">
        <v>Stupen</v>
      </c>
      <c r="Y324" s="24" t="str">
        <v>Dr. Ing. Agus Budi Dharmawan, S.Kom., MT, M.Sc.</v>
      </c>
    </row>
    <row r="325" spans="1:25" ht="15" x14ac:dyDescent="0.2">
      <c r="A325" s="8">
        <v>3</v>
      </c>
      <c r="B325" s="8">
        <v>8</v>
      </c>
      <c r="C325" s="8">
        <v>0</v>
      </c>
      <c r="D325" s="3">
        <v>825220075</v>
      </c>
      <c r="E325" s="3" t="s">
        <v>142</v>
      </c>
      <c r="F325" t="s">
        <v>162</v>
      </c>
      <c r="G325" s="25" cm="1">
        <f t="array" ref="G325">IF(AND(A325:C325=S325:U325),IF((F325=Y325),1,0),999)</f>
        <v>999</v>
      </c>
      <c r="K325" s="5">
        <v>2</v>
      </c>
      <c r="L325" s="5">
        <v>6</v>
      </c>
      <c r="M325" s="5">
        <v>1</v>
      </c>
      <c r="N325" s="5" t="s">
        <v>1210</v>
      </c>
      <c r="O325" s="5" t="s">
        <v>500</v>
      </c>
      <c r="P325" s="5" t="s">
        <v>142</v>
      </c>
      <c r="Q325" s="5" t="s">
        <v>174</v>
      </c>
      <c r="S325" s="24">
        <v>0</v>
      </c>
      <c r="T325" s="24">
        <v>6</v>
      </c>
      <c r="U325" s="24">
        <v>2</v>
      </c>
      <c r="V325" s="24" t="str">
        <v>GABRIEL NATHANAEL IRAWAN</v>
      </c>
      <c r="W325" s="24" t="str">
        <v>535220142</v>
      </c>
      <c r="X325" s="24" t="str">
        <v>Stupen</v>
      </c>
      <c r="Y325" s="24" t="str">
        <v>Dr. Ing. Agus Budi Dharmawan, S.Kom., MT, M.Sc.</v>
      </c>
    </row>
    <row r="326" spans="1:25" ht="15" x14ac:dyDescent="0.2">
      <c r="A326" s="8">
        <v>3</v>
      </c>
      <c r="B326" s="8">
        <v>8</v>
      </c>
      <c r="C326" s="8">
        <v>0</v>
      </c>
      <c r="D326" s="3">
        <v>825220084</v>
      </c>
      <c r="E326" s="3" t="s">
        <v>142</v>
      </c>
      <c r="F326" t="s">
        <v>162</v>
      </c>
      <c r="G326" s="25" cm="1">
        <f t="array" ref="G326">IF(AND(A326:C326=S326:U326),IF((F326=Y326),1,0),999)</f>
        <v>999</v>
      </c>
      <c r="K326" s="5">
        <v>2</v>
      </c>
      <c r="L326" s="5">
        <v>6</v>
      </c>
      <c r="M326" s="5">
        <v>1</v>
      </c>
      <c r="N326" s="5" t="s">
        <v>1211</v>
      </c>
      <c r="O326" s="5" t="s">
        <v>501</v>
      </c>
      <c r="P326" s="5" t="s">
        <v>142</v>
      </c>
      <c r="Q326" s="5" t="s">
        <v>174</v>
      </c>
      <c r="S326" s="24">
        <v>0</v>
      </c>
      <c r="T326" s="24">
        <v>6</v>
      </c>
      <c r="U326" s="24">
        <v>2</v>
      </c>
      <c r="V326" s="24" t="str">
        <v xml:space="preserve">GIVEN PUTRA </v>
      </c>
      <c r="W326" s="24" t="str">
        <v>535220143</v>
      </c>
      <c r="X326" s="24" t="str">
        <v>Stupen</v>
      </c>
      <c r="Y326" s="24" t="str">
        <v>Dr. Ing. Agus Budi Dharmawan, S.Kom., MT, M.Sc.</v>
      </c>
    </row>
    <row r="327" spans="1:25" ht="15" x14ac:dyDescent="0.2">
      <c r="A327" s="8">
        <v>4</v>
      </c>
      <c r="B327" s="8">
        <v>8</v>
      </c>
      <c r="C327" s="8">
        <v>0</v>
      </c>
      <c r="D327" s="3">
        <v>535220092</v>
      </c>
      <c r="E327" s="3" t="s">
        <v>143</v>
      </c>
      <c r="F327" t="s">
        <v>175</v>
      </c>
      <c r="G327" s="25" cm="1">
        <f t="array" ref="G327">IF(AND(A327:C327=S327:U327),IF((F327=Y327),1,0),999)</f>
        <v>999</v>
      </c>
      <c r="K327" s="5">
        <v>2</v>
      </c>
      <c r="L327" s="5">
        <v>6</v>
      </c>
      <c r="M327" s="5">
        <v>1</v>
      </c>
      <c r="N327" s="5" t="s">
        <v>1212</v>
      </c>
      <c r="O327" s="5" t="s">
        <v>502</v>
      </c>
      <c r="P327" s="5" t="s">
        <v>142</v>
      </c>
      <c r="Q327" s="5" t="s">
        <v>174</v>
      </c>
      <c r="S327" s="24">
        <v>1</v>
      </c>
      <c r="T327" s="24">
        <v>6</v>
      </c>
      <c r="U327" s="24">
        <v>2</v>
      </c>
      <c r="V327" s="24" t="str">
        <v>ADHITYA INDRA RAHARJA</v>
      </c>
      <c r="W327" s="24" t="str">
        <v>535220160</v>
      </c>
      <c r="X327" s="24" t="str">
        <v>Stupen</v>
      </c>
      <c r="Y327" s="24" t="str">
        <v>Dr. Ing. Agus Budi Dharmawan, S.Kom., MT, M.Sc.</v>
      </c>
    </row>
    <row r="328" spans="1:25" ht="15" x14ac:dyDescent="0.2">
      <c r="A328" s="8">
        <v>4</v>
      </c>
      <c r="B328" s="8">
        <v>8</v>
      </c>
      <c r="C328" s="8">
        <v>0</v>
      </c>
      <c r="D328" s="3">
        <v>535220136</v>
      </c>
      <c r="E328" s="3" t="s">
        <v>143</v>
      </c>
      <c r="F328" t="s">
        <v>175</v>
      </c>
      <c r="G328" s="25" cm="1">
        <f t="array" ref="G328">IF(AND(A328:C328=S328:U328),IF((F328=Y328),1,0),999)</f>
        <v>999</v>
      </c>
      <c r="K328" s="5">
        <v>2</v>
      </c>
      <c r="L328" s="5">
        <v>6</v>
      </c>
      <c r="M328" s="5">
        <v>1</v>
      </c>
      <c r="N328" s="5" t="s">
        <v>1213</v>
      </c>
      <c r="O328" s="5" t="s">
        <v>503</v>
      </c>
      <c r="P328" s="5" t="s">
        <v>142</v>
      </c>
      <c r="Q328" s="5" t="s">
        <v>174</v>
      </c>
      <c r="S328" s="24">
        <v>1</v>
      </c>
      <c r="T328" s="24">
        <v>6</v>
      </c>
      <c r="U328" s="24">
        <v>2</v>
      </c>
      <c r="V328" s="24" t="str">
        <v>AULIA DWI YULIANTI</v>
      </c>
      <c r="W328" s="24" t="str">
        <v>535220178</v>
      </c>
      <c r="X328" s="24" t="str">
        <v>Stupen</v>
      </c>
      <c r="Y328" s="24" t="str">
        <v>Dr. Ing. Agus Budi Dharmawan, S.Kom., MT, M.Sc.</v>
      </c>
    </row>
    <row r="329" spans="1:25" ht="15" x14ac:dyDescent="0.2">
      <c r="A329" s="8">
        <v>4</v>
      </c>
      <c r="B329" s="8">
        <v>8</v>
      </c>
      <c r="C329" s="8">
        <v>0</v>
      </c>
      <c r="D329" s="3">
        <v>535220139</v>
      </c>
      <c r="E329" s="3" t="s">
        <v>143</v>
      </c>
      <c r="F329" t="s">
        <v>175</v>
      </c>
      <c r="G329" s="25" cm="1">
        <f t="array" ref="G329">IF(AND(A329:C329=S329:U329),IF((F329=Y329),1,0),999)</f>
        <v>999</v>
      </c>
      <c r="K329" s="5">
        <v>2</v>
      </c>
      <c r="L329" s="5">
        <v>6</v>
      </c>
      <c r="M329" s="5">
        <v>1</v>
      </c>
      <c r="N329" s="5" t="s">
        <v>1214</v>
      </c>
      <c r="O329" s="5" t="s">
        <v>504</v>
      </c>
      <c r="P329" s="5" t="s">
        <v>142</v>
      </c>
      <c r="Q329" s="5" t="s">
        <v>174</v>
      </c>
      <c r="S329" s="24">
        <v>1</v>
      </c>
      <c r="T329" s="24">
        <v>6</v>
      </c>
      <c r="U329" s="24">
        <v>2</v>
      </c>
      <c r="V329" s="24" t="str">
        <v>CHRIST THADDEUS</v>
      </c>
      <c r="W329" s="24" t="str">
        <v>535220196</v>
      </c>
      <c r="X329" s="24" t="str">
        <v>Stupen</v>
      </c>
      <c r="Y329" s="24" t="str">
        <v>Dr. Ing. Agus Budi Dharmawan, S.Kom., MT, M.Sc.</v>
      </c>
    </row>
    <row r="330" spans="1:25" ht="15" x14ac:dyDescent="0.2">
      <c r="A330" s="8">
        <v>4</v>
      </c>
      <c r="B330" s="8">
        <v>8</v>
      </c>
      <c r="C330" s="8">
        <v>0</v>
      </c>
      <c r="D330" s="3">
        <v>535220142</v>
      </c>
      <c r="E330" s="3" t="s">
        <v>143</v>
      </c>
      <c r="F330" t="s">
        <v>175</v>
      </c>
      <c r="G330" s="25" cm="1">
        <f t="array" ref="G330">IF(AND(A330:C330=S330:U330),IF((F330=Y330),1,0),999)</f>
        <v>999</v>
      </c>
      <c r="K330" s="5">
        <v>2</v>
      </c>
      <c r="L330" s="5">
        <v>6</v>
      </c>
      <c r="M330" s="5">
        <v>2</v>
      </c>
      <c r="N330" s="5" t="s">
        <v>1215</v>
      </c>
      <c r="O330" s="5" t="s">
        <v>505</v>
      </c>
      <c r="P330" s="5" t="s">
        <v>143</v>
      </c>
      <c r="Q330" s="5" t="s">
        <v>175</v>
      </c>
      <c r="S330" s="24">
        <v>1</v>
      </c>
      <c r="T330" s="24">
        <v>6</v>
      </c>
      <c r="U330" s="24">
        <v>2</v>
      </c>
      <c r="V330" s="24" t="str">
        <v>WILLY MICHAEL</v>
      </c>
      <c r="W330" s="24" t="str">
        <v>535220216</v>
      </c>
      <c r="X330" s="24" t="str">
        <v>Stupen</v>
      </c>
      <c r="Y330" s="24" t="str">
        <v>Dr. Ing. Agus Budi Dharmawan, S.Kom., MT, M.Sc.</v>
      </c>
    </row>
    <row r="331" spans="1:25" ht="15" x14ac:dyDescent="0.2">
      <c r="A331" s="8">
        <v>4</v>
      </c>
      <c r="B331" s="8">
        <v>8</v>
      </c>
      <c r="C331" s="8">
        <v>0</v>
      </c>
      <c r="D331" s="3">
        <v>535220143</v>
      </c>
      <c r="E331" s="3" t="s">
        <v>143</v>
      </c>
      <c r="F331" t="s">
        <v>175</v>
      </c>
      <c r="G331" s="25" cm="1">
        <f t="array" ref="G331">IF(AND(A331:C331=S331:U331),IF((F331=Y331),1,0),999)</f>
        <v>999</v>
      </c>
      <c r="K331" s="5">
        <v>2</v>
      </c>
      <c r="L331" s="5">
        <v>6</v>
      </c>
      <c r="M331" s="5">
        <v>2</v>
      </c>
      <c r="N331" s="5" t="s">
        <v>1216</v>
      </c>
      <c r="O331" s="5" t="s">
        <v>506</v>
      </c>
      <c r="P331" s="5" t="s">
        <v>143</v>
      </c>
      <c r="Q331" s="5" t="s">
        <v>175</v>
      </c>
      <c r="S331" s="24">
        <v>1</v>
      </c>
      <c r="T331" s="24">
        <v>6</v>
      </c>
      <c r="U331" s="24">
        <v>2</v>
      </c>
      <c r="V331" s="24" t="str">
        <v>WILSON ALFANDO</v>
      </c>
      <c r="W331" s="24" t="str">
        <v>535220219</v>
      </c>
      <c r="X331" s="24" t="str">
        <v>Stupen</v>
      </c>
      <c r="Y331" s="24" t="str">
        <v>Dr. Ing. Agus Budi Dharmawan, S.Kom., MT, M.Sc.</v>
      </c>
    </row>
    <row r="332" spans="1:25" ht="15" x14ac:dyDescent="0.2">
      <c r="A332" s="8">
        <v>5</v>
      </c>
      <c r="B332" s="8">
        <v>8</v>
      </c>
      <c r="C332" s="8">
        <v>0</v>
      </c>
      <c r="D332" s="3">
        <v>825220054</v>
      </c>
      <c r="E332" s="3" t="s">
        <v>142</v>
      </c>
      <c r="F332" t="s">
        <v>168</v>
      </c>
      <c r="G332" s="25" cm="1">
        <f t="array" ref="G332">IF(AND(A332:C332=S332:U332),IF((F332=Y332),1,0),999)</f>
        <v>999</v>
      </c>
      <c r="K332" s="5">
        <v>2</v>
      </c>
      <c r="L332" s="5">
        <v>6</v>
      </c>
      <c r="M332" s="5">
        <v>2</v>
      </c>
      <c r="N332" s="5" t="s">
        <v>1217</v>
      </c>
      <c r="O332" s="5" t="s">
        <v>507</v>
      </c>
      <c r="P332" s="5" t="s">
        <v>143</v>
      </c>
      <c r="Q332" s="5" t="s">
        <v>175</v>
      </c>
      <c r="S332" s="24">
        <v>2</v>
      </c>
      <c r="T332" s="24">
        <v>6</v>
      </c>
      <c r="U332" s="24">
        <v>2</v>
      </c>
      <c r="V332" s="24" t="str">
        <v>BENEVITO KEVIN SEBASTIAN HARIANDJA</v>
      </c>
      <c r="W332" s="24" t="str">
        <v>535220222</v>
      </c>
      <c r="X332" s="24" t="str">
        <v>Stupen</v>
      </c>
      <c r="Y332" s="24" t="str">
        <v>Dr. Ing. Agus Budi Dharmawan, S.Kom., MT, M.Sc.</v>
      </c>
    </row>
    <row r="333" spans="1:25" ht="15" x14ac:dyDescent="0.2">
      <c r="A333" s="8">
        <v>5</v>
      </c>
      <c r="B333" s="8">
        <v>8</v>
      </c>
      <c r="C333" s="8">
        <v>0</v>
      </c>
      <c r="D333" s="3">
        <v>825220129</v>
      </c>
      <c r="E333" s="3" t="s">
        <v>142</v>
      </c>
      <c r="F333" t="s">
        <v>168</v>
      </c>
      <c r="G333" s="25" cm="1">
        <f t="array" ref="G333">IF(AND(A333:C333=S333:U333),IF((F333=Y333),1,0),999)</f>
        <v>999</v>
      </c>
      <c r="K333" s="5">
        <v>2</v>
      </c>
      <c r="L333" s="5">
        <v>6</v>
      </c>
      <c r="M333" s="5">
        <v>2</v>
      </c>
      <c r="N333" s="5" t="s">
        <v>1218</v>
      </c>
      <c r="O333" s="5" t="s">
        <v>508</v>
      </c>
      <c r="P333" s="5" t="s">
        <v>143</v>
      </c>
      <c r="Q333" s="5" t="s">
        <v>175</v>
      </c>
      <c r="S333" s="24">
        <v>2</v>
      </c>
      <c r="T333" s="24">
        <v>6</v>
      </c>
      <c r="U333" s="24">
        <v>2</v>
      </c>
      <c r="V333" s="24" t="str">
        <v>PARVEEN UZMA HABIDIN</v>
      </c>
      <c r="W333" s="24" t="str">
        <v>535220226</v>
      </c>
      <c r="X333" s="24" t="str">
        <v>Stupen</v>
      </c>
      <c r="Y333" s="24" t="str">
        <v>Dr. Ing. Agus Budi Dharmawan, S.Kom., MT, M.Sc.</v>
      </c>
    </row>
    <row r="334" spans="1:25" ht="15" x14ac:dyDescent="0.2">
      <c r="A334" s="8">
        <v>5</v>
      </c>
      <c r="B334" s="8">
        <v>8</v>
      </c>
      <c r="C334" s="8">
        <v>0</v>
      </c>
      <c r="D334" s="3">
        <v>825220147</v>
      </c>
      <c r="E334" s="3" t="s">
        <v>142</v>
      </c>
      <c r="F334" t="s">
        <v>168</v>
      </c>
      <c r="G334" s="25" cm="1">
        <f t="array" ref="G334">IF(AND(A334:C334=S334:U334),IF((F334=Y334),1,0),999)</f>
        <v>999</v>
      </c>
      <c r="K334" s="5">
        <v>2</v>
      </c>
      <c r="L334" s="5">
        <v>6</v>
      </c>
      <c r="M334" s="5">
        <v>2</v>
      </c>
      <c r="N334" s="5" t="s">
        <v>1219</v>
      </c>
      <c r="O334" s="5" t="s">
        <v>509</v>
      </c>
      <c r="P334" s="5" t="s">
        <v>143</v>
      </c>
      <c r="Q334" s="5" t="s">
        <v>175</v>
      </c>
      <c r="S334" s="24">
        <v>2</v>
      </c>
      <c r="T334" s="24">
        <v>6</v>
      </c>
      <c r="U334" s="24">
        <v>2</v>
      </c>
      <c r="V334" s="24" t="str">
        <v>ANGGA RIZKI RAMADHAN</v>
      </c>
      <c r="W334" s="24" t="str">
        <v>535220231</v>
      </c>
      <c r="X334" s="24" t="str">
        <v>Stupen</v>
      </c>
      <c r="Y334" s="24" t="str">
        <v>Dr. Ing. Agus Budi Dharmawan, S.Kom., MT, M.Sc.</v>
      </c>
    </row>
    <row r="335" spans="1:25" ht="15" x14ac:dyDescent="0.2">
      <c r="A335" s="8">
        <v>5</v>
      </c>
      <c r="B335" s="8">
        <v>8</v>
      </c>
      <c r="C335" s="8">
        <v>0</v>
      </c>
      <c r="D335" s="3">
        <v>825220153</v>
      </c>
      <c r="E335" s="3" t="s">
        <v>142</v>
      </c>
      <c r="F335" t="s">
        <v>168</v>
      </c>
      <c r="G335" s="25" cm="1">
        <f t="array" ref="G335">IF(AND(A335:C335=S335:U335),IF((F335=Y335),1,0),999)</f>
        <v>999</v>
      </c>
      <c r="K335" s="5">
        <v>3</v>
      </c>
      <c r="L335" s="5">
        <v>6</v>
      </c>
      <c r="M335" s="5">
        <v>0</v>
      </c>
      <c r="N335" s="5" t="s">
        <v>1220</v>
      </c>
      <c r="O335" s="5" t="s">
        <v>510</v>
      </c>
      <c r="P335" s="5" t="s">
        <v>146</v>
      </c>
      <c r="Q335" s="5" t="s">
        <v>173</v>
      </c>
      <c r="S335" s="24">
        <v>2</v>
      </c>
      <c r="T335" s="24">
        <v>6</v>
      </c>
      <c r="U335" s="24">
        <v>2</v>
      </c>
      <c r="V335" s="24" t="str">
        <v>JUVENTIA AGNECIA</v>
      </c>
      <c r="W335" s="24" t="str">
        <v>535220237</v>
      </c>
      <c r="X335" s="24" t="str">
        <v>Stupen</v>
      </c>
      <c r="Y335" s="24" t="str">
        <v>Dr. Ing. Agus Budi Dharmawan, S.Kom., MT, M.Sc.</v>
      </c>
    </row>
    <row r="336" spans="1:25" ht="15" x14ac:dyDescent="0.2">
      <c r="A336" s="8">
        <v>5</v>
      </c>
      <c r="B336" s="8">
        <v>8</v>
      </c>
      <c r="C336" s="8">
        <v>0</v>
      </c>
      <c r="D336" s="3">
        <v>825220168</v>
      </c>
      <c r="E336" s="3" t="s">
        <v>142</v>
      </c>
      <c r="F336" s="28" t="s">
        <v>168</v>
      </c>
      <c r="G336" s="25" cm="1">
        <f t="array" ref="G336">IF(AND(A336:C336=S336:U336),IF((F336=Y336),1,0),999)</f>
        <v>999</v>
      </c>
      <c r="K336" s="5">
        <v>3</v>
      </c>
      <c r="L336" s="5">
        <v>6</v>
      </c>
      <c r="M336" s="5">
        <v>0</v>
      </c>
      <c r="N336" s="5" t="s">
        <v>1221</v>
      </c>
      <c r="O336" s="5" t="s">
        <v>511</v>
      </c>
      <c r="P336" s="5" t="s">
        <v>142</v>
      </c>
      <c r="Q336" s="5" t="s">
        <v>174</v>
      </c>
      <c r="S336" s="24">
        <v>2</v>
      </c>
      <c r="T336" s="24">
        <v>6</v>
      </c>
      <c r="U336" s="24">
        <v>2</v>
      </c>
      <c r="V336" s="24" t="str">
        <v>KHANSA MARITZA AR-RAHMAH</v>
      </c>
      <c r="W336" s="24" t="str">
        <v>535220241</v>
      </c>
      <c r="X336" s="24" t="str">
        <v>Stupen</v>
      </c>
      <c r="Y336" s="24" t="str">
        <v>Dr. Ing. Agus Budi Dharmawan, S.Kom., MT, M.Sc.</v>
      </c>
    </row>
    <row r="337" spans="7:8" x14ac:dyDescent="0.2">
      <c r="G337" s="29"/>
      <c r="H337" s="36"/>
    </row>
    <row r="338" spans="7:8" x14ac:dyDescent="0.2">
      <c r="G338" s="1"/>
      <c r="H338" s="37"/>
    </row>
    <row r="339" spans="7:8" x14ac:dyDescent="0.2">
      <c r="G339" s="1"/>
      <c r="H339" s="37"/>
    </row>
  </sheetData>
  <conditionalFormatting sqref="A1:A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:B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" priority="8" operator="equal">
      <formula>2</formula>
    </cfRule>
    <cfRule type="cellIs" dxfId="10" priority="9" operator="equal">
      <formula>1</formula>
    </cfRule>
    <cfRule type="cellIs" dxfId="9" priority="10" operator="equal">
      <formula>0</formula>
    </cfRule>
  </conditionalFormatting>
  <conditionalFormatting sqref="S1:S104857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:T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:U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" priority="11" operator="equal">
      <formula>2</formula>
    </cfRule>
    <cfRule type="cellIs" dxfId="7" priority="12" operator="equal">
      <formula>1</formula>
    </cfRule>
    <cfRule type="cellIs" dxfId="6" priority="13" operator="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C5970-DBC9-4C5D-892A-A623AC28243D}">
  <dimension ref="A1:W338"/>
  <sheetViews>
    <sheetView zoomScale="70" zoomScaleNormal="70" workbookViewId="0">
      <pane ySplit="1" topLeftCell="A2" activePane="bottomLeft" state="frozen"/>
      <selection pane="bottomLeft" activeCell="V41" sqref="V41"/>
    </sheetView>
  </sheetViews>
  <sheetFormatPr defaultRowHeight="12.75" x14ac:dyDescent="0.2"/>
  <cols>
    <col min="1" max="1" width="5.1640625" style="45" bestFit="1" customWidth="1"/>
    <col min="2" max="2" width="5.6640625" style="45" bestFit="1" customWidth="1"/>
    <col min="3" max="3" width="7.5" style="45" bestFit="1" customWidth="1"/>
    <col min="4" max="4" width="14.5" style="45" bestFit="1" customWidth="1"/>
    <col min="5" max="5" width="13.33203125" style="45" bestFit="1" customWidth="1"/>
    <col min="6" max="6" width="36.33203125" style="45" customWidth="1"/>
    <col min="10" max="10" width="12.33203125" hidden="1" customWidth="1"/>
    <col min="12" max="12" width="18.33203125" customWidth="1"/>
    <col min="13" max="13" width="15.33203125" customWidth="1"/>
    <col min="14" max="14" width="13" style="45" bestFit="1" customWidth="1"/>
    <col min="23" max="23" width="9.33203125" style="44"/>
  </cols>
  <sheetData>
    <row r="1" spans="1:23" x14ac:dyDescent="0.2">
      <c r="A1" s="90" t="s">
        <v>1229</v>
      </c>
      <c r="B1" s="91"/>
      <c r="C1" s="91"/>
      <c r="D1" s="91"/>
      <c r="E1" s="91"/>
      <c r="F1" s="91"/>
      <c r="G1" s="92" t="s">
        <v>1230</v>
      </c>
      <c r="H1" s="93"/>
      <c r="I1" s="93"/>
      <c r="J1" s="93"/>
      <c r="K1" s="93"/>
      <c r="L1" s="93"/>
      <c r="M1" s="93"/>
      <c r="N1" s="94" t="s">
        <v>886</v>
      </c>
    </row>
    <row r="2" spans="1:23" ht="13.5" thickBot="1" x14ac:dyDescent="0.25">
      <c r="A2" s="62" t="s">
        <v>878</v>
      </c>
      <c r="B2" s="63" t="s">
        <v>879</v>
      </c>
      <c r="C2" s="63" t="s">
        <v>880</v>
      </c>
      <c r="D2" s="63" t="s">
        <v>176</v>
      </c>
      <c r="E2" s="63" t="s">
        <v>151</v>
      </c>
      <c r="F2" s="64" t="s">
        <v>152</v>
      </c>
      <c r="G2" s="65" t="s">
        <v>149</v>
      </c>
      <c r="H2" s="66" t="s">
        <v>148</v>
      </c>
      <c r="I2" s="66" t="s">
        <v>150</v>
      </c>
      <c r="J2" s="66"/>
      <c r="K2" s="66" t="s">
        <v>176</v>
      </c>
      <c r="L2" s="66" t="s">
        <v>151</v>
      </c>
      <c r="M2" s="67" t="s">
        <v>152</v>
      </c>
      <c r="N2" s="95"/>
      <c r="S2" t="s">
        <v>1223</v>
      </c>
      <c r="T2" t="s">
        <v>1224</v>
      </c>
      <c r="U2" t="s">
        <v>1225</v>
      </c>
      <c r="V2" s="24" t="s">
        <v>1226</v>
      </c>
      <c r="W2" s="31" t="s">
        <v>1227</v>
      </c>
    </row>
    <row r="3" spans="1:23" ht="15" x14ac:dyDescent="0.2">
      <c r="A3" s="56">
        <v>0</v>
      </c>
      <c r="B3" s="56">
        <v>0</v>
      </c>
      <c r="C3" s="56">
        <v>0</v>
      </c>
      <c r="D3" s="57">
        <v>825220024</v>
      </c>
      <c r="E3" s="57" t="s">
        <v>142</v>
      </c>
      <c r="F3" s="45" t="s">
        <v>160</v>
      </c>
      <c r="G3" s="60">
        <v>0</v>
      </c>
      <c r="H3" s="58">
        <v>0</v>
      </c>
      <c r="I3" s="58">
        <v>0</v>
      </c>
      <c r="J3" s="58" t="s">
        <v>888</v>
      </c>
      <c r="K3" s="58" t="s">
        <v>177</v>
      </c>
      <c r="L3" s="58" t="s">
        <v>142</v>
      </c>
      <c r="M3" s="58" t="s">
        <v>153</v>
      </c>
      <c r="N3" s="52">
        <v>0</v>
      </c>
      <c r="S3">
        <v>0</v>
      </c>
      <c r="T3">
        <v>0</v>
      </c>
      <c r="U3">
        <v>0</v>
      </c>
      <c r="V3" s="25">
        <v>5</v>
      </c>
      <c r="W3" s="32">
        <v>5</v>
      </c>
    </row>
    <row r="4" spans="1:23" ht="15" x14ac:dyDescent="0.2">
      <c r="A4" s="46">
        <v>0</v>
      </c>
      <c r="B4" s="46">
        <v>0</v>
      </c>
      <c r="C4" s="46">
        <v>0</v>
      </c>
      <c r="D4" s="47">
        <v>825220040</v>
      </c>
      <c r="E4" s="47" t="s">
        <v>142</v>
      </c>
      <c r="F4" s="45" t="s">
        <v>160</v>
      </c>
      <c r="G4" s="59">
        <v>0</v>
      </c>
      <c r="H4" s="24">
        <v>0</v>
      </c>
      <c r="I4" s="24">
        <v>0</v>
      </c>
      <c r="J4" s="24" t="s">
        <v>889</v>
      </c>
      <c r="K4" s="24" t="s">
        <v>178</v>
      </c>
      <c r="L4" s="24" t="s">
        <v>142</v>
      </c>
      <c r="M4" s="24" t="s">
        <v>153</v>
      </c>
      <c r="N4" s="48">
        <v>0</v>
      </c>
      <c r="S4">
        <v>0</v>
      </c>
      <c r="T4">
        <v>0</v>
      </c>
      <c r="U4">
        <v>1</v>
      </c>
      <c r="V4" s="25">
        <v>5</v>
      </c>
      <c r="W4" s="32">
        <v>5</v>
      </c>
    </row>
    <row r="5" spans="1:23" ht="15" x14ac:dyDescent="0.2">
      <c r="A5" s="46">
        <v>0</v>
      </c>
      <c r="B5" s="46">
        <v>0</v>
      </c>
      <c r="C5" s="46">
        <v>0</v>
      </c>
      <c r="D5" s="47">
        <v>825220045</v>
      </c>
      <c r="E5" s="47" t="s">
        <v>142</v>
      </c>
      <c r="F5" s="45" t="s">
        <v>160</v>
      </c>
      <c r="G5" s="59">
        <v>0</v>
      </c>
      <c r="H5" s="24">
        <v>0</v>
      </c>
      <c r="I5" s="24">
        <v>0</v>
      </c>
      <c r="J5" s="24" t="s">
        <v>890</v>
      </c>
      <c r="K5" s="24" t="s">
        <v>179</v>
      </c>
      <c r="L5" s="24" t="s">
        <v>142</v>
      </c>
      <c r="M5" s="24" t="s">
        <v>153</v>
      </c>
      <c r="N5" s="48">
        <v>0</v>
      </c>
      <c r="S5">
        <v>0</v>
      </c>
      <c r="T5">
        <v>0</v>
      </c>
      <c r="U5">
        <v>2</v>
      </c>
      <c r="V5" s="25">
        <v>5</v>
      </c>
      <c r="W5" s="32">
        <v>5</v>
      </c>
    </row>
    <row r="6" spans="1:23" ht="15" x14ac:dyDescent="0.2">
      <c r="A6" s="46">
        <v>0</v>
      </c>
      <c r="B6" s="46">
        <v>0</v>
      </c>
      <c r="C6" s="46">
        <v>0</v>
      </c>
      <c r="D6" s="47">
        <v>825220049</v>
      </c>
      <c r="E6" s="47" t="s">
        <v>142</v>
      </c>
      <c r="F6" s="45" t="s">
        <v>160</v>
      </c>
      <c r="G6" s="59">
        <v>0</v>
      </c>
      <c r="H6" s="24">
        <v>0</v>
      </c>
      <c r="I6" s="24">
        <v>0</v>
      </c>
      <c r="J6" s="24" t="s">
        <v>891</v>
      </c>
      <c r="K6" s="24" t="s">
        <v>180</v>
      </c>
      <c r="L6" s="24" t="s">
        <v>142</v>
      </c>
      <c r="M6" s="24" t="s">
        <v>153</v>
      </c>
      <c r="N6" s="48">
        <v>0</v>
      </c>
      <c r="S6">
        <v>0</v>
      </c>
      <c r="T6">
        <v>0</v>
      </c>
      <c r="U6">
        <v>3</v>
      </c>
      <c r="V6" s="25">
        <v>5</v>
      </c>
      <c r="W6" s="32">
        <v>5</v>
      </c>
    </row>
    <row r="7" spans="1:23" ht="15" x14ac:dyDescent="0.2">
      <c r="A7" s="46">
        <v>0</v>
      </c>
      <c r="B7" s="46">
        <v>0</v>
      </c>
      <c r="C7" s="46">
        <v>0</v>
      </c>
      <c r="D7" s="47">
        <v>825220055</v>
      </c>
      <c r="E7" s="47" t="s">
        <v>142</v>
      </c>
      <c r="F7" s="45" t="s">
        <v>160</v>
      </c>
      <c r="G7" s="59">
        <v>0</v>
      </c>
      <c r="H7" s="24">
        <v>0</v>
      </c>
      <c r="I7" s="24">
        <v>0</v>
      </c>
      <c r="J7" s="24" t="s">
        <v>892</v>
      </c>
      <c r="K7" s="24" t="s">
        <v>181</v>
      </c>
      <c r="L7" s="24" t="s">
        <v>142</v>
      </c>
      <c r="M7" s="24" t="s">
        <v>153</v>
      </c>
      <c r="N7" s="48">
        <v>0</v>
      </c>
      <c r="S7">
        <v>0</v>
      </c>
      <c r="T7">
        <v>0</v>
      </c>
      <c r="U7">
        <v>4</v>
      </c>
      <c r="V7" s="25">
        <v>5</v>
      </c>
      <c r="W7" s="32">
        <v>5</v>
      </c>
    </row>
    <row r="8" spans="1:23" ht="15" x14ac:dyDescent="0.2">
      <c r="A8" s="46">
        <v>1</v>
      </c>
      <c r="B8" s="46">
        <v>0</v>
      </c>
      <c r="C8" s="46">
        <v>0</v>
      </c>
      <c r="D8" s="47">
        <v>825220089</v>
      </c>
      <c r="E8" s="47" t="s">
        <v>142</v>
      </c>
      <c r="F8" s="45" t="s">
        <v>160</v>
      </c>
      <c r="G8" s="59">
        <v>1</v>
      </c>
      <c r="H8" s="24">
        <v>0</v>
      </c>
      <c r="I8" s="24">
        <v>0</v>
      </c>
      <c r="J8" s="24" t="s">
        <v>903</v>
      </c>
      <c r="K8" s="24" t="s">
        <v>192</v>
      </c>
      <c r="L8" s="24" t="s">
        <v>142</v>
      </c>
      <c r="M8" s="24" t="s">
        <v>153</v>
      </c>
      <c r="N8" s="48">
        <v>0</v>
      </c>
      <c r="S8">
        <v>0</v>
      </c>
      <c r="T8">
        <v>0</v>
      </c>
      <c r="U8">
        <v>5</v>
      </c>
      <c r="V8" s="25">
        <v>5</v>
      </c>
      <c r="W8" s="32">
        <v>5</v>
      </c>
    </row>
    <row r="9" spans="1:23" ht="15" x14ac:dyDescent="0.2">
      <c r="A9" s="46">
        <v>1</v>
      </c>
      <c r="B9" s="46">
        <v>0</v>
      </c>
      <c r="C9" s="46">
        <v>0</v>
      </c>
      <c r="D9" s="49">
        <v>825220132</v>
      </c>
      <c r="E9" s="47" t="s">
        <v>142</v>
      </c>
      <c r="F9" s="45" t="s">
        <v>160</v>
      </c>
      <c r="G9" s="59">
        <v>1</v>
      </c>
      <c r="H9" s="24">
        <v>0</v>
      </c>
      <c r="I9" s="24">
        <v>0</v>
      </c>
      <c r="J9" s="24" t="s">
        <v>904</v>
      </c>
      <c r="K9" s="24" t="s">
        <v>193</v>
      </c>
      <c r="L9" s="24" t="s">
        <v>142</v>
      </c>
      <c r="M9" s="24" t="s">
        <v>153</v>
      </c>
      <c r="N9" s="48">
        <v>0</v>
      </c>
      <c r="S9">
        <v>0</v>
      </c>
      <c r="T9">
        <v>0</v>
      </c>
      <c r="U9">
        <v>6</v>
      </c>
      <c r="V9" s="25">
        <v>5</v>
      </c>
      <c r="W9" s="32">
        <v>5</v>
      </c>
    </row>
    <row r="10" spans="1:23" ht="15" x14ac:dyDescent="0.2">
      <c r="A10" s="46">
        <v>1</v>
      </c>
      <c r="B10" s="46">
        <v>0</v>
      </c>
      <c r="C10" s="46">
        <v>0</v>
      </c>
      <c r="D10" s="47">
        <v>825220151</v>
      </c>
      <c r="E10" s="47" t="s">
        <v>142</v>
      </c>
      <c r="F10" s="45" t="s">
        <v>160</v>
      </c>
      <c r="G10" s="59">
        <v>1</v>
      </c>
      <c r="H10" s="24">
        <v>0</v>
      </c>
      <c r="I10" s="24">
        <v>0</v>
      </c>
      <c r="J10" s="24" t="s">
        <v>905</v>
      </c>
      <c r="K10" s="24" t="s">
        <v>194</v>
      </c>
      <c r="L10" s="24" t="s">
        <v>142</v>
      </c>
      <c r="M10" s="24" t="s">
        <v>153</v>
      </c>
      <c r="N10" s="48">
        <v>0</v>
      </c>
      <c r="S10">
        <v>0</v>
      </c>
      <c r="T10">
        <v>1</v>
      </c>
      <c r="U10">
        <v>0</v>
      </c>
      <c r="V10" s="25">
        <v>0</v>
      </c>
      <c r="W10" s="32">
        <v>5</v>
      </c>
    </row>
    <row r="11" spans="1:23" ht="15" x14ac:dyDescent="0.2">
      <c r="A11" s="46">
        <v>1</v>
      </c>
      <c r="B11" s="46">
        <v>0</v>
      </c>
      <c r="C11" s="46">
        <v>0</v>
      </c>
      <c r="D11" s="47">
        <v>825220154</v>
      </c>
      <c r="E11" s="47" t="s">
        <v>142</v>
      </c>
      <c r="F11" s="45" t="s">
        <v>160</v>
      </c>
      <c r="G11" s="59">
        <v>1</v>
      </c>
      <c r="H11" s="24">
        <v>0</v>
      </c>
      <c r="I11" s="24">
        <v>0</v>
      </c>
      <c r="J11" s="24" t="s">
        <v>906</v>
      </c>
      <c r="K11" s="24" t="s">
        <v>195</v>
      </c>
      <c r="L11" s="24" t="s">
        <v>142</v>
      </c>
      <c r="M11" s="24" t="s">
        <v>153</v>
      </c>
      <c r="N11" s="48">
        <v>0</v>
      </c>
      <c r="S11">
        <v>0</v>
      </c>
      <c r="T11">
        <v>1</v>
      </c>
      <c r="U11">
        <v>1</v>
      </c>
      <c r="V11" s="25">
        <v>0</v>
      </c>
      <c r="W11" s="32">
        <v>5</v>
      </c>
    </row>
    <row r="12" spans="1:23" ht="15" x14ac:dyDescent="0.2">
      <c r="A12" s="46">
        <v>1</v>
      </c>
      <c r="B12" s="46">
        <v>0</v>
      </c>
      <c r="C12" s="46">
        <v>0</v>
      </c>
      <c r="D12" s="47">
        <v>825220046</v>
      </c>
      <c r="E12" s="47" t="s">
        <v>142</v>
      </c>
      <c r="F12" s="45" t="s">
        <v>153</v>
      </c>
      <c r="G12" s="59">
        <v>1</v>
      </c>
      <c r="H12" s="24">
        <v>0</v>
      </c>
      <c r="I12" s="24">
        <v>0</v>
      </c>
      <c r="J12" s="24" t="s">
        <v>907</v>
      </c>
      <c r="K12" s="24" t="s">
        <v>196</v>
      </c>
      <c r="L12" s="24" t="s">
        <v>142</v>
      </c>
      <c r="M12" s="24" t="s">
        <v>153</v>
      </c>
      <c r="N12" s="48">
        <v>1</v>
      </c>
      <c r="S12">
        <v>0</v>
      </c>
      <c r="T12">
        <v>1</v>
      </c>
      <c r="U12">
        <v>2</v>
      </c>
      <c r="V12" s="25">
        <v>0</v>
      </c>
      <c r="W12" s="32">
        <v>5</v>
      </c>
    </row>
    <row r="13" spans="1:23" ht="15" x14ac:dyDescent="0.2">
      <c r="A13" s="46">
        <v>2</v>
      </c>
      <c r="B13" s="46">
        <v>0</v>
      </c>
      <c r="C13" s="46">
        <v>0</v>
      </c>
      <c r="D13" s="47">
        <v>825220048</v>
      </c>
      <c r="E13" s="47" t="s">
        <v>142</v>
      </c>
      <c r="F13" s="45" t="s">
        <v>153</v>
      </c>
      <c r="G13" s="59">
        <v>2</v>
      </c>
      <c r="H13" s="24">
        <v>0</v>
      </c>
      <c r="I13" s="24">
        <v>0</v>
      </c>
      <c r="J13" s="24" t="s">
        <v>918</v>
      </c>
      <c r="K13" s="24" t="s">
        <v>207</v>
      </c>
      <c r="L13" s="24" t="s">
        <v>142</v>
      </c>
      <c r="M13" s="24" t="s">
        <v>153</v>
      </c>
      <c r="N13" s="48">
        <v>1</v>
      </c>
      <c r="S13">
        <v>0</v>
      </c>
      <c r="T13">
        <v>1</v>
      </c>
      <c r="U13">
        <v>3</v>
      </c>
      <c r="V13" s="25">
        <v>0</v>
      </c>
      <c r="W13" s="32">
        <v>5</v>
      </c>
    </row>
    <row r="14" spans="1:23" ht="15" x14ac:dyDescent="0.2">
      <c r="A14" s="46">
        <v>2</v>
      </c>
      <c r="B14" s="46">
        <v>0</v>
      </c>
      <c r="C14" s="46">
        <v>0</v>
      </c>
      <c r="D14" s="47">
        <v>825220057</v>
      </c>
      <c r="E14" s="47" t="s">
        <v>142</v>
      </c>
      <c r="F14" s="45" t="s">
        <v>153</v>
      </c>
      <c r="G14" s="59">
        <v>2</v>
      </c>
      <c r="H14" s="24">
        <v>0</v>
      </c>
      <c r="I14" s="24">
        <v>0</v>
      </c>
      <c r="J14" s="24" t="s">
        <v>919</v>
      </c>
      <c r="K14" s="24" t="s">
        <v>208</v>
      </c>
      <c r="L14" s="24" t="s">
        <v>142</v>
      </c>
      <c r="M14" s="24" t="s">
        <v>153</v>
      </c>
      <c r="N14" s="48">
        <v>1</v>
      </c>
      <c r="S14">
        <v>0</v>
      </c>
      <c r="T14">
        <v>1</v>
      </c>
      <c r="U14">
        <v>4</v>
      </c>
      <c r="V14" s="25">
        <v>0</v>
      </c>
      <c r="W14" s="32">
        <v>5</v>
      </c>
    </row>
    <row r="15" spans="1:23" ht="15" x14ac:dyDescent="0.2">
      <c r="A15" s="46">
        <v>2</v>
      </c>
      <c r="B15" s="46">
        <v>0</v>
      </c>
      <c r="C15" s="46">
        <v>0</v>
      </c>
      <c r="D15" s="47">
        <v>825220060</v>
      </c>
      <c r="E15" s="47" t="s">
        <v>142</v>
      </c>
      <c r="F15" s="45" t="s">
        <v>153</v>
      </c>
      <c r="G15" s="59">
        <v>2</v>
      </c>
      <c r="H15" s="24">
        <v>0</v>
      </c>
      <c r="I15" s="24">
        <v>0</v>
      </c>
      <c r="J15" s="24" t="s">
        <v>920</v>
      </c>
      <c r="K15" s="24" t="s">
        <v>209</v>
      </c>
      <c r="L15" s="24" t="s">
        <v>142</v>
      </c>
      <c r="M15" s="24" t="s">
        <v>153</v>
      </c>
      <c r="N15" s="48">
        <v>1</v>
      </c>
      <c r="S15">
        <v>0</v>
      </c>
      <c r="T15">
        <v>1</v>
      </c>
      <c r="U15">
        <v>5</v>
      </c>
      <c r="V15" s="25">
        <v>0</v>
      </c>
      <c r="W15" s="32">
        <v>5</v>
      </c>
    </row>
    <row r="16" spans="1:23" ht="15" x14ac:dyDescent="0.2">
      <c r="A16" s="46">
        <v>2</v>
      </c>
      <c r="B16" s="46">
        <v>0</v>
      </c>
      <c r="C16" s="46">
        <v>0</v>
      </c>
      <c r="D16" s="47">
        <v>825220061</v>
      </c>
      <c r="E16" s="47" t="s">
        <v>142</v>
      </c>
      <c r="F16" s="45" t="s">
        <v>153</v>
      </c>
      <c r="G16" s="59">
        <v>2</v>
      </c>
      <c r="H16" s="24">
        <v>0</v>
      </c>
      <c r="I16" s="24">
        <v>0</v>
      </c>
      <c r="J16" s="24" t="s">
        <v>921</v>
      </c>
      <c r="K16" s="24" t="s">
        <v>210</v>
      </c>
      <c r="L16" s="24" t="s">
        <v>142</v>
      </c>
      <c r="M16" s="24" t="s">
        <v>153</v>
      </c>
      <c r="N16" s="48">
        <v>1</v>
      </c>
      <c r="S16">
        <v>0</v>
      </c>
      <c r="T16">
        <v>1</v>
      </c>
      <c r="U16">
        <v>6</v>
      </c>
      <c r="V16" s="25">
        <v>0</v>
      </c>
      <c r="W16" s="32">
        <v>5</v>
      </c>
    </row>
    <row r="17" spans="1:23" ht="15" x14ac:dyDescent="0.2">
      <c r="A17" s="46">
        <v>2</v>
      </c>
      <c r="B17" s="46">
        <v>0</v>
      </c>
      <c r="C17" s="46">
        <v>0</v>
      </c>
      <c r="D17" s="47">
        <v>825220064</v>
      </c>
      <c r="E17" s="47" t="s">
        <v>142</v>
      </c>
      <c r="F17" s="45" t="s">
        <v>153</v>
      </c>
      <c r="G17" s="59">
        <v>2</v>
      </c>
      <c r="H17" s="24">
        <v>0</v>
      </c>
      <c r="I17" s="24">
        <v>0</v>
      </c>
      <c r="J17" s="24" t="s">
        <v>922</v>
      </c>
      <c r="K17" s="24" t="s">
        <v>211</v>
      </c>
      <c r="L17" s="24" t="s">
        <v>142</v>
      </c>
      <c r="M17" s="24" t="s">
        <v>153</v>
      </c>
      <c r="N17" s="48">
        <v>1</v>
      </c>
      <c r="S17">
        <v>0</v>
      </c>
      <c r="T17">
        <v>2</v>
      </c>
      <c r="U17">
        <v>0</v>
      </c>
      <c r="V17" s="25">
        <v>0</v>
      </c>
      <c r="W17" s="32">
        <v>5</v>
      </c>
    </row>
    <row r="18" spans="1:23" ht="15" x14ac:dyDescent="0.2">
      <c r="A18" s="46">
        <v>3</v>
      </c>
      <c r="B18" s="46">
        <v>0</v>
      </c>
      <c r="C18" s="46">
        <v>0</v>
      </c>
      <c r="D18" s="47">
        <v>825220012</v>
      </c>
      <c r="E18" s="47" t="s">
        <v>142</v>
      </c>
      <c r="F18" s="45" t="s">
        <v>155</v>
      </c>
      <c r="G18" s="59">
        <v>3</v>
      </c>
      <c r="H18" s="24">
        <v>0</v>
      </c>
      <c r="I18" s="24">
        <v>0</v>
      </c>
      <c r="J18" s="24" t="s">
        <v>933</v>
      </c>
      <c r="K18" s="24" t="s">
        <v>222</v>
      </c>
      <c r="L18" s="24" t="s">
        <v>142</v>
      </c>
      <c r="M18" s="24" t="s">
        <v>153</v>
      </c>
      <c r="N18" s="48">
        <v>0</v>
      </c>
      <c r="S18">
        <v>0</v>
      </c>
      <c r="T18">
        <v>2</v>
      </c>
      <c r="U18">
        <v>1</v>
      </c>
      <c r="V18" s="25">
        <v>0</v>
      </c>
      <c r="W18" s="32">
        <v>5</v>
      </c>
    </row>
    <row r="19" spans="1:23" ht="15" x14ac:dyDescent="0.2">
      <c r="A19" s="46">
        <v>3</v>
      </c>
      <c r="B19" s="46">
        <v>0</v>
      </c>
      <c r="C19" s="46">
        <v>0</v>
      </c>
      <c r="D19" s="47">
        <v>825220016</v>
      </c>
      <c r="E19" s="47" t="s">
        <v>142</v>
      </c>
      <c r="F19" s="45" t="s">
        <v>155</v>
      </c>
      <c r="G19" s="59">
        <v>3</v>
      </c>
      <c r="H19" s="24">
        <v>0</v>
      </c>
      <c r="I19" s="24">
        <v>0</v>
      </c>
      <c r="J19" s="24" t="s">
        <v>934</v>
      </c>
      <c r="K19" s="24" t="s">
        <v>223</v>
      </c>
      <c r="L19" s="24" t="s">
        <v>142</v>
      </c>
      <c r="M19" s="24" t="s">
        <v>156</v>
      </c>
      <c r="N19" s="48">
        <v>0</v>
      </c>
      <c r="S19">
        <v>0</v>
      </c>
      <c r="T19">
        <v>2</v>
      </c>
      <c r="U19">
        <v>2</v>
      </c>
      <c r="V19" s="25">
        <v>0</v>
      </c>
      <c r="W19" s="32">
        <v>5</v>
      </c>
    </row>
    <row r="20" spans="1:23" ht="15" x14ac:dyDescent="0.2">
      <c r="A20" s="46">
        <v>3</v>
      </c>
      <c r="B20" s="46">
        <v>0</v>
      </c>
      <c r="C20" s="46">
        <v>0</v>
      </c>
      <c r="D20" s="47">
        <v>825220020</v>
      </c>
      <c r="E20" s="47" t="s">
        <v>142</v>
      </c>
      <c r="F20" s="45" t="s">
        <v>155</v>
      </c>
      <c r="G20" s="59">
        <v>3</v>
      </c>
      <c r="H20" s="24">
        <v>0</v>
      </c>
      <c r="I20" s="24">
        <v>0</v>
      </c>
      <c r="J20" s="24" t="s">
        <v>935</v>
      </c>
      <c r="K20" s="24" t="s">
        <v>224</v>
      </c>
      <c r="L20" s="24" t="s">
        <v>142</v>
      </c>
      <c r="M20" s="24" t="s">
        <v>156</v>
      </c>
      <c r="N20" s="48">
        <v>0</v>
      </c>
      <c r="S20">
        <v>0</v>
      </c>
      <c r="T20">
        <v>2</v>
      </c>
      <c r="U20">
        <v>3</v>
      </c>
      <c r="V20" s="25">
        <v>0</v>
      </c>
      <c r="W20" s="32">
        <v>5</v>
      </c>
    </row>
    <row r="21" spans="1:23" ht="15" x14ac:dyDescent="0.2">
      <c r="A21" s="46">
        <v>3</v>
      </c>
      <c r="B21" s="46">
        <v>0</v>
      </c>
      <c r="C21" s="46">
        <v>0</v>
      </c>
      <c r="D21" s="47">
        <v>825220023</v>
      </c>
      <c r="E21" s="47" t="s">
        <v>142</v>
      </c>
      <c r="F21" s="45" t="s">
        <v>155</v>
      </c>
      <c r="G21" s="59">
        <v>3</v>
      </c>
      <c r="H21" s="24">
        <v>0</v>
      </c>
      <c r="I21" s="24">
        <v>0</v>
      </c>
      <c r="J21" s="24" t="s">
        <v>936</v>
      </c>
      <c r="K21" s="24" t="s">
        <v>225</v>
      </c>
      <c r="L21" s="24" t="s">
        <v>142</v>
      </c>
      <c r="M21" s="24" t="s">
        <v>156</v>
      </c>
      <c r="N21" s="48">
        <v>0</v>
      </c>
      <c r="S21">
        <v>0</v>
      </c>
      <c r="T21">
        <v>2</v>
      </c>
      <c r="U21">
        <v>4</v>
      </c>
      <c r="V21" s="25">
        <v>0</v>
      </c>
      <c r="W21" s="32">
        <v>5</v>
      </c>
    </row>
    <row r="22" spans="1:23" ht="15" x14ac:dyDescent="0.2">
      <c r="A22" s="46">
        <v>3</v>
      </c>
      <c r="B22" s="46">
        <v>0</v>
      </c>
      <c r="C22" s="46">
        <v>0</v>
      </c>
      <c r="D22" s="47">
        <v>825220028</v>
      </c>
      <c r="E22" s="47" t="s">
        <v>142</v>
      </c>
      <c r="F22" s="45" t="s">
        <v>155</v>
      </c>
      <c r="G22" s="59">
        <v>3</v>
      </c>
      <c r="H22" s="24">
        <v>0</v>
      </c>
      <c r="I22" s="24">
        <v>0</v>
      </c>
      <c r="J22" s="24" t="s">
        <v>937</v>
      </c>
      <c r="K22" s="24" t="s">
        <v>226</v>
      </c>
      <c r="L22" s="24" t="s">
        <v>142</v>
      </c>
      <c r="M22" s="24" t="s">
        <v>156</v>
      </c>
      <c r="N22" s="48">
        <v>0</v>
      </c>
      <c r="S22">
        <v>0</v>
      </c>
      <c r="T22">
        <v>2</v>
      </c>
      <c r="U22">
        <v>5</v>
      </c>
      <c r="V22" s="25">
        <v>0</v>
      </c>
      <c r="W22" s="32">
        <v>5</v>
      </c>
    </row>
    <row r="23" spans="1:23" ht="15" x14ac:dyDescent="0.2">
      <c r="A23" s="46">
        <v>4</v>
      </c>
      <c r="B23" s="46">
        <v>0</v>
      </c>
      <c r="C23" s="46">
        <v>0</v>
      </c>
      <c r="D23" s="47">
        <v>825220167</v>
      </c>
      <c r="E23" s="47" t="s">
        <v>143</v>
      </c>
      <c r="F23" s="45" t="s">
        <v>168</v>
      </c>
      <c r="G23" s="59">
        <v>4</v>
      </c>
      <c r="H23" s="24">
        <v>0</v>
      </c>
      <c r="I23" s="24">
        <v>0</v>
      </c>
      <c r="J23" s="24" t="s">
        <v>948</v>
      </c>
      <c r="K23" s="24" t="s">
        <v>237</v>
      </c>
      <c r="L23" s="24" t="s">
        <v>143</v>
      </c>
      <c r="M23" s="24" t="s">
        <v>159</v>
      </c>
      <c r="N23" s="48">
        <v>0</v>
      </c>
      <c r="S23">
        <v>0</v>
      </c>
      <c r="T23">
        <v>2</v>
      </c>
      <c r="U23">
        <v>6</v>
      </c>
      <c r="V23" s="25">
        <v>0</v>
      </c>
      <c r="W23" s="32">
        <v>5</v>
      </c>
    </row>
    <row r="24" spans="1:23" ht="15" x14ac:dyDescent="0.2">
      <c r="A24" s="46">
        <v>4</v>
      </c>
      <c r="B24" s="46">
        <v>0</v>
      </c>
      <c r="C24" s="46">
        <v>0</v>
      </c>
      <c r="D24" s="47">
        <v>535220097</v>
      </c>
      <c r="E24" s="47" t="s">
        <v>143</v>
      </c>
      <c r="F24" s="45" t="s">
        <v>165</v>
      </c>
      <c r="G24" s="59">
        <v>4</v>
      </c>
      <c r="H24" s="24">
        <v>0</v>
      </c>
      <c r="I24" s="24">
        <v>0</v>
      </c>
      <c r="J24" s="24" t="s">
        <v>949</v>
      </c>
      <c r="K24" s="24" t="s">
        <v>238</v>
      </c>
      <c r="L24" s="24" t="s">
        <v>143</v>
      </c>
      <c r="M24" s="24" t="s">
        <v>159</v>
      </c>
      <c r="N24" s="48">
        <v>0</v>
      </c>
      <c r="V24" s="24"/>
      <c r="W24" s="31"/>
    </row>
    <row r="25" spans="1:23" ht="15" x14ac:dyDescent="0.2">
      <c r="A25" s="46">
        <v>4</v>
      </c>
      <c r="B25" s="46">
        <v>0</v>
      </c>
      <c r="C25" s="46">
        <v>0</v>
      </c>
      <c r="D25" s="47">
        <v>535220105</v>
      </c>
      <c r="E25" s="47" t="s">
        <v>143</v>
      </c>
      <c r="F25" s="45" t="s">
        <v>165</v>
      </c>
      <c r="G25" s="59">
        <v>4</v>
      </c>
      <c r="H25" s="24">
        <v>0</v>
      </c>
      <c r="I25" s="24">
        <v>0</v>
      </c>
      <c r="J25" s="24" t="s">
        <v>950</v>
      </c>
      <c r="K25" s="24" t="s">
        <v>239</v>
      </c>
      <c r="L25" s="24" t="s">
        <v>143</v>
      </c>
      <c r="M25" s="24" t="s">
        <v>159</v>
      </c>
      <c r="N25" s="48">
        <v>0</v>
      </c>
      <c r="S25">
        <v>1</v>
      </c>
      <c r="T25">
        <v>0</v>
      </c>
      <c r="U25">
        <v>0</v>
      </c>
      <c r="V25" s="25">
        <v>5</v>
      </c>
      <c r="W25" s="32">
        <v>5</v>
      </c>
    </row>
    <row r="26" spans="1:23" ht="15" x14ac:dyDescent="0.2">
      <c r="A26" s="46">
        <v>4</v>
      </c>
      <c r="B26" s="46">
        <v>0</v>
      </c>
      <c r="C26" s="46">
        <v>0</v>
      </c>
      <c r="D26" s="47">
        <v>535220127</v>
      </c>
      <c r="E26" s="47" t="s">
        <v>143</v>
      </c>
      <c r="F26" s="45" t="s">
        <v>165</v>
      </c>
      <c r="G26" s="59">
        <v>4</v>
      </c>
      <c r="H26" s="24">
        <v>0</v>
      </c>
      <c r="I26" s="24">
        <v>0</v>
      </c>
      <c r="J26" s="24" t="s">
        <v>951</v>
      </c>
      <c r="K26" s="24" t="s">
        <v>240</v>
      </c>
      <c r="L26" s="24" t="s">
        <v>143</v>
      </c>
      <c r="M26" s="24" t="s">
        <v>159</v>
      </c>
      <c r="N26" s="48">
        <v>0</v>
      </c>
      <c r="S26">
        <v>1</v>
      </c>
      <c r="T26">
        <v>0</v>
      </c>
      <c r="U26">
        <v>1</v>
      </c>
      <c r="V26" s="25">
        <v>5</v>
      </c>
      <c r="W26" s="32">
        <v>5</v>
      </c>
    </row>
    <row r="27" spans="1:23" ht="15" x14ac:dyDescent="0.2">
      <c r="A27" s="46">
        <v>4</v>
      </c>
      <c r="B27" s="46">
        <v>0</v>
      </c>
      <c r="C27" s="46">
        <v>0</v>
      </c>
      <c r="D27" s="47">
        <v>535220130</v>
      </c>
      <c r="E27" s="47" t="s">
        <v>143</v>
      </c>
      <c r="F27" s="45" t="s">
        <v>165</v>
      </c>
      <c r="G27" s="59">
        <v>4</v>
      </c>
      <c r="H27" s="24">
        <v>0</v>
      </c>
      <c r="I27" s="24">
        <v>0</v>
      </c>
      <c r="J27" s="24" t="s">
        <v>952</v>
      </c>
      <c r="K27" s="24" t="s">
        <v>241</v>
      </c>
      <c r="L27" s="24" t="s">
        <v>143</v>
      </c>
      <c r="M27" s="24" t="s">
        <v>159</v>
      </c>
      <c r="N27" s="48">
        <v>0</v>
      </c>
      <c r="S27">
        <v>1</v>
      </c>
      <c r="T27">
        <v>0</v>
      </c>
      <c r="U27">
        <v>2</v>
      </c>
      <c r="V27" s="25">
        <v>5</v>
      </c>
      <c r="W27" s="32">
        <v>5</v>
      </c>
    </row>
    <row r="28" spans="1:23" ht="15" x14ac:dyDescent="0.2">
      <c r="A28" s="46">
        <v>5</v>
      </c>
      <c r="B28" s="46">
        <v>0</v>
      </c>
      <c r="C28" s="46">
        <v>0</v>
      </c>
      <c r="D28" s="47">
        <v>535220009</v>
      </c>
      <c r="E28" s="47" t="s">
        <v>143</v>
      </c>
      <c r="F28" s="45" t="s">
        <v>159</v>
      </c>
      <c r="G28" s="59">
        <v>5</v>
      </c>
      <c r="H28" s="24">
        <v>0</v>
      </c>
      <c r="I28" s="24">
        <v>0</v>
      </c>
      <c r="J28" s="24" t="s">
        <v>963</v>
      </c>
      <c r="K28" s="24" t="s">
        <v>252</v>
      </c>
      <c r="L28" s="24" t="s">
        <v>143</v>
      </c>
      <c r="M28" s="24" t="s">
        <v>159</v>
      </c>
      <c r="N28" s="48">
        <v>1</v>
      </c>
      <c r="S28">
        <v>1</v>
      </c>
      <c r="T28">
        <v>0</v>
      </c>
      <c r="U28">
        <v>3</v>
      </c>
      <c r="V28" s="25">
        <v>5</v>
      </c>
      <c r="W28" s="32">
        <v>5</v>
      </c>
    </row>
    <row r="29" spans="1:23" ht="15" x14ac:dyDescent="0.2">
      <c r="A29" s="46">
        <v>5</v>
      </c>
      <c r="B29" s="46">
        <v>0</v>
      </c>
      <c r="C29" s="46">
        <v>0</v>
      </c>
      <c r="D29" s="47">
        <v>535220011</v>
      </c>
      <c r="E29" s="47" t="s">
        <v>143</v>
      </c>
      <c r="F29" s="45" t="s">
        <v>159</v>
      </c>
      <c r="G29" s="59">
        <v>5</v>
      </c>
      <c r="H29" s="24">
        <v>0</v>
      </c>
      <c r="I29" s="24">
        <v>0</v>
      </c>
      <c r="J29" s="24" t="s">
        <v>964</v>
      </c>
      <c r="K29" s="24" t="s">
        <v>253</v>
      </c>
      <c r="L29" s="24" t="s">
        <v>143</v>
      </c>
      <c r="M29" s="24" t="s">
        <v>159</v>
      </c>
      <c r="N29" s="48">
        <v>1</v>
      </c>
      <c r="S29">
        <v>1</v>
      </c>
      <c r="T29">
        <v>0</v>
      </c>
      <c r="U29">
        <v>4</v>
      </c>
      <c r="V29" s="25">
        <v>5</v>
      </c>
      <c r="W29" s="32">
        <v>5</v>
      </c>
    </row>
    <row r="30" spans="1:23" ht="15" x14ac:dyDescent="0.2">
      <c r="A30" s="46">
        <v>5</v>
      </c>
      <c r="B30" s="46">
        <v>0</v>
      </c>
      <c r="C30" s="46">
        <v>0</v>
      </c>
      <c r="D30" s="49">
        <v>535220026</v>
      </c>
      <c r="E30" s="47" t="s">
        <v>143</v>
      </c>
      <c r="F30" s="45" t="s">
        <v>159</v>
      </c>
      <c r="G30" s="59">
        <v>5</v>
      </c>
      <c r="H30" s="24">
        <v>0</v>
      </c>
      <c r="I30" s="24">
        <v>0</v>
      </c>
      <c r="J30" s="24" t="s">
        <v>965</v>
      </c>
      <c r="K30" s="24" t="s">
        <v>254</v>
      </c>
      <c r="L30" s="24" t="s">
        <v>143</v>
      </c>
      <c r="M30" s="24" t="s">
        <v>159</v>
      </c>
      <c r="N30" s="48">
        <v>1</v>
      </c>
      <c r="S30">
        <v>1</v>
      </c>
      <c r="T30">
        <v>0</v>
      </c>
      <c r="U30">
        <v>5</v>
      </c>
      <c r="V30" s="25">
        <v>5</v>
      </c>
      <c r="W30" s="32">
        <v>5</v>
      </c>
    </row>
    <row r="31" spans="1:23" ht="15" x14ac:dyDescent="0.2">
      <c r="A31" s="46">
        <v>5</v>
      </c>
      <c r="B31" s="46">
        <v>0</v>
      </c>
      <c r="C31" s="46">
        <v>0</v>
      </c>
      <c r="D31" s="47">
        <v>535220072</v>
      </c>
      <c r="E31" s="47" t="s">
        <v>143</v>
      </c>
      <c r="F31" s="45" t="s">
        <v>159</v>
      </c>
      <c r="G31" s="59">
        <v>5</v>
      </c>
      <c r="H31" s="24">
        <v>0</v>
      </c>
      <c r="I31" s="24">
        <v>0</v>
      </c>
      <c r="J31" s="24" t="s">
        <v>966</v>
      </c>
      <c r="K31" s="24" t="s">
        <v>255</v>
      </c>
      <c r="L31" s="24" t="s">
        <v>143</v>
      </c>
      <c r="M31" s="24" t="s">
        <v>159</v>
      </c>
      <c r="N31" s="48">
        <v>1</v>
      </c>
      <c r="S31">
        <v>1</v>
      </c>
      <c r="T31">
        <v>0</v>
      </c>
      <c r="U31">
        <v>6</v>
      </c>
      <c r="V31" s="25">
        <v>5</v>
      </c>
      <c r="W31" s="32">
        <v>5</v>
      </c>
    </row>
    <row r="32" spans="1:23" ht="15" x14ac:dyDescent="0.2">
      <c r="A32" s="46">
        <v>5</v>
      </c>
      <c r="B32" s="46">
        <v>0</v>
      </c>
      <c r="C32" s="46">
        <v>0</v>
      </c>
      <c r="D32" s="47">
        <v>535220083</v>
      </c>
      <c r="E32" s="47" t="s">
        <v>143</v>
      </c>
      <c r="F32" s="45" t="s">
        <v>159</v>
      </c>
      <c r="G32" s="59">
        <v>5</v>
      </c>
      <c r="H32" s="24">
        <v>0</v>
      </c>
      <c r="I32" s="24">
        <v>0</v>
      </c>
      <c r="J32" s="24" t="s">
        <v>967</v>
      </c>
      <c r="K32" s="24" t="s">
        <v>256</v>
      </c>
      <c r="L32" s="24" t="s">
        <v>143</v>
      </c>
      <c r="M32" s="24" t="s">
        <v>159</v>
      </c>
      <c r="N32" s="48">
        <v>1</v>
      </c>
      <c r="S32">
        <v>1</v>
      </c>
      <c r="T32">
        <v>1</v>
      </c>
      <c r="U32">
        <v>0</v>
      </c>
      <c r="V32" s="25">
        <v>5</v>
      </c>
      <c r="W32" s="32">
        <v>5</v>
      </c>
    </row>
    <row r="33" spans="1:23" ht="15" x14ac:dyDescent="0.2">
      <c r="A33" s="46">
        <v>6</v>
      </c>
      <c r="B33" s="46">
        <v>0</v>
      </c>
      <c r="C33" s="46">
        <v>0</v>
      </c>
      <c r="D33" s="47">
        <v>535220086</v>
      </c>
      <c r="E33" s="47" t="s">
        <v>143</v>
      </c>
      <c r="F33" s="45" t="s">
        <v>159</v>
      </c>
      <c r="G33" s="59">
        <v>6</v>
      </c>
      <c r="H33" s="24">
        <v>0</v>
      </c>
      <c r="I33" s="24">
        <v>0</v>
      </c>
      <c r="J33" s="24" t="s">
        <v>978</v>
      </c>
      <c r="K33" s="24" t="s">
        <v>267</v>
      </c>
      <c r="L33" s="24" t="s">
        <v>143</v>
      </c>
      <c r="M33" s="24" t="s">
        <v>159</v>
      </c>
      <c r="N33" s="48">
        <v>1</v>
      </c>
      <c r="S33">
        <v>1</v>
      </c>
      <c r="T33">
        <v>1</v>
      </c>
      <c r="U33">
        <v>1</v>
      </c>
      <c r="V33" s="25">
        <v>5</v>
      </c>
      <c r="W33" s="32">
        <v>5</v>
      </c>
    </row>
    <row r="34" spans="1:23" ht="15" x14ac:dyDescent="0.2">
      <c r="A34" s="46">
        <v>6</v>
      </c>
      <c r="B34" s="46">
        <v>0</v>
      </c>
      <c r="C34" s="46">
        <v>0</v>
      </c>
      <c r="D34" s="47">
        <v>535220088</v>
      </c>
      <c r="E34" s="47" t="s">
        <v>143</v>
      </c>
      <c r="F34" s="45" t="s">
        <v>159</v>
      </c>
      <c r="G34" s="59">
        <v>6</v>
      </c>
      <c r="H34" s="24">
        <v>0</v>
      </c>
      <c r="I34" s="24">
        <v>0</v>
      </c>
      <c r="J34" s="24" t="s">
        <v>979</v>
      </c>
      <c r="K34" s="24" t="s">
        <v>268</v>
      </c>
      <c r="L34" s="24" t="s">
        <v>143</v>
      </c>
      <c r="M34" s="24" t="s">
        <v>159</v>
      </c>
      <c r="N34" s="48">
        <v>1</v>
      </c>
      <c r="S34">
        <v>1</v>
      </c>
      <c r="T34">
        <v>1</v>
      </c>
      <c r="U34">
        <v>2</v>
      </c>
      <c r="V34" s="25">
        <v>5</v>
      </c>
      <c r="W34" s="32">
        <v>5</v>
      </c>
    </row>
    <row r="35" spans="1:23" ht="15" x14ac:dyDescent="0.2">
      <c r="A35" s="46">
        <v>6</v>
      </c>
      <c r="B35" s="46">
        <v>0</v>
      </c>
      <c r="C35" s="46">
        <v>0</v>
      </c>
      <c r="D35" s="47">
        <v>535220107</v>
      </c>
      <c r="E35" s="47" t="s">
        <v>143</v>
      </c>
      <c r="F35" s="45" t="s">
        <v>159</v>
      </c>
      <c r="G35" s="59">
        <v>6</v>
      </c>
      <c r="H35" s="24">
        <v>0</v>
      </c>
      <c r="I35" s="24">
        <v>0</v>
      </c>
      <c r="J35" s="24" t="s">
        <v>980</v>
      </c>
      <c r="K35" s="24" t="s">
        <v>269</v>
      </c>
      <c r="L35" s="24" t="s">
        <v>143</v>
      </c>
      <c r="M35" s="24" t="s">
        <v>159</v>
      </c>
      <c r="N35" s="48">
        <v>1</v>
      </c>
      <c r="S35">
        <v>1</v>
      </c>
      <c r="T35">
        <v>1</v>
      </c>
      <c r="U35">
        <v>3</v>
      </c>
      <c r="V35" s="25">
        <v>5</v>
      </c>
      <c r="W35" s="32">
        <v>5</v>
      </c>
    </row>
    <row r="36" spans="1:23" ht="15" x14ac:dyDescent="0.2">
      <c r="A36" s="46">
        <v>6</v>
      </c>
      <c r="B36" s="46">
        <v>0</v>
      </c>
      <c r="C36" s="46">
        <v>0</v>
      </c>
      <c r="D36" s="47">
        <v>535220113</v>
      </c>
      <c r="E36" s="47" t="s">
        <v>143</v>
      </c>
      <c r="F36" s="45" t="s">
        <v>159</v>
      </c>
      <c r="G36" s="59">
        <v>6</v>
      </c>
      <c r="H36" s="24">
        <v>0</v>
      </c>
      <c r="I36" s="24">
        <v>0</v>
      </c>
      <c r="J36" s="24" t="s">
        <v>981</v>
      </c>
      <c r="K36" s="24" t="s">
        <v>270</v>
      </c>
      <c r="L36" s="24" t="s">
        <v>143</v>
      </c>
      <c r="M36" s="24" t="s">
        <v>159</v>
      </c>
      <c r="N36" s="48">
        <v>1</v>
      </c>
      <c r="S36">
        <v>1</v>
      </c>
      <c r="T36">
        <v>1</v>
      </c>
      <c r="U36">
        <v>4</v>
      </c>
      <c r="V36" s="25">
        <v>5</v>
      </c>
      <c r="W36" s="32">
        <v>5</v>
      </c>
    </row>
    <row r="37" spans="1:23" ht="15" x14ac:dyDescent="0.2">
      <c r="A37" s="46">
        <v>6</v>
      </c>
      <c r="B37" s="46">
        <v>0</v>
      </c>
      <c r="C37" s="46">
        <v>0</v>
      </c>
      <c r="D37" s="47">
        <v>535220114</v>
      </c>
      <c r="E37" s="47" t="s">
        <v>143</v>
      </c>
      <c r="F37" s="45" t="s">
        <v>159</v>
      </c>
      <c r="G37" s="59">
        <v>6</v>
      </c>
      <c r="H37" s="24">
        <v>0</v>
      </c>
      <c r="I37" s="24">
        <v>0</v>
      </c>
      <c r="J37" s="24" t="s">
        <v>982</v>
      </c>
      <c r="K37" s="24" t="s">
        <v>271</v>
      </c>
      <c r="L37" s="24" t="s">
        <v>143</v>
      </c>
      <c r="M37" s="24" t="s">
        <v>159</v>
      </c>
      <c r="N37" s="48">
        <v>1</v>
      </c>
      <c r="S37">
        <v>1</v>
      </c>
      <c r="T37">
        <v>1</v>
      </c>
      <c r="U37">
        <v>5</v>
      </c>
      <c r="V37" s="25">
        <v>5</v>
      </c>
      <c r="W37" s="32">
        <v>5</v>
      </c>
    </row>
    <row r="38" spans="1:23" ht="15" x14ac:dyDescent="0.2">
      <c r="A38" s="46">
        <v>0</v>
      </c>
      <c r="B38" s="46">
        <v>1</v>
      </c>
      <c r="C38" s="46">
        <v>0</v>
      </c>
      <c r="D38" s="47">
        <v>535220062</v>
      </c>
      <c r="E38" s="47" t="s">
        <v>142</v>
      </c>
      <c r="F38" s="45" t="s">
        <v>154</v>
      </c>
      <c r="G38" s="59">
        <v>0</v>
      </c>
      <c r="H38" s="24">
        <v>0</v>
      </c>
      <c r="I38" s="24">
        <v>1</v>
      </c>
      <c r="J38" s="24" t="s">
        <v>893</v>
      </c>
      <c r="K38" s="24" t="s">
        <v>182</v>
      </c>
      <c r="L38" s="24" t="s">
        <v>142</v>
      </c>
      <c r="M38" s="24" t="s">
        <v>154</v>
      </c>
      <c r="N38" s="48">
        <v>0</v>
      </c>
      <c r="S38">
        <v>1</v>
      </c>
      <c r="T38">
        <v>1</v>
      </c>
      <c r="U38">
        <v>6</v>
      </c>
      <c r="V38" s="25">
        <v>0</v>
      </c>
      <c r="W38" s="32">
        <v>5</v>
      </c>
    </row>
    <row r="39" spans="1:23" ht="15" x14ac:dyDescent="0.2">
      <c r="A39" s="46">
        <v>0</v>
      </c>
      <c r="B39" s="46">
        <v>1</v>
      </c>
      <c r="C39" s="46">
        <v>0</v>
      </c>
      <c r="D39" s="47">
        <v>535220063</v>
      </c>
      <c r="E39" s="47" t="s">
        <v>142</v>
      </c>
      <c r="F39" s="45" t="s">
        <v>154</v>
      </c>
      <c r="G39" s="59">
        <v>0</v>
      </c>
      <c r="H39" s="24">
        <v>0</v>
      </c>
      <c r="I39" s="24">
        <v>1</v>
      </c>
      <c r="J39" s="24" t="s">
        <v>894</v>
      </c>
      <c r="K39" s="24" t="s">
        <v>183</v>
      </c>
      <c r="L39" s="24" t="s">
        <v>142</v>
      </c>
      <c r="M39" s="24" t="s">
        <v>154</v>
      </c>
      <c r="N39" s="48">
        <v>0</v>
      </c>
      <c r="S39">
        <v>1</v>
      </c>
      <c r="T39">
        <v>2</v>
      </c>
      <c r="U39">
        <v>0</v>
      </c>
      <c r="V39" s="25">
        <v>0</v>
      </c>
      <c r="W39" s="32">
        <v>5</v>
      </c>
    </row>
    <row r="40" spans="1:23" ht="15" x14ac:dyDescent="0.2">
      <c r="A40" s="46">
        <v>0</v>
      </c>
      <c r="B40" s="46">
        <v>1</v>
      </c>
      <c r="C40" s="46">
        <v>0</v>
      </c>
      <c r="D40" s="47">
        <v>535220071</v>
      </c>
      <c r="E40" s="47" t="s">
        <v>142</v>
      </c>
      <c r="F40" s="45" t="s">
        <v>154</v>
      </c>
      <c r="G40" s="59">
        <v>0</v>
      </c>
      <c r="H40" s="24">
        <v>0</v>
      </c>
      <c r="I40" s="24">
        <v>1</v>
      </c>
      <c r="J40" s="24" t="s">
        <v>895</v>
      </c>
      <c r="K40" s="24" t="s">
        <v>184</v>
      </c>
      <c r="L40" s="24" t="s">
        <v>142</v>
      </c>
      <c r="M40" s="24" t="s">
        <v>154</v>
      </c>
      <c r="N40" s="48">
        <v>0</v>
      </c>
      <c r="S40">
        <v>1</v>
      </c>
      <c r="T40">
        <v>2</v>
      </c>
      <c r="U40">
        <v>1</v>
      </c>
      <c r="V40" s="25">
        <v>0</v>
      </c>
      <c r="W40" s="32">
        <v>5</v>
      </c>
    </row>
    <row r="41" spans="1:23" ht="15" x14ac:dyDescent="0.2">
      <c r="A41" s="46">
        <v>0</v>
      </c>
      <c r="B41" s="46">
        <v>1</v>
      </c>
      <c r="C41" s="46">
        <v>0</v>
      </c>
      <c r="D41" s="47">
        <v>535220123</v>
      </c>
      <c r="E41" s="47" t="s">
        <v>142</v>
      </c>
      <c r="F41" s="45" t="s">
        <v>154</v>
      </c>
      <c r="G41" s="59">
        <v>0</v>
      </c>
      <c r="H41" s="24">
        <v>0</v>
      </c>
      <c r="I41" s="24">
        <v>1</v>
      </c>
      <c r="J41" s="24" t="s">
        <v>896</v>
      </c>
      <c r="K41" s="24" t="s">
        <v>185</v>
      </c>
      <c r="L41" s="24" t="s">
        <v>142</v>
      </c>
      <c r="M41" s="24" t="s">
        <v>154</v>
      </c>
      <c r="N41" s="48">
        <v>0</v>
      </c>
      <c r="S41">
        <v>1</v>
      </c>
      <c r="T41">
        <v>2</v>
      </c>
      <c r="U41">
        <v>2</v>
      </c>
      <c r="V41" s="25">
        <v>0</v>
      </c>
      <c r="W41" s="32">
        <v>5</v>
      </c>
    </row>
    <row r="42" spans="1:23" ht="15" x14ac:dyDescent="0.2">
      <c r="A42" s="46">
        <v>0</v>
      </c>
      <c r="B42" s="46">
        <v>1</v>
      </c>
      <c r="C42" s="46">
        <v>0</v>
      </c>
      <c r="D42" s="47">
        <v>535220126</v>
      </c>
      <c r="E42" s="47" t="s">
        <v>142</v>
      </c>
      <c r="F42" s="45" t="s">
        <v>154</v>
      </c>
      <c r="G42" s="59">
        <v>0</v>
      </c>
      <c r="H42" s="24">
        <v>0</v>
      </c>
      <c r="I42" s="24">
        <v>1</v>
      </c>
      <c r="J42" s="24" t="s">
        <v>897</v>
      </c>
      <c r="K42" s="24" t="s">
        <v>186</v>
      </c>
      <c r="L42" s="24" t="s">
        <v>142</v>
      </c>
      <c r="M42" s="24" t="s">
        <v>154</v>
      </c>
      <c r="N42" s="48">
        <v>0</v>
      </c>
      <c r="S42">
        <v>1</v>
      </c>
      <c r="T42">
        <v>2</v>
      </c>
      <c r="U42">
        <v>3</v>
      </c>
      <c r="V42" s="25">
        <v>0</v>
      </c>
      <c r="W42" s="32">
        <v>5</v>
      </c>
    </row>
    <row r="43" spans="1:23" ht="15" x14ac:dyDescent="0.2">
      <c r="A43" s="46">
        <v>1</v>
      </c>
      <c r="B43" s="46">
        <v>1</v>
      </c>
      <c r="C43" s="46">
        <v>0</v>
      </c>
      <c r="D43" s="47">
        <v>535220129</v>
      </c>
      <c r="E43" s="47" t="s">
        <v>142</v>
      </c>
      <c r="F43" s="45" t="s">
        <v>154</v>
      </c>
      <c r="G43" s="59">
        <v>1</v>
      </c>
      <c r="H43" s="24">
        <v>0</v>
      </c>
      <c r="I43" s="24">
        <v>1</v>
      </c>
      <c r="J43" s="24" t="s">
        <v>908</v>
      </c>
      <c r="K43" s="24" t="s">
        <v>197</v>
      </c>
      <c r="L43" s="24" t="s">
        <v>142</v>
      </c>
      <c r="M43" s="24" t="s">
        <v>154</v>
      </c>
      <c r="N43" s="48">
        <v>0</v>
      </c>
      <c r="S43">
        <v>1</v>
      </c>
      <c r="T43">
        <v>2</v>
      </c>
      <c r="U43">
        <v>4</v>
      </c>
      <c r="V43" s="25">
        <v>0</v>
      </c>
      <c r="W43" s="32">
        <v>5</v>
      </c>
    </row>
    <row r="44" spans="1:23" ht="15" x14ac:dyDescent="0.2">
      <c r="A44" s="46">
        <v>1</v>
      </c>
      <c r="B44" s="46">
        <v>1</v>
      </c>
      <c r="C44" s="46">
        <v>0</v>
      </c>
      <c r="D44" s="47">
        <v>535220131</v>
      </c>
      <c r="E44" s="47" t="s">
        <v>142</v>
      </c>
      <c r="F44" s="45" t="s">
        <v>154</v>
      </c>
      <c r="G44" s="59">
        <v>1</v>
      </c>
      <c r="H44" s="24">
        <v>0</v>
      </c>
      <c r="I44" s="24">
        <v>1</v>
      </c>
      <c r="J44" s="24" t="s">
        <v>909</v>
      </c>
      <c r="K44" s="24" t="s">
        <v>198</v>
      </c>
      <c r="L44" s="24" t="s">
        <v>142</v>
      </c>
      <c r="M44" s="24" t="s">
        <v>154</v>
      </c>
      <c r="N44" s="48">
        <v>0</v>
      </c>
      <c r="S44">
        <v>1</v>
      </c>
      <c r="T44">
        <v>2</v>
      </c>
      <c r="U44">
        <v>5</v>
      </c>
      <c r="V44" s="25">
        <v>0</v>
      </c>
      <c r="W44" s="32">
        <v>5</v>
      </c>
    </row>
    <row r="45" spans="1:23" ht="15" x14ac:dyDescent="0.2">
      <c r="A45" s="46">
        <v>1</v>
      </c>
      <c r="B45" s="46">
        <v>1</v>
      </c>
      <c r="C45" s="46">
        <v>0</v>
      </c>
      <c r="D45" s="47">
        <v>535220186</v>
      </c>
      <c r="E45" s="47" t="s">
        <v>142</v>
      </c>
      <c r="F45" s="45" t="s">
        <v>154</v>
      </c>
      <c r="G45" s="59">
        <v>1</v>
      </c>
      <c r="H45" s="24">
        <v>0</v>
      </c>
      <c r="I45" s="24">
        <v>1</v>
      </c>
      <c r="J45" s="24" t="s">
        <v>910</v>
      </c>
      <c r="K45" s="24" t="s">
        <v>199</v>
      </c>
      <c r="L45" s="24" t="s">
        <v>142</v>
      </c>
      <c r="M45" s="24" t="s">
        <v>154</v>
      </c>
      <c r="N45" s="48">
        <v>0</v>
      </c>
      <c r="S45">
        <v>1</v>
      </c>
      <c r="T45">
        <v>2</v>
      </c>
      <c r="U45">
        <v>6</v>
      </c>
      <c r="V45" s="25">
        <v>0</v>
      </c>
      <c r="W45" s="32">
        <v>5</v>
      </c>
    </row>
    <row r="46" spans="1:23" ht="15" x14ac:dyDescent="0.2">
      <c r="A46" s="46">
        <v>1</v>
      </c>
      <c r="B46" s="46">
        <v>1</v>
      </c>
      <c r="C46" s="46">
        <v>0</v>
      </c>
      <c r="D46" s="47">
        <v>535220187</v>
      </c>
      <c r="E46" s="47" t="s">
        <v>142</v>
      </c>
      <c r="F46" s="45" t="s">
        <v>154</v>
      </c>
      <c r="G46" s="59">
        <v>1</v>
      </c>
      <c r="H46" s="24">
        <v>0</v>
      </c>
      <c r="I46" s="24">
        <v>1</v>
      </c>
      <c r="J46" s="24" t="s">
        <v>911</v>
      </c>
      <c r="K46" s="24" t="s">
        <v>200</v>
      </c>
      <c r="L46" s="24" t="s">
        <v>142</v>
      </c>
      <c r="M46" s="24" t="s">
        <v>154</v>
      </c>
      <c r="N46" s="48">
        <v>0</v>
      </c>
      <c r="V46" s="24"/>
      <c r="W46" s="31"/>
    </row>
    <row r="47" spans="1:23" ht="15" x14ac:dyDescent="0.2">
      <c r="A47" s="46">
        <v>1</v>
      </c>
      <c r="B47" s="46">
        <v>1</v>
      </c>
      <c r="C47" s="46">
        <v>0</v>
      </c>
      <c r="D47" s="47">
        <v>535220198</v>
      </c>
      <c r="E47" s="47" t="s">
        <v>142</v>
      </c>
      <c r="F47" s="45" t="s">
        <v>154</v>
      </c>
      <c r="G47" s="59">
        <v>1</v>
      </c>
      <c r="H47" s="24">
        <v>0</v>
      </c>
      <c r="I47" s="24">
        <v>1</v>
      </c>
      <c r="J47" s="24" t="s">
        <v>912</v>
      </c>
      <c r="K47" s="24" t="s">
        <v>201</v>
      </c>
      <c r="L47" s="24" t="s">
        <v>142</v>
      </c>
      <c r="M47" s="24" t="s">
        <v>154</v>
      </c>
      <c r="N47" s="48">
        <v>0</v>
      </c>
      <c r="S47">
        <v>2</v>
      </c>
      <c r="T47">
        <v>0</v>
      </c>
      <c r="U47">
        <v>0</v>
      </c>
      <c r="V47" s="25">
        <v>5</v>
      </c>
      <c r="W47" s="32">
        <v>5</v>
      </c>
    </row>
    <row r="48" spans="1:23" ht="15" x14ac:dyDescent="0.2">
      <c r="A48" s="46">
        <v>2</v>
      </c>
      <c r="B48" s="46">
        <v>1</v>
      </c>
      <c r="C48" s="46">
        <v>0</v>
      </c>
      <c r="D48" s="47">
        <v>535220204</v>
      </c>
      <c r="E48" s="47" t="s">
        <v>142</v>
      </c>
      <c r="F48" s="45" t="s">
        <v>154</v>
      </c>
      <c r="G48" s="59">
        <v>2</v>
      </c>
      <c r="H48" s="24">
        <v>0</v>
      </c>
      <c r="I48" s="24">
        <v>1</v>
      </c>
      <c r="J48" s="24" t="s">
        <v>923</v>
      </c>
      <c r="K48" s="24" t="s">
        <v>212</v>
      </c>
      <c r="L48" s="24" t="s">
        <v>142</v>
      </c>
      <c r="M48" s="24" t="s">
        <v>154</v>
      </c>
      <c r="N48" s="48">
        <v>0</v>
      </c>
      <c r="S48">
        <v>2</v>
      </c>
      <c r="T48">
        <v>0</v>
      </c>
      <c r="U48">
        <v>1</v>
      </c>
      <c r="V48" s="25">
        <v>0</v>
      </c>
      <c r="W48" s="32">
        <v>5</v>
      </c>
    </row>
    <row r="49" spans="1:23" ht="15" x14ac:dyDescent="0.2">
      <c r="A49" s="46">
        <v>2</v>
      </c>
      <c r="B49" s="46">
        <v>1</v>
      </c>
      <c r="C49" s="46">
        <v>0</v>
      </c>
      <c r="D49" s="47">
        <v>535220006</v>
      </c>
      <c r="E49" s="47" t="s">
        <v>142</v>
      </c>
      <c r="F49" s="45" t="s">
        <v>156</v>
      </c>
      <c r="G49" s="59">
        <v>2</v>
      </c>
      <c r="H49" s="24">
        <v>0</v>
      </c>
      <c r="I49" s="24">
        <v>1</v>
      </c>
      <c r="J49" s="24" t="s">
        <v>924</v>
      </c>
      <c r="K49" s="24" t="s">
        <v>213</v>
      </c>
      <c r="L49" s="24" t="s">
        <v>142</v>
      </c>
      <c r="M49" s="24" t="s">
        <v>154</v>
      </c>
      <c r="N49" s="48">
        <v>0</v>
      </c>
      <c r="S49">
        <v>2</v>
      </c>
      <c r="T49">
        <v>0</v>
      </c>
      <c r="U49">
        <v>2</v>
      </c>
      <c r="V49" s="25">
        <v>0</v>
      </c>
      <c r="W49" s="32">
        <v>5</v>
      </c>
    </row>
    <row r="50" spans="1:23" ht="15" x14ac:dyDescent="0.2">
      <c r="A50" s="46">
        <v>2</v>
      </c>
      <c r="B50" s="46">
        <v>1</v>
      </c>
      <c r="C50" s="46">
        <v>0</v>
      </c>
      <c r="D50" s="49">
        <v>535220007</v>
      </c>
      <c r="E50" s="47" t="s">
        <v>142</v>
      </c>
      <c r="F50" s="45" t="s">
        <v>156</v>
      </c>
      <c r="G50" s="59">
        <v>2</v>
      </c>
      <c r="H50" s="24">
        <v>0</v>
      </c>
      <c r="I50" s="24">
        <v>1</v>
      </c>
      <c r="J50" s="24" t="s">
        <v>925</v>
      </c>
      <c r="K50" s="24" t="s">
        <v>214</v>
      </c>
      <c r="L50" s="24" t="s">
        <v>142</v>
      </c>
      <c r="M50" s="24" t="s">
        <v>154</v>
      </c>
      <c r="N50" s="48">
        <v>0</v>
      </c>
      <c r="S50">
        <v>2</v>
      </c>
      <c r="T50">
        <v>0</v>
      </c>
      <c r="U50">
        <v>3</v>
      </c>
      <c r="V50" s="25">
        <v>0</v>
      </c>
      <c r="W50" s="32">
        <v>3</v>
      </c>
    </row>
    <row r="51" spans="1:23" ht="15" x14ac:dyDescent="0.2">
      <c r="A51" s="46">
        <v>2</v>
      </c>
      <c r="B51" s="46">
        <v>1</v>
      </c>
      <c r="C51" s="46">
        <v>0</v>
      </c>
      <c r="D51" s="47">
        <v>535220012</v>
      </c>
      <c r="E51" s="47" t="s">
        <v>142</v>
      </c>
      <c r="F51" s="45" t="s">
        <v>156</v>
      </c>
      <c r="G51" s="59">
        <v>2</v>
      </c>
      <c r="H51" s="24">
        <v>0</v>
      </c>
      <c r="I51" s="24">
        <v>1</v>
      </c>
      <c r="J51" s="24" t="s">
        <v>926</v>
      </c>
      <c r="K51" s="24" t="s">
        <v>215</v>
      </c>
      <c r="L51" s="24" t="s">
        <v>142</v>
      </c>
      <c r="M51" s="24" t="s">
        <v>154</v>
      </c>
      <c r="N51" s="48">
        <v>0</v>
      </c>
      <c r="S51">
        <v>2</v>
      </c>
      <c r="T51">
        <v>0</v>
      </c>
      <c r="U51">
        <v>4</v>
      </c>
      <c r="V51" s="25">
        <v>0</v>
      </c>
      <c r="W51" s="32">
        <v>0</v>
      </c>
    </row>
    <row r="52" spans="1:23" ht="15" x14ac:dyDescent="0.2">
      <c r="A52" s="46">
        <v>2</v>
      </c>
      <c r="B52" s="46">
        <v>1</v>
      </c>
      <c r="C52" s="46">
        <v>0</v>
      </c>
      <c r="D52" s="47">
        <v>535220055</v>
      </c>
      <c r="E52" s="47" t="s">
        <v>142</v>
      </c>
      <c r="F52" s="45" t="s">
        <v>156</v>
      </c>
      <c r="G52" s="59">
        <v>2</v>
      </c>
      <c r="H52" s="24">
        <v>0</v>
      </c>
      <c r="I52" s="24">
        <v>1</v>
      </c>
      <c r="J52" s="24" t="s">
        <v>927</v>
      </c>
      <c r="K52" s="24" t="s">
        <v>216</v>
      </c>
      <c r="L52" s="24" t="s">
        <v>142</v>
      </c>
      <c r="M52" s="24" t="s">
        <v>154</v>
      </c>
      <c r="N52" s="48">
        <v>0</v>
      </c>
      <c r="S52">
        <v>2</v>
      </c>
      <c r="T52">
        <v>0</v>
      </c>
      <c r="U52">
        <v>5</v>
      </c>
      <c r="V52" s="25">
        <v>0</v>
      </c>
      <c r="W52" s="32">
        <v>0</v>
      </c>
    </row>
    <row r="53" spans="1:23" ht="15" x14ac:dyDescent="0.2">
      <c r="A53" s="46">
        <v>3</v>
      </c>
      <c r="B53" s="46">
        <v>1</v>
      </c>
      <c r="C53" s="46">
        <v>0</v>
      </c>
      <c r="D53" s="47">
        <v>535220065</v>
      </c>
      <c r="E53" s="47" t="s">
        <v>142</v>
      </c>
      <c r="F53" s="45" t="s">
        <v>167</v>
      </c>
      <c r="G53" s="59">
        <v>3</v>
      </c>
      <c r="H53" s="24">
        <v>0</v>
      </c>
      <c r="I53" s="24">
        <v>1</v>
      </c>
      <c r="J53" s="24" t="s">
        <v>938</v>
      </c>
      <c r="K53" s="24" t="s">
        <v>227</v>
      </c>
      <c r="L53" s="24" t="s">
        <v>142</v>
      </c>
      <c r="M53" s="24" t="s">
        <v>154</v>
      </c>
      <c r="N53" s="48">
        <v>0</v>
      </c>
      <c r="S53">
        <v>2</v>
      </c>
      <c r="T53">
        <v>0</v>
      </c>
      <c r="U53">
        <v>6</v>
      </c>
      <c r="V53" s="25">
        <v>0</v>
      </c>
      <c r="W53" s="32">
        <v>0</v>
      </c>
    </row>
    <row r="54" spans="1:23" ht="15" x14ac:dyDescent="0.2">
      <c r="A54" s="46">
        <v>3</v>
      </c>
      <c r="B54" s="46">
        <v>1</v>
      </c>
      <c r="C54" s="46">
        <v>0</v>
      </c>
      <c r="D54" s="47">
        <v>535220066</v>
      </c>
      <c r="E54" s="47" t="s">
        <v>142</v>
      </c>
      <c r="F54" s="45" t="s">
        <v>167</v>
      </c>
      <c r="G54" s="59">
        <v>3</v>
      </c>
      <c r="H54" s="24">
        <v>0</v>
      </c>
      <c r="I54" s="24">
        <v>1</v>
      </c>
      <c r="J54" s="24" t="s">
        <v>939</v>
      </c>
      <c r="K54" s="24" t="s">
        <v>228</v>
      </c>
      <c r="L54" s="24" t="s">
        <v>143</v>
      </c>
      <c r="M54" s="24" t="s">
        <v>154</v>
      </c>
      <c r="N54" s="48">
        <v>0</v>
      </c>
      <c r="S54">
        <v>2</v>
      </c>
      <c r="T54">
        <v>1</v>
      </c>
      <c r="U54">
        <v>0</v>
      </c>
      <c r="V54" s="25">
        <v>5</v>
      </c>
      <c r="W54" s="32">
        <v>5</v>
      </c>
    </row>
    <row r="55" spans="1:23" ht="15" x14ac:dyDescent="0.2">
      <c r="A55" s="46">
        <v>3</v>
      </c>
      <c r="B55" s="46">
        <v>1</v>
      </c>
      <c r="C55" s="46">
        <v>0</v>
      </c>
      <c r="D55" s="47">
        <v>535220067</v>
      </c>
      <c r="E55" s="47" t="s">
        <v>142</v>
      </c>
      <c r="F55" s="45" t="s">
        <v>167</v>
      </c>
      <c r="G55" s="59">
        <v>3</v>
      </c>
      <c r="H55" s="24">
        <v>0</v>
      </c>
      <c r="I55" s="24">
        <v>1</v>
      </c>
      <c r="J55" s="24" t="s">
        <v>940</v>
      </c>
      <c r="K55" s="24" t="s">
        <v>229</v>
      </c>
      <c r="L55" s="24" t="s">
        <v>142</v>
      </c>
      <c r="M55" s="24" t="s">
        <v>155</v>
      </c>
      <c r="N55" s="48">
        <v>0</v>
      </c>
      <c r="S55">
        <v>2</v>
      </c>
      <c r="T55">
        <v>1</v>
      </c>
      <c r="U55">
        <v>1</v>
      </c>
      <c r="V55" s="25">
        <v>5</v>
      </c>
      <c r="W55" s="32">
        <v>5</v>
      </c>
    </row>
    <row r="56" spans="1:23" ht="15" x14ac:dyDescent="0.2">
      <c r="A56" s="46">
        <v>3</v>
      </c>
      <c r="B56" s="46">
        <v>1</v>
      </c>
      <c r="C56" s="46">
        <v>0</v>
      </c>
      <c r="D56" s="47">
        <v>535220134</v>
      </c>
      <c r="E56" s="47" t="s">
        <v>142</v>
      </c>
      <c r="F56" s="45" t="s">
        <v>167</v>
      </c>
      <c r="G56" s="59">
        <v>3</v>
      </c>
      <c r="H56" s="24">
        <v>0</v>
      </c>
      <c r="I56" s="24">
        <v>1</v>
      </c>
      <c r="J56" s="24" t="s">
        <v>941</v>
      </c>
      <c r="K56" s="24" t="s">
        <v>230</v>
      </c>
      <c r="L56" s="24" t="s">
        <v>142</v>
      </c>
      <c r="M56" s="24" t="s">
        <v>157</v>
      </c>
      <c r="N56" s="48">
        <v>0</v>
      </c>
      <c r="S56">
        <v>2</v>
      </c>
      <c r="T56">
        <v>1</v>
      </c>
      <c r="U56">
        <v>2</v>
      </c>
      <c r="V56" s="25">
        <v>5</v>
      </c>
      <c r="W56" s="32">
        <v>5</v>
      </c>
    </row>
    <row r="57" spans="1:23" ht="15" x14ac:dyDescent="0.2">
      <c r="A57" s="46">
        <v>3</v>
      </c>
      <c r="B57" s="46">
        <v>1</v>
      </c>
      <c r="C57" s="46">
        <v>0</v>
      </c>
      <c r="D57" s="47">
        <v>535220135</v>
      </c>
      <c r="E57" s="47" t="s">
        <v>142</v>
      </c>
      <c r="F57" s="45" t="s">
        <v>167</v>
      </c>
      <c r="G57" s="59">
        <v>3</v>
      </c>
      <c r="H57" s="24">
        <v>0</v>
      </c>
      <c r="I57" s="24">
        <v>1</v>
      </c>
      <c r="J57" s="24" t="s">
        <v>942</v>
      </c>
      <c r="K57" s="24" t="s">
        <v>231</v>
      </c>
      <c r="L57" s="24" t="s">
        <v>142</v>
      </c>
      <c r="M57" s="24" t="s">
        <v>157</v>
      </c>
      <c r="N57" s="48">
        <v>0</v>
      </c>
      <c r="S57">
        <v>2</v>
      </c>
      <c r="T57">
        <v>1</v>
      </c>
      <c r="U57">
        <v>3</v>
      </c>
      <c r="V57" s="25">
        <v>0</v>
      </c>
      <c r="W57" s="32">
        <v>0</v>
      </c>
    </row>
    <row r="58" spans="1:23" ht="15" x14ac:dyDescent="0.2">
      <c r="A58" s="46">
        <v>4</v>
      </c>
      <c r="B58" s="46">
        <v>1</v>
      </c>
      <c r="C58" s="46">
        <v>0</v>
      </c>
      <c r="D58" s="47">
        <v>535220115</v>
      </c>
      <c r="E58" s="47" t="s">
        <v>143</v>
      </c>
      <c r="F58" s="45" t="s">
        <v>159</v>
      </c>
      <c r="G58" s="59">
        <v>4</v>
      </c>
      <c r="H58" s="24">
        <v>0</v>
      </c>
      <c r="I58" s="24">
        <v>1</v>
      </c>
      <c r="J58" s="24" t="s">
        <v>953</v>
      </c>
      <c r="K58" s="24" t="s">
        <v>242</v>
      </c>
      <c r="L58" s="24" t="s">
        <v>142</v>
      </c>
      <c r="M58" s="24" t="s">
        <v>160</v>
      </c>
      <c r="N58" s="48">
        <v>1</v>
      </c>
      <c r="S58">
        <v>2</v>
      </c>
      <c r="T58">
        <v>1</v>
      </c>
      <c r="U58">
        <v>4</v>
      </c>
      <c r="V58" s="25">
        <v>0</v>
      </c>
      <c r="W58" s="32">
        <v>0</v>
      </c>
    </row>
    <row r="59" spans="1:23" ht="15" x14ac:dyDescent="0.2">
      <c r="A59" s="46">
        <v>4</v>
      </c>
      <c r="B59" s="46">
        <v>1</v>
      </c>
      <c r="C59" s="46">
        <v>0</v>
      </c>
      <c r="D59" s="47">
        <v>535220116</v>
      </c>
      <c r="E59" s="47" t="s">
        <v>143</v>
      </c>
      <c r="F59" s="45" t="s">
        <v>159</v>
      </c>
      <c r="G59" s="59">
        <v>4</v>
      </c>
      <c r="H59" s="24">
        <v>0</v>
      </c>
      <c r="I59" s="24">
        <v>1</v>
      </c>
      <c r="J59" s="24" t="s">
        <v>954</v>
      </c>
      <c r="K59" s="24" t="s">
        <v>243</v>
      </c>
      <c r="L59" s="24" t="s">
        <v>142</v>
      </c>
      <c r="M59" s="24" t="s">
        <v>160</v>
      </c>
      <c r="N59" s="48">
        <v>1</v>
      </c>
      <c r="S59">
        <v>2</v>
      </c>
      <c r="T59">
        <v>1</v>
      </c>
      <c r="U59">
        <v>5</v>
      </c>
      <c r="V59" s="25">
        <v>0</v>
      </c>
      <c r="W59" s="32">
        <v>0</v>
      </c>
    </row>
    <row r="60" spans="1:23" ht="15" x14ac:dyDescent="0.2">
      <c r="A60" s="46">
        <v>4</v>
      </c>
      <c r="B60" s="46">
        <v>1</v>
      </c>
      <c r="C60" s="46">
        <v>0</v>
      </c>
      <c r="D60" s="47">
        <v>535220118</v>
      </c>
      <c r="E60" s="47" t="s">
        <v>143</v>
      </c>
      <c r="F60" s="45" t="s">
        <v>159</v>
      </c>
      <c r="G60" s="59">
        <v>4</v>
      </c>
      <c r="H60" s="24">
        <v>0</v>
      </c>
      <c r="I60" s="24">
        <v>1</v>
      </c>
      <c r="J60" s="24" t="s">
        <v>955</v>
      </c>
      <c r="K60" s="24" t="s">
        <v>244</v>
      </c>
      <c r="L60" s="24" t="s">
        <v>142</v>
      </c>
      <c r="M60" s="24" t="s">
        <v>160</v>
      </c>
      <c r="N60" s="48">
        <v>0</v>
      </c>
      <c r="S60">
        <v>2</v>
      </c>
      <c r="T60">
        <v>1</v>
      </c>
      <c r="U60">
        <v>6</v>
      </c>
      <c r="V60" s="25">
        <v>0</v>
      </c>
      <c r="W60" s="32">
        <v>0</v>
      </c>
    </row>
    <row r="61" spans="1:23" ht="15" x14ac:dyDescent="0.2">
      <c r="A61" s="46">
        <v>4</v>
      </c>
      <c r="B61" s="46">
        <v>1</v>
      </c>
      <c r="C61" s="46">
        <v>0</v>
      </c>
      <c r="D61" s="50">
        <v>535220124</v>
      </c>
      <c r="E61" s="47" t="s">
        <v>143</v>
      </c>
      <c r="F61" s="45" t="s">
        <v>159</v>
      </c>
      <c r="G61" s="59">
        <v>4</v>
      </c>
      <c r="H61" s="24">
        <v>0</v>
      </c>
      <c r="I61" s="24">
        <v>1</v>
      </c>
      <c r="J61" s="24" t="s">
        <v>956</v>
      </c>
      <c r="K61" s="24" t="s">
        <v>245</v>
      </c>
      <c r="L61" s="24" t="s">
        <v>142</v>
      </c>
      <c r="M61" s="24" t="s">
        <v>160</v>
      </c>
      <c r="N61" s="48">
        <v>0</v>
      </c>
      <c r="S61">
        <v>2</v>
      </c>
      <c r="T61">
        <v>2</v>
      </c>
      <c r="U61">
        <v>0</v>
      </c>
      <c r="V61" s="25">
        <v>5</v>
      </c>
      <c r="W61" s="32">
        <v>5</v>
      </c>
    </row>
    <row r="62" spans="1:23" ht="15" x14ac:dyDescent="0.2">
      <c r="A62" s="46">
        <v>4</v>
      </c>
      <c r="B62" s="46">
        <v>1</v>
      </c>
      <c r="C62" s="46">
        <v>0</v>
      </c>
      <c r="D62" s="47">
        <v>535220125</v>
      </c>
      <c r="E62" s="47" t="s">
        <v>143</v>
      </c>
      <c r="F62" s="45" t="s">
        <v>159</v>
      </c>
      <c r="G62" s="59">
        <v>4</v>
      </c>
      <c r="H62" s="24">
        <v>0</v>
      </c>
      <c r="I62" s="24">
        <v>1</v>
      </c>
      <c r="J62" s="24" t="s">
        <v>957</v>
      </c>
      <c r="K62" s="24" t="s">
        <v>246</v>
      </c>
      <c r="L62" s="24" t="s">
        <v>142</v>
      </c>
      <c r="M62" s="24" t="s">
        <v>160</v>
      </c>
      <c r="N62" s="48">
        <v>0</v>
      </c>
      <c r="S62">
        <v>2</v>
      </c>
      <c r="T62">
        <v>2</v>
      </c>
      <c r="U62">
        <v>1</v>
      </c>
      <c r="V62" s="25">
        <v>5</v>
      </c>
      <c r="W62" s="32">
        <v>5</v>
      </c>
    </row>
    <row r="63" spans="1:23" ht="15" x14ac:dyDescent="0.2">
      <c r="A63" s="46">
        <v>5</v>
      </c>
      <c r="B63" s="46">
        <v>1</v>
      </c>
      <c r="C63" s="46">
        <v>0</v>
      </c>
      <c r="D63" s="47">
        <v>535220244</v>
      </c>
      <c r="E63" s="47" t="s">
        <v>143</v>
      </c>
      <c r="F63" s="45" t="s">
        <v>159</v>
      </c>
      <c r="G63" s="59">
        <v>5</v>
      </c>
      <c r="H63" s="24">
        <v>0</v>
      </c>
      <c r="I63" s="24">
        <v>1</v>
      </c>
      <c r="J63" s="24" t="s">
        <v>968</v>
      </c>
      <c r="K63" s="24" t="s">
        <v>257</v>
      </c>
      <c r="L63" s="24" t="s">
        <v>142</v>
      </c>
      <c r="M63" s="24" t="s">
        <v>160</v>
      </c>
      <c r="N63" s="48">
        <v>0</v>
      </c>
      <c r="S63">
        <v>2</v>
      </c>
      <c r="T63">
        <v>2</v>
      </c>
      <c r="U63">
        <v>2</v>
      </c>
      <c r="V63" s="25">
        <v>0</v>
      </c>
      <c r="W63" s="32">
        <v>0</v>
      </c>
    </row>
    <row r="64" spans="1:23" ht="15" x14ac:dyDescent="0.2">
      <c r="A64" s="46">
        <v>5</v>
      </c>
      <c r="B64" s="46">
        <v>1</v>
      </c>
      <c r="C64" s="46">
        <v>0</v>
      </c>
      <c r="D64" s="47">
        <v>535220267</v>
      </c>
      <c r="E64" s="47" t="s">
        <v>143</v>
      </c>
      <c r="F64" s="45" t="s">
        <v>159</v>
      </c>
      <c r="G64" s="59">
        <v>5</v>
      </c>
      <c r="H64" s="24">
        <v>0</v>
      </c>
      <c r="I64" s="24">
        <v>1</v>
      </c>
      <c r="J64" s="24" t="s">
        <v>969</v>
      </c>
      <c r="K64" s="24" t="s">
        <v>258</v>
      </c>
      <c r="L64" s="24" t="s">
        <v>142</v>
      </c>
      <c r="M64" s="24" t="s">
        <v>160</v>
      </c>
      <c r="N64" s="48">
        <v>0</v>
      </c>
      <c r="S64">
        <v>2</v>
      </c>
      <c r="T64">
        <v>2</v>
      </c>
      <c r="U64">
        <v>3</v>
      </c>
      <c r="V64" s="25">
        <v>0</v>
      </c>
      <c r="W64" s="32">
        <v>0</v>
      </c>
    </row>
    <row r="65" spans="1:23" ht="15" x14ac:dyDescent="0.2">
      <c r="A65" s="46">
        <v>5</v>
      </c>
      <c r="B65" s="46">
        <v>1</v>
      </c>
      <c r="C65" s="46">
        <v>0</v>
      </c>
      <c r="D65" s="47">
        <v>825220145</v>
      </c>
      <c r="E65" s="47" t="s">
        <v>143</v>
      </c>
      <c r="F65" s="45" t="s">
        <v>161</v>
      </c>
      <c r="G65" s="59">
        <v>5</v>
      </c>
      <c r="H65" s="24">
        <v>0</v>
      </c>
      <c r="I65" s="24">
        <v>1</v>
      </c>
      <c r="J65" s="24" t="s">
        <v>970</v>
      </c>
      <c r="K65" s="24" t="s">
        <v>259</v>
      </c>
      <c r="L65" s="24" t="s">
        <v>142</v>
      </c>
      <c r="M65" s="24" t="s">
        <v>160</v>
      </c>
      <c r="N65" s="48">
        <v>0</v>
      </c>
      <c r="S65">
        <v>2</v>
      </c>
      <c r="T65">
        <v>2</v>
      </c>
      <c r="U65">
        <v>4</v>
      </c>
      <c r="V65" s="25">
        <v>0</v>
      </c>
      <c r="W65" s="32">
        <v>0</v>
      </c>
    </row>
    <row r="66" spans="1:23" ht="15" x14ac:dyDescent="0.2">
      <c r="A66" s="46">
        <v>5</v>
      </c>
      <c r="B66" s="46">
        <v>1</v>
      </c>
      <c r="C66" s="46">
        <v>0</v>
      </c>
      <c r="D66" s="47">
        <v>825220148</v>
      </c>
      <c r="E66" s="47" t="s">
        <v>143</v>
      </c>
      <c r="F66" s="45" t="s">
        <v>161</v>
      </c>
      <c r="G66" s="59">
        <v>5</v>
      </c>
      <c r="H66" s="24">
        <v>0</v>
      </c>
      <c r="I66" s="24">
        <v>1</v>
      </c>
      <c r="J66" s="24" t="s">
        <v>971</v>
      </c>
      <c r="K66" s="24" t="s">
        <v>260</v>
      </c>
      <c r="L66" s="24" t="s">
        <v>142</v>
      </c>
      <c r="M66" s="24" t="s">
        <v>160</v>
      </c>
      <c r="N66" s="48">
        <v>0</v>
      </c>
      <c r="S66">
        <v>2</v>
      </c>
      <c r="T66">
        <v>2</v>
      </c>
      <c r="U66">
        <v>5</v>
      </c>
      <c r="V66" s="25">
        <v>0</v>
      </c>
      <c r="W66" s="32">
        <v>0</v>
      </c>
    </row>
    <row r="67" spans="1:23" ht="15" x14ac:dyDescent="0.2">
      <c r="A67" s="46">
        <v>5</v>
      </c>
      <c r="B67" s="46">
        <v>1</v>
      </c>
      <c r="C67" s="46">
        <v>0</v>
      </c>
      <c r="D67" s="47">
        <v>825220150</v>
      </c>
      <c r="E67" s="47" t="s">
        <v>143</v>
      </c>
      <c r="F67" s="45" t="s">
        <v>161</v>
      </c>
      <c r="G67" s="59">
        <v>5</v>
      </c>
      <c r="H67" s="24">
        <v>0</v>
      </c>
      <c r="I67" s="24">
        <v>1</v>
      </c>
      <c r="J67" s="24" t="s">
        <v>972</v>
      </c>
      <c r="K67" s="24" t="s">
        <v>261</v>
      </c>
      <c r="L67" s="24" t="s">
        <v>142</v>
      </c>
      <c r="M67" s="24" t="s">
        <v>160</v>
      </c>
      <c r="N67" s="48">
        <v>0</v>
      </c>
      <c r="S67">
        <v>2</v>
      </c>
      <c r="T67">
        <v>2</v>
      </c>
      <c r="U67">
        <v>6</v>
      </c>
      <c r="V67" s="25">
        <v>0</v>
      </c>
      <c r="W67" s="32">
        <v>0</v>
      </c>
    </row>
    <row r="68" spans="1:23" ht="15" x14ac:dyDescent="0.2">
      <c r="A68" s="46">
        <v>6</v>
      </c>
      <c r="B68" s="46">
        <v>1</v>
      </c>
      <c r="C68" s="46">
        <v>0</v>
      </c>
      <c r="D68" s="47">
        <v>825220181</v>
      </c>
      <c r="E68" s="47" t="s">
        <v>143</v>
      </c>
      <c r="F68" s="45" t="s">
        <v>161</v>
      </c>
      <c r="G68" s="59">
        <v>6</v>
      </c>
      <c r="H68" s="24">
        <v>0</v>
      </c>
      <c r="I68" s="24">
        <v>1</v>
      </c>
      <c r="J68" s="24" t="s">
        <v>983</v>
      </c>
      <c r="K68" s="24" t="s">
        <v>272</v>
      </c>
      <c r="L68" s="24" t="s">
        <v>142</v>
      </c>
      <c r="M68" s="24" t="s">
        <v>160</v>
      </c>
      <c r="N68" s="48">
        <v>0</v>
      </c>
      <c r="V68" s="24"/>
      <c r="W68" s="31"/>
    </row>
    <row r="69" spans="1:23" ht="15" x14ac:dyDescent="0.2">
      <c r="A69" s="46">
        <v>6</v>
      </c>
      <c r="B69" s="46">
        <v>1</v>
      </c>
      <c r="C69" s="46">
        <v>0</v>
      </c>
      <c r="D69" s="47">
        <v>825239201</v>
      </c>
      <c r="E69" s="47" t="s">
        <v>143</v>
      </c>
      <c r="F69" s="45" t="s">
        <v>161</v>
      </c>
      <c r="G69" s="59">
        <v>6</v>
      </c>
      <c r="H69" s="24">
        <v>0</v>
      </c>
      <c r="I69" s="24">
        <v>1</v>
      </c>
      <c r="J69" s="24" t="s">
        <v>984</v>
      </c>
      <c r="K69" s="24" t="s">
        <v>273</v>
      </c>
      <c r="L69" s="24" t="s">
        <v>143</v>
      </c>
      <c r="M69" s="24" t="s">
        <v>160</v>
      </c>
      <c r="N69" s="48">
        <v>0</v>
      </c>
      <c r="S69">
        <v>3</v>
      </c>
      <c r="T69">
        <v>0</v>
      </c>
      <c r="U69">
        <v>0</v>
      </c>
      <c r="V69" s="25">
        <v>0</v>
      </c>
      <c r="W69" s="32">
        <v>0</v>
      </c>
    </row>
    <row r="70" spans="1:23" ht="15" x14ac:dyDescent="0.2">
      <c r="A70" s="46">
        <v>6</v>
      </c>
      <c r="B70" s="46">
        <v>1</v>
      </c>
      <c r="C70" s="46">
        <v>0</v>
      </c>
      <c r="D70" s="47">
        <v>535220037</v>
      </c>
      <c r="E70" s="47" t="s">
        <v>142</v>
      </c>
      <c r="F70" s="45" t="s">
        <v>167</v>
      </c>
      <c r="G70" s="59">
        <v>6</v>
      </c>
      <c r="H70" s="24">
        <v>0</v>
      </c>
      <c r="I70" s="24">
        <v>1</v>
      </c>
      <c r="J70" s="24" t="s">
        <v>985</v>
      </c>
      <c r="K70" s="24" t="s">
        <v>274</v>
      </c>
      <c r="L70" s="24" t="s">
        <v>143</v>
      </c>
      <c r="M70" s="24" t="s">
        <v>160</v>
      </c>
      <c r="N70" s="48">
        <v>0</v>
      </c>
      <c r="S70">
        <v>3</v>
      </c>
      <c r="T70">
        <v>0</v>
      </c>
      <c r="U70">
        <v>1</v>
      </c>
      <c r="V70" s="25">
        <v>0</v>
      </c>
      <c r="W70" s="32">
        <v>0</v>
      </c>
    </row>
    <row r="71" spans="1:23" ht="15" x14ac:dyDescent="0.2">
      <c r="A71" s="46">
        <v>6</v>
      </c>
      <c r="B71" s="46">
        <v>1</v>
      </c>
      <c r="C71" s="46">
        <v>0</v>
      </c>
      <c r="D71" s="47">
        <v>535220040</v>
      </c>
      <c r="E71" s="47" t="s">
        <v>142</v>
      </c>
      <c r="F71" s="45" t="s">
        <v>167</v>
      </c>
      <c r="G71" s="59">
        <v>6</v>
      </c>
      <c r="H71" s="24">
        <v>0</v>
      </c>
      <c r="I71" s="24">
        <v>1</v>
      </c>
      <c r="J71" s="24" t="s">
        <v>986</v>
      </c>
      <c r="K71" s="24" t="s">
        <v>275</v>
      </c>
      <c r="L71" s="24" t="s">
        <v>144</v>
      </c>
      <c r="M71" s="24" t="s">
        <v>160</v>
      </c>
      <c r="N71" s="48">
        <v>0</v>
      </c>
      <c r="S71">
        <v>3</v>
      </c>
      <c r="T71">
        <v>0</v>
      </c>
      <c r="U71">
        <v>2</v>
      </c>
      <c r="V71" s="25">
        <v>0</v>
      </c>
      <c r="W71" s="32">
        <v>0</v>
      </c>
    </row>
    <row r="72" spans="1:23" ht="15" x14ac:dyDescent="0.2">
      <c r="A72" s="46">
        <v>6</v>
      </c>
      <c r="B72" s="46">
        <v>1</v>
      </c>
      <c r="C72" s="46">
        <v>0</v>
      </c>
      <c r="D72" s="47">
        <v>535220064</v>
      </c>
      <c r="E72" s="47" t="s">
        <v>142</v>
      </c>
      <c r="F72" s="45" t="s">
        <v>167</v>
      </c>
      <c r="G72" s="59">
        <v>6</v>
      </c>
      <c r="H72" s="24">
        <v>0</v>
      </c>
      <c r="I72" s="24">
        <v>1</v>
      </c>
      <c r="J72" s="24" t="s">
        <v>987</v>
      </c>
      <c r="K72" s="24" t="s">
        <v>276</v>
      </c>
      <c r="L72" s="24" t="s">
        <v>144</v>
      </c>
      <c r="M72" s="24" t="s">
        <v>160</v>
      </c>
      <c r="N72" s="48">
        <v>0</v>
      </c>
      <c r="S72">
        <v>3</v>
      </c>
      <c r="T72">
        <v>0</v>
      </c>
      <c r="U72">
        <v>3</v>
      </c>
      <c r="V72" s="25">
        <v>0</v>
      </c>
      <c r="W72" s="32">
        <v>0</v>
      </c>
    </row>
    <row r="73" spans="1:23" ht="15" x14ac:dyDescent="0.2">
      <c r="A73" s="46">
        <v>0</v>
      </c>
      <c r="B73" s="46">
        <v>1</v>
      </c>
      <c r="C73" s="46">
        <v>1</v>
      </c>
      <c r="D73" s="47">
        <v>535220096</v>
      </c>
      <c r="E73" s="47" t="s">
        <v>142</v>
      </c>
      <c r="F73" s="45" t="s">
        <v>168</v>
      </c>
      <c r="G73" s="59">
        <v>0</v>
      </c>
      <c r="H73" s="24">
        <v>0</v>
      </c>
      <c r="I73" s="24">
        <v>2</v>
      </c>
      <c r="J73" s="24" t="s">
        <v>898</v>
      </c>
      <c r="K73" s="24" t="s">
        <v>187</v>
      </c>
      <c r="L73" s="24" t="s">
        <v>142</v>
      </c>
      <c r="M73" s="24" t="s">
        <v>155</v>
      </c>
      <c r="N73" s="48">
        <v>0</v>
      </c>
      <c r="S73">
        <v>3</v>
      </c>
      <c r="T73">
        <v>0</v>
      </c>
      <c r="U73">
        <v>4</v>
      </c>
      <c r="V73" s="25">
        <v>0</v>
      </c>
      <c r="W73" s="32">
        <v>5</v>
      </c>
    </row>
    <row r="74" spans="1:23" ht="15" x14ac:dyDescent="0.2">
      <c r="A74" s="46">
        <v>0</v>
      </c>
      <c r="B74" s="46">
        <v>1</v>
      </c>
      <c r="C74" s="46">
        <v>1</v>
      </c>
      <c r="D74" s="47">
        <v>535220101</v>
      </c>
      <c r="E74" s="47" t="s">
        <v>142</v>
      </c>
      <c r="F74" s="45" t="s">
        <v>168</v>
      </c>
      <c r="G74" s="59">
        <v>0</v>
      </c>
      <c r="H74" s="24">
        <v>0</v>
      </c>
      <c r="I74" s="24">
        <v>2</v>
      </c>
      <c r="J74" s="24" t="s">
        <v>899</v>
      </c>
      <c r="K74" s="24" t="s">
        <v>188</v>
      </c>
      <c r="L74" s="24" t="s">
        <v>142</v>
      </c>
      <c r="M74" s="24" t="s">
        <v>155</v>
      </c>
      <c r="N74" s="48">
        <v>0</v>
      </c>
      <c r="S74">
        <v>3</v>
      </c>
      <c r="T74">
        <v>0</v>
      </c>
      <c r="U74">
        <v>5</v>
      </c>
      <c r="V74" s="25">
        <v>0</v>
      </c>
      <c r="W74" s="32">
        <v>3</v>
      </c>
    </row>
    <row r="75" spans="1:23" ht="15" x14ac:dyDescent="0.2">
      <c r="A75" s="46">
        <v>0</v>
      </c>
      <c r="B75" s="46">
        <v>1</v>
      </c>
      <c r="C75" s="46">
        <v>1</v>
      </c>
      <c r="D75" s="47">
        <v>535220103</v>
      </c>
      <c r="E75" s="47" t="s">
        <v>142</v>
      </c>
      <c r="F75" s="45" t="s">
        <v>168</v>
      </c>
      <c r="G75" s="59">
        <v>0</v>
      </c>
      <c r="H75" s="24">
        <v>0</v>
      </c>
      <c r="I75" s="24">
        <v>2</v>
      </c>
      <c r="J75" s="24" t="s">
        <v>900</v>
      </c>
      <c r="K75" s="24" t="s">
        <v>189</v>
      </c>
      <c r="L75" s="24" t="s">
        <v>142</v>
      </c>
      <c r="M75" s="24" t="s">
        <v>155</v>
      </c>
      <c r="N75" s="48">
        <v>0</v>
      </c>
      <c r="S75">
        <v>3</v>
      </c>
      <c r="T75">
        <v>0</v>
      </c>
      <c r="U75">
        <v>6</v>
      </c>
      <c r="V75" s="25">
        <v>0</v>
      </c>
      <c r="W75" s="32">
        <v>0</v>
      </c>
    </row>
    <row r="76" spans="1:23" ht="15" x14ac:dyDescent="0.2">
      <c r="A76" s="46">
        <v>0</v>
      </c>
      <c r="B76" s="46">
        <v>1</v>
      </c>
      <c r="C76" s="46">
        <v>1</v>
      </c>
      <c r="D76" s="47">
        <v>535220082</v>
      </c>
      <c r="E76" s="47" t="s">
        <v>142</v>
      </c>
      <c r="F76" s="45" t="s">
        <v>164</v>
      </c>
      <c r="G76" s="59">
        <v>0</v>
      </c>
      <c r="H76" s="24">
        <v>0</v>
      </c>
      <c r="I76" s="24">
        <v>2</v>
      </c>
      <c r="J76" s="24" t="s">
        <v>901</v>
      </c>
      <c r="K76" s="24" t="s">
        <v>190</v>
      </c>
      <c r="L76" s="24" t="s">
        <v>142</v>
      </c>
      <c r="M76" s="24" t="s">
        <v>155</v>
      </c>
      <c r="N76" s="48">
        <v>0</v>
      </c>
      <c r="S76">
        <v>3</v>
      </c>
      <c r="T76">
        <v>1</v>
      </c>
      <c r="U76">
        <v>0</v>
      </c>
      <c r="V76" s="25">
        <v>0</v>
      </c>
      <c r="W76" s="32">
        <v>0</v>
      </c>
    </row>
    <row r="77" spans="1:23" ht="15" x14ac:dyDescent="0.2">
      <c r="A77" s="46">
        <v>0</v>
      </c>
      <c r="B77" s="46">
        <v>1</v>
      </c>
      <c r="C77" s="46">
        <v>1</v>
      </c>
      <c r="D77" s="47">
        <v>535220133</v>
      </c>
      <c r="E77" s="47" t="s">
        <v>142</v>
      </c>
      <c r="F77" s="45" t="s">
        <v>164</v>
      </c>
      <c r="G77" s="59">
        <v>0</v>
      </c>
      <c r="H77" s="24">
        <v>0</v>
      </c>
      <c r="I77" s="24">
        <v>2</v>
      </c>
      <c r="J77" s="24" t="s">
        <v>902</v>
      </c>
      <c r="K77" s="24" t="s">
        <v>191</v>
      </c>
      <c r="L77" s="24" t="s">
        <v>142</v>
      </c>
      <c r="M77" s="24" t="s">
        <v>155</v>
      </c>
      <c r="N77" s="48">
        <v>0</v>
      </c>
      <c r="S77">
        <v>3</v>
      </c>
      <c r="T77">
        <v>1</v>
      </c>
      <c r="U77">
        <v>1</v>
      </c>
      <c r="V77" s="25">
        <v>0</v>
      </c>
      <c r="W77" s="32">
        <v>0</v>
      </c>
    </row>
    <row r="78" spans="1:23" ht="15" x14ac:dyDescent="0.2">
      <c r="A78" s="46">
        <v>1</v>
      </c>
      <c r="B78" s="46">
        <v>1</v>
      </c>
      <c r="C78" s="46">
        <v>1</v>
      </c>
      <c r="D78" s="47">
        <v>535220149</v>
      </c>
      <c r="E78" s="47" t="s">
        <v>142</v>
      </c>
      <c r="F78" s="45" t="s">
        <v>164</v>
      </c>
      <c r="G78" s="59">
        <v>1</v>
      </c>
      <c r="H78" s="24">
        <v>0</v>
      </c>
      <c r="I78" s="24">
        <v>2</v>
      </c>
      <c r="J78" s="24" t="s">
        <v>913</v>
      </c>
      <c r="K78" s="24" t="s">
        <v>202</v>
      </c>
      <c r="L78" s="24" t="s">
        <v>142</v>
      </c>
      <c r="M78" s="24" t="s">
        <v>155</v>
      </c>
      <c r="N78" s="48">
        <v>0</v>
      </c>
      <c r="S78">
        <v>3</v>
      </c>
      <c r="T78">
        <v>1</v>
      </c>
      <c r="U78">
        <v>2</v>
      </c>
      <c r="V78" s="25">
        <v>0</v>
      </c>
      <c r="W78" s="32">
        <v>0</v>
      </c>
    </row>
    <row r="79" spans="1:23" ht="15" x14ac:dyDescent="0.2">
      <c r="A79" s="46">
        <v>1</v>
      </c>
      <c r="B79" s="46">
        <v>1</v>
      </c>
      <c r="C79" s="46">
        <v>1</v>
      </c>
      <c r="D79" s="47">
        <v>535220058</v>
      </c>
      <c r="E79" s="47" t="s">
        <v>142</v>
      </c>
      <c r="F79" s="45" t="s">
        <v>169</v>
      </c>
      <c r="G79" s="59">
        <v>1</v>
      </c>
      <c r="H79" s="24">
        <v>0</v>
      </c>
      <c r="I79" s="24">
        <v>2</v>
      </c>
      <c r="J79" s="24" t="s">
        <v>914</v>
      </c>
      <c r="K79" s="24" t="s">
        <v>203</v>
      </c>
      <c r="L79" s="24" t="s">
        <v>142</v>
      </c>
      <c r="M79" s="24" t="s">
        <v>155</v>
      </c>
      <c r="N79" s="48">
        <v>0</v>
      </c>
      <c r="S79">
        <v>3</v>
      </c>
      <c r="T79">
        <v>1</v>
      </c>
      <c r="U79">
        <v>3</v>
      </c>
      <c r="V79" s="25">
        <v>0</v>
      </c>
      <c r="W79" s="32">
        <v>0</v>
      </c>
    </row>
    <row r="80" spans="1:23" ht="15" x14ac:dyDescent="0.2">
      <c r="A80" s="46">
        <v>1</v>
      </c>
      <c r="B80" s="46">
        <v>1</v>
      </c>
      <c r="C80" s="46">
        <v>1</v>
      </c>
      <c r="D80" s="47">
        <v>535220059</v>
      </c>
      <c r="E80" s="47" t="s">
        <v>142</v>
      </c>
      <c r="F80" s="45" t="s">
        <v>169</v>
      </c>
      <c r="G80" s="59">
        <v>1</v>
      </c>
      <c r="H80" s="24">
        <v>0</v>
      </c>
      <c r="I80" s="24">
        <v>2</v>
      </c>
      <c r="J80" s="24" t="s">
        <v>915</v>
      </c>
      <c r="K80" s="24" t="s">
        <v>204</v>
      </c>
      <c r="L80" s="24" t="s">
        <v>142</v>
      </c>
      <c r="M80" s="24" t="s">
        <v>155</v>
      </c>
      <c r="N80" s="48">
        <v>0</v>
      </c>
      <c r="S80">
        <v>3</v>
      </c>
      <c r="T80">
        <v>1</v>
      </c>
      <c r="U80">
        <v>4</v>
      </c>
      <c r="V80" s="25">
        <v>0</v>
      </c>
      <c r="W80" s="32">
        <v>0</v>
      </c>
    </row>
    <row r="81" spans="1:23" ht="15" x14ac:dyDescent="0.2">
      <c r="A81" s="46">
        <v>1</v>
      </c>
      <c r="B81" s="46">
        <v>1</v>
      </c>
      <c r="C81" s="46">
        <v>1</v>
      </c>
      <c r="D81" s="49">
        <v>535220069</v>
      </c>
      <c r="E81" s="47" t="s">
        <v>142</v>
      </c>
      <c r="F81" s="45" t="s">
        <v>169</v>
      </c>
      <c r="G81" s="59">
        <v>1</v>
      </c>
      <c r="H81" s="24">
        <v>0</v>
      </c>
      <c r="I81" s="24">
        <v>2</v>
      </c>
      <c r="J81" s="24" t="s">
        <v>916</v>
      </c>
      <c r="K81" s="24" t="s">
        <v>205</v>
      </c>
      <c r="L81" s="24" t="s">
        <v>142</v>
      </c>
      <c r="M81" s="24" t="s">
        <v>155</v>
      </c>
      <c r="N81" s="48">
        <v>0</v>
      </c>
      <c r="S81">
        <v>3</v>
      </c>
      <c r="T81">
        <v>1</v>
      </c>
      <c r="U81">
        <v>5</v>
      </c>
      <c r="V81" s="25">
        <v>0</v>
      </c>
      <c r="W81" s="32">
        <v>0</v>
      </c>
    </row>
    <row r="82" spans="1:23" ht="15" x14ac:dyDescent="0.2">
      <c r="A82" s="46">
        <v>1</v>
      </c>
      <c r="B82" s="46">
        <v>1</v>
      </c>
      <c r="C82" s="46">
        <v>1</v>
      </c>
      <c r="D82" s="47">
        <v>535220110</v>
      </c>
      <c r="E82" s="47" t="s">
        <v>142</v>
      </c>
      <c r="F82" s="45" t="s">
        <v>169</v>
      </c>
      <c r="G82" s="59">
        <v>1</v>
      </c>
      <c r="H82" s="24">
        <v>0</v>
      </c>
      <c r="I82" s="24">
        <v>2</v>
      </c>
      <c r="J82" s="24" t="s">
        <v>917</v>
      </c>
      <c r="K82" s="24" t="s">
        <v>206</v>
      </c>
      <c r="L82" s="24" t="s">
        <v>142</v>
      </c>
      <c r="M82" s="24" t="s">
        <v>155</v>
      </c>
      <c r="N82" s="48">
        <v>0</v>
      </c>
      <c r="S82">
        <v>3</v>
      </c>
      <c r="T82">
        <v>1</v>
      </c>
      <c r="U82">
        <v>6</v>
      </c>
      <c r="V82" s="25">
        <v>0</v>
      </c>
      <c r="W82" s="32">
        <v>0</v>
      </c>
    </row>
    <row r="83" spans="1:23" ht="15" x14ac:dyDescent="0.2">
      <c r="A83" s="46">
        <v>2</v>
      </c>
      <c r="B83" s="46">
        <v>1</v>
      </c>
      <c r="C83" s="46">
        <v>1</v>
      </c>
      <c r="D83" s="47">
        <v>535220117</v>
      </c>
      <c r="E83" s="47" t="s">
        <v>142</v>
      </c>
      <c r="F83" s="45" t="s">
        <v>169</v>
      </c>
      <c r="G83" s="59">
        <v>2</v>
      </c>
      <c r="H83" s="24">
        <v>0</v>
      </c>
      <c r="I83" s="24">
        <v>2</v>
      </c>
      <c r="J83" s="24" t="s">
        <v>928</v>
      </c>
      <c r="K83" s="24" t="s">
        <v>217</v>
      </c>
      <c r="L83" s="24" t="s">
        <v>142</v>
      </c>
      <c r="M83" s="24" t="s">
        <v>155</v>
      </c>
      <c r="N83" s="48">
        <v>0</v>
      </c>
      <c r="S83">
        <v>3</v>
      </c>
      <c r="T83">
        <v>2</v>
      </c>
      <c r="U83">
        <v>0</v>
      </c>
      <c r="V83" s="25">
        <v>0</v>
      </c>
      <c r="W83" s="32">
        <v>0</v>
      </c>
    </row>
    <row r="84" spans="1:23" ht="15" x14ac:dyDescent="0.2">
      <c r="A84" s="46">
        <v>2</v>
      </c>
      <c r="B84" s="46">
        <v>1</v>
      </c>
      <c r="C84" s="46">
        <v>1</v>
      </c>
      <c r="D84" s="47">
        <v>535220177</v>
      </c>
      <c r="E84" s="47" t="s">
        <v>142</v>
      </c>
      <c r="F84" s="45" t="s">
        <v>169</v>
      </c>
      <c r="G84" s="59">
        <v>2</v>
      </c>
      <c r="H84" s="24">
        <v>0</v>
      </c>
      <c r="I84" s="24">
        <v>2</v>
      </c>
      <c r="J84" s="24" t="s">
        <v>929</v>
      </c>
      <c r="K84" s="24" t="s">
        <v>218</v>
      </c>
      <c r="L84" s="24" t="s">
        <v>142</v>
      </c>
      <c r="M84" s="24" t="s">
        <v>155</v>
      </c>
      <c r="N84" s="48">
        <v>0</v>
      </c>
      <c r="S84">
        <v>3</v>
      </c>
      <c r="T84">
        <v>2</v>
      </c>
      <c r="U84">
        <v>1</v>
      </c>
      <c r="V84" s="25">
        <v>0</v>
      </c>
      <c r="W84" s="32">
        <v>0</v>
      </c>
    </row>
    <row r="85" spans="1:23" ht="15" x14ac:dyDescent="0.2">
      <c r="A85" s="46">
        <v>2</v>
      </c>
      <c r="B85" s="46">
        <v>1</v>
      </c>
      <c r="C85" s="46">
        <v>1</v>
      </c>
      <c r="D85" s="47">
        <v>535220180</v>
      </c>
      <c r="E85" s="47" t="s">
        <v>142</v>
      </c>
      <c r="F85" s="45" t="s">
        <v>169</v>
      </c>
      <c r="G85" s="59">
        <v>2</v>
      </c>
      <c r="H85" s="24">
        <v>0</v>
      </c>
      <c r="I85" s="24">
        <v>2</v>
      </c>
      <c r="J85" s="24" t="s">
        <v>930</v>
      </c>
      <c r="K85" s="24" t="s">
        <v>219</v>
      </c>
      <c r="L85" s="24" t="s">
        <v>142</v>
      </c>
      <c r="M85" s="24" t="s">
        <v>155</v>
      </c>
      <c r="N85" s="48">
        <v>0</v>
      </c>
      <c r="S85">
        <v>3</v>
      </c>
      <c r="T85">
        <v>2</v>
      </c>
      <c r="U85">
        <v>2</v>
      </c>
      <c r="V85" s="25">
        <v>0</v>
      </c>
      <c r="W85" s="32">
        <v>0</v>
      </c>
    </row>
    <row r="86" spans="1:23" ht="15" x14ac:dyDescent="0.2">
      <c r="A86" s="46">
        <v>2</v>
      </c>
      <c r="B86" s="46">
        <v>1</v>
      </c>
      <c r="C86" s="46">
        <v>1</v>
      </c>
      <c r="D86" s="47">
        <v>535220181</v>
      </c>
      <c r="E86" s="47" t="s">
        <v>142</v>
      </c>
      <c r="F86" s="45" t="s">
        <v>169</v>
      </c>
      <c r="G86" s="59">
        <v>2</v>
      </c>
      <c r="H86" s="24">
        <v>0</v>
      </c>
      <c r="I86" s="24">
        <v>2</v>
      </c>
      <c r="J86" s="24" t="s">
        <v>931</v>
      </c>
      <c r="K86" s="24" t="s">
        <v>220</v>
      </c>
      <c r="L86" s="24" t="s">
        <v>142</v>
      </c>
      <c r="M86" s="24" t="s">
        <v>155</v>
      </c>
      <c r="N86" s="48">
        <v>0</v>
      </c>
      <c r="S86">
        <v>3</v>
      </c>
      <c r="T86">
        <v>2</v>
      </c>
      <c r="U86">
        <v>3</v>
      </c>
      <c r="V86" s="25">
        <v>0</v>
      </c>
      <c r="W86" s="32">
        <v>0</v>
      </c>
    </row>
    <row r="87" spans="1:23" ht="15" x14ac:dyDescent="0.2">
      <c r="A87" s="46">
        <v>2</v>
      </c>
      <c r="B87" s="46">
        <v>1</v>
      </c>
      <c r="C87" s="46">
        <v>1</v>
      </c>
      <c r="D87" s="47">
        <v>535220263</v>
      </c>
      <c r="E87" s="47" t="s">
        <v>142</v>
      </c>
      <c r="F87" s="45" t="s">
        <v>169</v>
      </c>
      <c r="G87" s="59">
        <v>2</v>
      </c>
      <c r="H87" s="24">
        <v>0</v>
      </c>
      <c r="I87" s="24">
        <v>2</v>
      </c>
      <c r="J87" s="24" t="s">
        <v>932</v>
      </c>
      <c r="K87" s="24" t="s">
        <v>221</v>
      </c>
      <c r="L87" s="24" t="s">
        <v>142</v>
      </c>
      <c r="M87" s="24" t="s">
        <v>155</v>
      </c>
      <c r="N87" s="48">
        <v>0</v>
      </c>
      <c r="S87">
        <v>3</v>
      </c>
      <c r="T87">
        <v>2</v>
      </c>
      <c r="U87">
        <v>4</v>
      </c>
      <c r="V87" s="25">
        <v>0</v>
      </c>
      <c r="W87" s="32">
        <v>0</v>
      </c>
    </row>
    <row r="88" spans="1:23" ht="15" x14ac:dyDescent="0.2">
      <c r="A88" s="46">
        <v>3</v>
      </c>
      <c r="B88" s="46">
        <v>1</v>
      </c>
      <c r="C88" s="46">
        <v>1</v>
      </c>
      <c r="D88" s="47">
        <v>535220093</v>
      </c>
      <c r="E88" s="47" t="s">
        <v>142</v>
      </c>
      <c r="F88" s="45" t="s">
        <v>157</v>
      </c>
      <c r="G88" s="59">
        <v>3</v>
      </c>
      <c r="H88" s="24">
        <v>0</v>
      </c>
      <c r="I88" s="24">
        <v>2</v>
      </c>
      <c r="J88" s="24" t="s">
        <v>943</v>
      </c>
      <c r="K88" s="24" t="s">
        <v>232</v>
      </c>
      <c r="L88" s="24" t="s">
        <v>142</v>
      </c>
      <c r="M88" s="24" t="s">
        <v>158</v>
      </c>
      <c r="N88" s="48">
        <v>1</v>
      </c>
      <c r="S88">
        <v>3</v>
      </c>
      <c r="T88">
        <v>2</v>
      </c>
      <c r="U88">
        <v>5</v>
      </c>
      <c r="V88" s="25">
        <v>0</v>
      </c>
      <c r="W88" s="32">
        <v>0</v>
      </c>
    </row>
    <row r="89" spans="1:23" ht="15" x14ac:dyDescent="0.2">
      <c r="A89" s="46">
        <v>3</v>
      </c>
      <c r="B89" s="46">
        <v>1</v>
      </c>
      <c r="C89" s="46">
        <v>1</v>
      </c>
      <c r="D89" s="47">
        <v>535220095</v>
      </c>
      <c r="E89" s="47" t="s">
        <v>142</v>
      </c>
      <c r="F89" s="45" t="s">
        <v>157</v>
      </c>
      <c r="G89" s="59">
        <v>3</v>
      </c>
      <c r="H89" s="24">
        <v>0</v>
      </c>
      <c r="I89" s="24">
        <v>2</v>
      </c>
      <c r="J89" s="24" t="s">
        <v>944</v>
      </c>
      <c r="K89" s="24" t="s">
        <v>233</v>
      </c>
      <c r="L89" s="24" t="s">
        <v>142</v>
      </c>
      <c r="M89" s="24" t="s">
        <v>158</v>
      </c>
      <c r="N89" s="48">
        <v>1</v>
      </c>
      <c r="S89">
        <v>3</v>
      </c>
      <c r="T89">
        <v>2</v>
      </c>
      <c r="U89">
        <v>6</v>
      </c>
      <c r="V89" s="25">
        <v>0</v>
      </c>
      <c r="W89" s="32">
        <v>0</v>
      </c>
    </row>
    <row r="90" spans="1:23" ht="15" x14ac:dyDescent="0.2">
      <c r="A90" s="46">
        <v>3</v>
      </c>
      <c r="B90" s="46">
        <v>1</v>
      </c>
      <c r="C90" s="46">
        <v>1</v>
      </c>
      <c r="D90" s="47">
        <v>535220112</v>
      </c>
      <c r="E90" s="47" t="s">
        <v>142</v>
      </c>
      <c r="F90" s="45" t="s">
        <v>157</v>
      </c>
      <c r="G90" s="59">
        <v>3</v>
      </c>
      <c r="H90" s="24">
        <v>0</v>
      </c>
      <c r="I90" s="24">
        <v>2</v>
      </c>
      <c r="J90" s="24" t="s">
        <v>945</v>
      </c>
      <c r="K90" s="24" t="s">
        <v>234</v>
      </c>
      <c r="L90" s="24" t="s">
        <v>142</v>
      </c>
      <c r="M90" s="24" t="s">
        <v>158</v>
      </c>
      <c r="N90" s="48">
        <v>1</v>
      </c>
      <c r="V90" s="24"/>
      <c r="W90" s="31"/>
    </row>
    <row r="91" spans="1:23" ht="15" x14ac:dyDescent="0.2">
      <c r="A91" s="46">
        <v>3</v>
      </c>
      <c r="B91" s="46">
        <v>1</v>
      </c>
      <c r="C91" s="46">
        <v>1</v>
      </c>
      <c r="D91" s="47">
        <v>535220207</v>
      </c>
      <c r="E91" s="47" t="s">
        <v>142</v>
      </c>
      <c r="F91" s="45" t="s">
        <v>157</v>
      </c>
      <c r="G91" s="59">
        <v>3</v>
      </c>
      <c r="H91" s="24">
        <v>0</v>
      </c>
      <c r="I91" s="24">
        <v>2</v>
      </c>
      <c r="J91" s="24" t="s">
        <v>946</v>
      </c>
      <c r="K91" s="24" t="s">
        <v>235</v>
      </c>
      <c r="L91" s="24" t="s">
        <v>142</v>
      </c>
      <c r="M91" s="24" t="s">
        <v>158</v>
      </c>
      <c r="N91" s="48">
        <v>0</v>
      </c>
      <c r="S91">
        <v>4</v>
      </c>
      <c r="T91">
        <v>0</v>
      </c>
      <c r="U91">
        <v>0</v>
      </c>
      <c r="V91" s="25">
        <v>0</v>
      </c>
      <c r="W91" s="32">
        <v>0</v>
      </c>
    </row>
    <row r="92" spans="1:23" ht="15" x14ac:dyDescent="0.2">
      <c r="A92" s="46">
        <v>3</v>
      </c>
      <c r="B92" s="46">
        <v>1</v>
      </c>
      <c r="C92" s="46">
        <v>1</v>
      </c>
      <c r="D92" s="47">
        <v>535220245</v>
      </c>
      <c r="E92" s="47" t="s">
        <v>142</v>
      </c>
      <c r="F92" s="45" t="s">
        <v>157</v>
      </c>
      <c r="G92" s="59">
        <v>3</v>
      </c>
      <c r="H92" s="24">
        <v>0</v>
      </c>
      <c r="I92" s="24">
        <v>2</v>
      </c>
      <c r="J92" s="24" t="s">
        <v>947</v>
      </c>
      <c r="K92" s="24" t="s">
        <v>236</v>
      </c>
      <c r="L92" s="24" t="s">
        <v>142</v>
      </c>
      <c r="M92" s="24" t="s">
        <v>158</v>
      </c>
      <c r="N92" s="48">
        <v>0</v>
      </c>
      <c r="S92">
        <v>4</v>
      </c>
      <c r="T92">
        <v>0</v>
      </c>
      <c r="U92">
        <v>1</v>
      </c>
      <c r="V92" s="25">
        <v>0</v>
      </c>
      <c r="W92" s="32">
        <v>0</v>
      </c>
    </row>
    <row r="93" spans="1:23" ht="15" x14ac:dyDescent="0.2">
      <c r="A93" s="46">
        <v>4</v>
      </c>
      <c r="B93" s="46">
        <v>1</v>
      </c>
      <c r="C93" s="46">
        <v>1</v>
      </c>
      <c r="D93" s="47">
        <v>535200033</v>
      </c>
      <c r="E93" s="47" t="s">
        <v>143</v>
      </c>
      <c r="F93" s="45" t="s">
        <v>154</v>
      </c>
      <c r="G93" s="59">
        <v>4</v>
      </c>
      <c r="H93" s="24">
        <v>0</v>
      </c>
      <c r="I93" s="24">
        <v>2</v>
      </c>
      <c r="J93" s="24" t="s">
        <v>958</v>
      </c>
      <c r="K93" s="24" t="s">
        <v>247</v>
      </c>
      <c r="L93" s="24" t="s">
        <v>142</v>
      </c>
      <c r="M93" s="24" t="s">
        <v>161</v>
      </c>
      <c r="N93" s="48">
        <v>0</v>
      </c>
      <c r="S93">
        <v>4</v>
      </c>
      <c r="T93">
        <v>0</v>
      </c>
      <c r="U93">
        <v>2</v>
      </c>
      <c r="V93" s="25">
        <v>0</v>
      </c>
      <c r="W93" s="32">
        <v>0</v>
      </c>
    </row>
    <row r="94" spans="1:23" ht="15" x14ac:dyDescent="0.2">
      <c r="A94" s="46">
        <v>4</v>
      </c>
      <c r="B94" s="46">
        <v>1</v>
      </c>
      <c r="C94" s="46">
        <v>1</v>
      </c>
      <c r="D94" s="47">
        <v>825220006</v>
      </c>
      <c r="E94" s="47" t="s">
        <v>143</v>
      </c>
      <c r="F94" s="45" t="s">
        <v>160</v>
      </c>
      <c r="G94" s="59">
        <v>4</v>
      </c>
      <c r="H94" s="24">
        <v>0</v>
      </c>
      <c r="I94" s="24">
        <v>2</v>
      </c>
      <c r="J94" s="24" t="s">
        <v>959</v>
      </c>
      <c r="K94" s="24" t="s">
        <v>248</v>
      </c>
      <c r="L94" s="24" t="s">
        <v>142</v>
      </c>
      <c r="M94" s="24" t="s">
        <v>161</v>
      </c>
      <c r="N94" s="48">
        <v>0</v>
      </c>
      <c r="S94">
        <v>4</v>
      </c>
      <c r="T94">
        <v>0</v>
      </c>
      <c r="U94">
        <v>3</v>
      </c>
      <c r="V94" s="25">
        <v>0</v>
      </c>
      <c r="W94" s="32">
        <v>0</v>
      </c>
    </row>
    <row r="95" spans="1:23" ht="15" x14ac:dyDescent="0.2">
      <c r="A95" s="46">
        <v>4</v>
      </c>
      <c r="B95" s="46">
        <v>1</v>
      </c>
      <c r="C95" s="46">
        <v>1</v>
      </c>
      <c r="D95" s="47">
        <v>825220011</v>
      </c>
      <c r="E95" s="47" t="s">
        <v>143</v>
      </c>
      <c r="F95" s="45" t="s">
        <v>160</v>
      </c>
      <c r="G95" s="59">
        <v>4</v>
      </c>
      <c r="H95" s="24">
        <v>0</v>
      </c>
      <c r="I95" s="24">
        <v>2</v>
      </c>
      <c r="J95" s="24" t="s">
        <v>960</v>
      </c>
      <c r="K95" s="24" t="s">
        <v>249</v>
      </c>
      <c r="L95" s="24" t="s">
        <v>142</v>
      </c>
      <c r="M95" s="24" t="s">
        <v>161</v>
      </c>
      <c r="N95" s="48">
        <v>0</v>
      </c>
      <c r="S95">
        <v>4</v>
      </c>
      <c r="T95">
        <v>0</v>
      </c>
      <c r="U95">
        <v>4</v>
      </c>
      <c r="V95" s="25">
        <v>0</v>
      </c>
      <c r="W95" s="32">
        <v>0</v>
      </c>
    </row>
    <row r="96" spans="1:23" ht="15" x14ac:dyDescent="0.2">
      <c r="A96" s="46">
        <v>4</v>
      </c>
      <c r="B96" s="46">
        <v>1</v>
      </c>
      <c r="C96" s="46">
        <v>1</v>
      </c>
      <c r="D96" s="47">
        <v>825220002</v>
      </c>
      <c r="E96" s="47" t="s">
        <v>142</v>
      </c>
      <c r="F96" s="45" t="s">
        <v>160</v>
      </c>
      <c r="G96" s="59">
        <v>4</v>
      </c>
      <c r="H96" s="24">
        <v>0</v>
      </c>
      <c r="I96" s="24">
        <v>2</v>
      </c>
      <c r="J96" s="24" t="s">
        <v>961</v>
      </c>
      <c r="K96" s="24" t="s">
        <v>250</v>
      </c>
      <c r="L96" s="24" t="s">
        <v>142</v>
      </c>
      <c r="M96" s="24" t="s">
        <v>161</v>
      </c>
      <c r="N96" s="48">
        <v>0</v>
      </c>
      <c r="S96">
        <v>4</v>
      </c>
      <c r="T96">
        <v>0</v>
      </c>
      <c r="U96">
        <v>5</v>
      </c>
      <c r="V96" s="25">
        <v>0</v>
      </c>
      <c r="W96" s="32">
        <v>0</v>
      </c>
    </row>
    <row r="97" spans="1:23" ht="15" x14ac:dyDescent="0.2">
      <c r="A97" s="46">
        <v>4</v>
      </c>
      <c r="B97" s="46">
        <v>1</v>
      </c>
      <c r="C97" s="46">
        <v>1</v>
      </c>
      <c r="D97" s="47">
        <v>825220009</v>
      </c>
      <c r="E97" s="47" t="s">
        <v>142</v>
      </c>
      <c r="F97" s="45" t="s">
        <v>160</v>
      </c>
      <c r="G97" s="59">
        <v>4</v>
      </c>
      <c r="H97" s="24">
        <v>0</v>
      </c>
      <c r="I97" s="24">
        <v>2</v>
      </c>
      <c r="J97" s="24" t="s">
        <v>962</v>
      </c>
      <c r="K97" s="24" t="s">
        <v>251</v>
      </c>
      <c r="L97" s="24" t="s">
        <v>142</v>
      </c>
      <c r="M97" s="24" t="s">
        <v>161</v>
      </c>
      <c r="N97" s="48">
        <v>0</v>
      </c>
      <c r="S97">
        <v>4</v>
      </c>
      <c r="T97">
        <v>0</v>
      </c>
      <c r="U97">
        <v>6</v>
      </c>
      <c r="V97" s="25">
        <v>0</v>
      </c>
      <c r="W97" s="32">
        <v>0</v>
      </c>
    </row>
    <row r="98" spans="1:23" ht="15" x14ac:dyDescent="0.2">
      <c r="A98" s="46">
        <v>5</v>
      </c>
      <c r="B98" s="46">
        <v>1</v>
      </c>
      <c r="C98" s="46">
        <v>1</v>
      </c>
      <c r="D98" s="47">
        <v>535220022</v>
      </c>
      <c r="E98" s="47" t="s">
        <v>142</v>
      </c>
      <c r="F98" s="45" t="s">
        <v>154</v>
      </c>
      <c r="G98" s="59">
        <v>5</v>
      </c>
      <c r="H98" s="24">
        <v>0</v>
      </c>
      <c r="I98" s="24">
        <v>2</v>
      </c>
      <c r="J98" s="24" t="s">
        <v>973</v>
      </c>
      <c r="K98" s="24" t="s">
        <v>262</v>
      </c>
      <c r="L98" s="24" t="s">
        <v>142</v>
      </c>
      <c r="M98" s="24" t="s">
        <v>161</v>
      </c>
      <c r="N98" s="48">
        <v>0</v>
      </c>
      <c r="S98">
        <v>4</v>
      </c>
      <c r="T98">
        <v>1</v>
      </c>
      <c r="U98">
        <v>0</v>
      </c>
      <c r="V98" s="25">
        <v>0</v>
      </c>
      <c r="W98" s="32">
        <v>0</v>
      </c>
    </row>
    <row r="99" spans="1:23" ht="15" x14ac:dyDescent="0.2">
      <c r="A99" s="46">
        <v>5</v>
      </c>
      <c r="B99" s="46">
        <v>1</v>
      </c>
      <c r="C99" s="46">
        <v>1</v>
      </c>
      <c r="D99" s="47">
        <v>535220023</v>
      </c>
      <c r="E99" s="47" t="s">
        <v>142</v>
      </c>
      <c r="F99" s="45" t="s">
        <v>154</v>
      </c>
      <c r="G99" s="59">
        <v>5</v>
      </c>
      <c r="H99" s="24">
        <v>0</v>
      </c>
      <c r="I99" s="24">
        <v>2</v>
      </c>
      <c r="J99" s="24" t="s">
        <v>974</v>
      </c>
      <c r="K99" s="24" t="s">
        <v>263</v>
      </c>
      <c r="L99" s="24" t="s">
        <v>142</v>
      </c>
      <c r="M99" s="24" t="s">
        <v>161</v>
      </c>
      <c r="N99" s="48">
        <v>0</v>
      </c>
      <c r="S99">
        <v>4</v>
      </c>
      <c r="T99">
        <v>1</v>
      </c>
      <c r="U99">
        <v>1</v>
      </c>
      <c r="V99" s="25">
        <v>0</v>
      </c>
      <c r="W99" s="32">
        <v>0</v>
      </c>
    </row>
    <row r="100" spans="1:23" ht="15" x14ac:dyDescent="0.2">
      <c r="A100" s="46">
        <v>5</v>
      </c>
      <c r="B100" s="46">
        <v>1</v>
      </c>
      <c r="C100" s="46">
        <v>1</v>
      </c>
      <c r="D100" s="47">
        <v>535220028</v>
      </c>
      <c r="E100" s="47" t="s">
        <v>142</v>
      </c>
      <c r="F100" s="45" t="s">
        <v>154</v>
      </c>
      <c r="G100" s="59">
        <v>5</v>
      </c>
      <c r="H100" s="24">
        <v>0</v>
      </c>
      <c r="I100" s="24">
        <v>2</v>
      </c>
      <c r="J100" s="24" t="s">
        <v>975</v>
      </c>
      <c r="K100" s="24" t="s">
        <v>264</v>
      </c>
      <c r="L100" s="24" t="s">
        <v>142</v>
      </c>
      <c r="M100" s="24" t="s">
        <v>161</v>
      </c>
      <c r="N100" s="48">
        <v>0</v>
      </c>
      <c r="S100">
        <v>4</v>
      </c>
      <c r="T100">
        <v>1</v>
      </c>
      <c r="U100">
        <v>2</v>
      </c>
      <c r="V100" s="25">
        <v>0</v>
      </c>
      <c r="W100" s="32">
        <v>0</v>
      </c>
    </row>
    <row r="101" spans="1:23" ht="15" x14ac:dyDescent="0.2">
      <c r="A101" s="46">
        <v>5</v>
      </c>
      <c r="B101" s="46">
        <v>1</v>
      </c>
      <c r="C101" s="46">
        <v>1</v>
      </c>
      <c r="D101" s="47">
        <v>535220031</v>
      </c>
      <c r="E101" s="47" t="s">
        <v>142</v>
      </c>
      <c r="F101" s="45" t="s">
        <v>154</v>
      </c>
      <c r="G101" s="59">
        <v>5</v>
      </c>
      <c r="H101" s="24">
        <v>0</v>
      </c>
      <c r="I101" s="24">
        <v>2</v>
      </c>
      <c r="J101" s="24" t="s">
        <v>976</v>
      </c>
      <c r="K101" s="24" t="s">
        <v>265</v>
      </c>
      <c r="L101" s="24" t="s">
        <v>142</v>
      </c>
      <c r="M101" s="24" t="s">
        <v>161</v>
      </c>
      <c r="N101" s="48">
        <v>0</v>
      </c>
      <c r="S101">
        <v>4</v>
      </c>
      <c r="T101">
        <v>1</v>
      </c>
      <c r="U101">
        <v>3</v>
      </c>
      <c r="V101" s="25">
        <v>0</v>
      </c>
      <c r="W101" s="32">
        <v>0</v>
      </c>
    </row>
    <row r="102" spans="1:23" ht="15" x14ac:dyDescent="0.2">
      <c r="A102" s="46">
        <v>5</v>
      </c>
      <c r="B102" s="46">
        <v>1</v>
      </c>
      <c r="C102" s="46">
        <v>1</v>
      </c>
      <c r="D102" s="49">
        <v>535220060</v>
      </c>
      <c r="E102" s="47" t="s">
        <v>142</v>
      </c>
      <c r="F102" s="45" t="s">
        <v>154</v>
      </c>
      <c r="G102" s="59">
        <v>5</v>
      </c>
      <c r="H102" s="24">
        <v>0</v>
      </c>
      <c r="I102" s="24">
        <v>2</v>
      </c>
      <c r="J102" s="24" t="s">
        <v>977</v>
      </c>
      <c r="K102" s="24" t="s">
        <v>266</v>
      </c>
      <c r="L102" s="24" t="s">
        <v>142</v>
      </c>
      <c r="M102" s="24" t="s">
        <v>161</v>
      </c>
      <c r="N102" s="51">
        <v>0</v>
      </c>
      <c r="S102">
        <v>4</v>
      </c>
      <c r="T102">
        <v>1</v>
      </c>
      <c r="U102">
        <v>4</v>
      </c>
      <c r="V102" s="25">
        <v>0</v>
      </c>
      <c r="W102" s="32">
        <v>0</v>
      </c>
    </row>
    <row r="103" spans="1:23" ht="15" x14ac:dyDescent="0.2">
      <c r="A103" s="46">
        <v>0</v>
      </c>
      <c r="B103" s="46">
        <v>2</v>
      </c>
      <c r="C103" s="46">
        <v>0</v>
      </c>
      <c r="D103" s="47">
        <v>825220162</v>
      </c>
      <c r="E103" s="47" t="s">
        <v>144</v>
      </c>
      <c r="F103" s="45" t="s">
        <v>160</v>
      </c>
      <c r="G103" s="59">
        <v>6</v>
      </c>
      <c r="H103" s="24">
        <v>0</v>
      </c>
      <c r="I103" s="24">
        <v>2</v>
      </c>
      <c r="J103" s="24" t="s">
        <v>988</v>
      </c>
      <c r="K103" s="24" t="s">
        <v>277</v>
      </c>
      <c r="L103" s="24" t="s">
        <v>143</v>
      </c>
      <c r="M103" s="24" t="s">
        <v>161</v>
      </c>
      <c r="N103" s="52">
        <v>0</v>
      </c>
      <c r="S103">
        <v>4</v>
      </c>
      <c r="T103">
        <v>1</v>
      </c>
      <c r="U103">
        <v>5</v>
      </c>
      <c r="V103" s="25">
        <v>0</v>
      </c>
      <c r="W103" s="32">
        <v>0</v>
      </c>
    </row>
    <row r="104" spans="1:23" ht="15" x14ac:dyDescent="0.2">
      <c r="A104" s="46">
        <v>0</v>
      </c>
      <c r="B104" s="46">
        <v>2</v>
      </c>
      <c r="C104" s="46">
        <v>0</v>
      </c>
      <c r="D104" s="47">
        <v>825220183</v>
      </c>
      <c r="E104" s="47" t="s">
        <v>144</v>
      </c>
      <c r="F104" s="45" t="s">
        <v>160</v>
      </c>
      <c r="G104" s="59">
        <v>6</v>
      </c>
      <c r="H104" s="24">
        <v>0</v>
      </c>
      <c r="I104" s="24">
        <v>2</v>
      </c>
      <c r="J104" s="24" t="s">
        <v>989</v>
      </c>
      <c r="K104" s="24" t="s">
        <v>278</v>
      </c>
      <c r="L104" s="24" t="s">
        <v>143</v>
      </c>
      <c r="M104" s="24" t="s">
        <v>161</v>
      </c>
      <c r="N104" s="48">
        <v>0</v>
      </c>
      <c r="S104">
        <v>4</v>
      </c>
      <c r="T104">
        <v>1</v>
      </c>
      <c r="U104">
        <v>6</v>
      </c>
      <c r="V104" s="25">
        <v>0</v>
      </c>
      <c r="W104" s="32">
        <v>0</v>
      </c>
    </row>
    <row r="105" spans="1:23" ht="15" x14ac:dyDescent="0.2">
      <c r="A105" s="46">
        <v>0</v>
      </c>
      <c r="B105" s="46">
        <v>2</v>
      </c>
      <c r="C105" s="46">
        <v>0</v>
      </c>
      <c r="D105" s="47">
        <v>535220079</v>
      </c>
      <c r="E105" s="47" t="s">
        <v>144</v>
      </c>
      <c r="F105" s="45" t="s">
        <v>168</v>
      </c>
      <c r="G105" s="59">
        <v>6</v>
      </c>
      <c r="H105" s="24">
        <v>0</v>
      </c>
      <c r="I105" s="24">
        <v>2</v>
      </c>
      <c r="J105" s="24" t="s">
        <v>990</v>
      </c>
      <c r="K105" s="24" t="s">
        <v>279</v>
      </c>
      <c r="L105" s="24" t="s">
        <v>143</v>
      </c>
      <c r="M105" s="24" t="s">
        <v>161</v>
      </c>
      <c r="N105" s="48">
        <v>0</v>
      </c>
      <c r="S105">
        <v>4</v>
      </c>
      <c r="T105">
        <v>2</v>
      </c>
      <c r="U105">
        <v>0</v>
      </c>
      <c r="V105" s="25">
        <v>0</v>
      </c>
      <c r="W105" s="32">
        <v>0</v>
      </c>
    </row>
    <row r="106" spans="1:23" ht="15" x14ac:dyDescent="0.2">
      <c r="A106" s="46">
        <v>0</v>
      </c>
      <c r="B106" s="46">
        <v>2</v>
      </c>
      <c r="C106" s="46">
        <v>0</v>
      </c>
      <c r="D106" s="47">
        <v>535220016</v>
      </c>
      <c r="E106" s="47" t="s">
        <v>142</v>
      </c>
      <c r="F106" s="45" t="s">
        <v>169</v>
      </c>
      <c r="G106" s="59">
        <v>6</v>
      </c>
      <c r="H106" s="24">
        <v>0</v>
      </c>
      <c r="I106" s="24">
        <v>2</v>
      </c>
      <c r="J106" s="24" t="s">
        <v>991</v>
      </c>
      <c r="K106" s="24" t="s">
        <v>280</v>
      </c>
      <c r="L106" s="24" t="s">
        <v>143</v>
      </c>
      <c r="M106" s="24" t="s">
        <v>161</v>
      </c>
      <c r="N106" s="48">
        <v>1</v>
      </c>
      <c r="S106">
        <v>4</v>
      </c>
      <c r="T106">
        <v>2</v>
      </c>
      <c r="U106">
        <v>1</v>
      </c>
      <c r="V106" s="25">
        <v>0</v>
      </c>
      <c r="W106" s="32">
        <v>0</v>
      </c>
    </row>
    <row r="107" spans="1:23" ht="15" x14ac:dyDescent="0.2">
      <c r="A107" s="46">
        <v>0</v>
      </c>
      <c r="B107" s="46">
        <v>2</v>
      </c>
      <c r="C107" s="46">
        <v>0</v>
      </c>
      <c r="D107" s="47">
        <v>535220018</v>
      </c>
      <c r="E107" s="47" t="s">
        <v>142</v>
      </c>
      <c r="F107" s="45" t="s">
        <v>169</v>
      </c>
      <c r="G107" s="59">
        <v>6</v>
      </c>
      <c r="H107" s="24">
        <v>0</v>
      </c>
      <c r="I107" s="24">
        <v>2</v>
      </c>
      <c r="J107" s="24" t="s">
        <v>992</v>
      </c>
      <c r="K107" s="24" t="s">
        <v>281</v>
      </c>
      <c r="L107" s="24" t="s">
        <v>143</v>
      </c>
      <c r="M107" s="24" t="s">
        <v>161</v>
      </c>
      <c r="N107" s="48">
        <v>1</v>
      </c>
      <c r="S107">
        <v>4</v>
      </c>
      <c r="T107">
        <v>2</v>
      </c>
      <c r="U107">
        <v>2</v>
      </c>
      <c r="V107" s="25">
        <v>0</v>
      </c>
      <c r="W107" s="32">
        <v>0</v>
      </c>
    </row>
    <row r="108" spans="1:23" ht="15" x14ac:dyDescent="0.2">
      <c r="A108" s="46">
        <v>4</v>
      </c>
      <c r="B108" s="46">
        <v>2</v>
      </c>
      <c r="C108" s="46">
        <v>0</v>
      </c>
      <c r="D108" s="47">
        <v>535220001</v>
      </c>
      <c r="E108" s="47" t="s">
        <v>142</v>
      </c>
      <c r="F108" s="45" t="s">
        <v>166</v>
      </c>
      <c r="G108" s="59">
        <v>0</v>
      </c>
      <c r="H108" s="24">
        <v>1</v>
      </c>
      <c r="I108" s="24">
        <v>0</v>
      </c>
      <c r="J108" s="24" t="s">
        <v>993</v>
      </c>
      <c r="K108" s="24" t="s">
        <v>282</v>
      </c>
      <c r="L108" s="24" t="s">
        <v>142</v>
      </c>
      <c r="M108" s="24" t="s">
        <v>162</v>
      </c>
      <c r="N108" s="48">
        <v>999</v>
      </c>
      <c r="S108">
        <v>4</v>
      </c>
      <c r="T108">
        <v>2</v>
      </c>
      <c r="U108">
        <v>3</v>
      </c>
      <c r="V108" s="25">
        <v>0</v>
      </c>
      <c r="W108" s="32">
        <v>0</v>
      </c>
    </row>
    <row r="109" spans="1:23" ht="15" x14ac:dyDescent="0.2">
      <c r="A109" s="46">
        <v>4</v>
      </c>
      <c r="B109" s="46">
        <v>2</v>
      </c>
      <c r="C109" s="46">
        <v>0</v>
      </c>
      <c r="D109" s="47">
        <v>535220010</v>
      </c>
      <c r="E109" s="47" t="s">
        <v>142</v>
      </c>
      <c r="F109" s="45" t="s">
        <v>166</v>
      </c>
      <c r="G109" s="59">
        <v>0</v>
      </c>
      <c r="H109" s="24">
        <v>1</v>
      </c>
      <c r="I109" s="24">
        <v>0</v>
      </c>
      <c r="J109" s="24" t="s">
        <v>994</v>
      </c>
      <c r="K109" s="24" t="s">
        <v>283</v>
      </c>
      <c r="L109" s="24" t="s">
        <v>142</v>
      </c>
      <c r="M109" s="24" t="s">
        <v>162</v>
      </c>
      <c r="N109" s="48">
        <v>999</v>
      </c>
      <c r="S109">
        <v>4</v>
      </c>
      <c r="T109">
        <v>2</v>
      </c>
      <c r="U109">
        <v>4</v>
      </c>
      <c r="V109" s="25">
        <v>0</v>
      </c>
      <c r="W109" s="32">
        <v>0</v>
      </c>
    </row>
    <row r="110" spans="1:23" ht="15" x14ac:dyDescent="0.2">
      <c r="A110" s="46">
        <v>4</v>
      </c>
      <c r="B110" s="46">
        <v>2</v>
      </c>
      <c r="C110" s="46">
        <v>0</v>
      </c>
      <c r="D110" s="47">
        <v>535220017</v>
      </c>
      <c r="E110" s="47" t="s">
        <v>142</v>
      </c>
      <c r="F110" s="45" t="s">
        <v>166</v>
      </c>
      <c r="G110" s="59">
        <v>0</v>
      </c>
      <c r="H110" s="24">
        <v>1</v>
      </c>
      <c r="I110" s="24">
        <v>0</v>
      </c>
      <c r="J110" s="24" t="s">
        <v>995</v>
      </c>
      <c r="K110" s="24" t="s">
        <v>284</v>
      </c>
      <c r="L110" s="24" t="s">
        <v>143</v>
      </c>
      <c r="M110" s="24" t="s">
        <v>162</v>
      </c>
      <c r="N110" s="48">
        <v>999</v>
      </c>
      <c r="S110">
        <v>4</v>
      </c>
      <c r="T110">
        <v>2</v>
      </c>
      <c r="U110">
        <v>5</v>
      </c>
      <c r="V110" s="25">
        <v>0</v>
      </c>
      <c r="W110" s="32">
        <v>0</v>
      </c>
    </row>
    <row r="111" spans="1:23" ht="15" x14ac:dyDescent="0.2">
      <c r="A111" s="46">
        <v>4</v>
      </c>
      <c r="B111" s="46">
        <v>2</v>
      </c>
      <c r="C111" s="46">
        <v>0</v>
      </c>
      <c r="D111" s="47">
        <v>535220019</v>
      </c>
      <c r="E111" s="47" t="s">
        <v>142</v>
      </c>
      <c r="F111" s="45" t="s">
        <v>166</v>
      </c>
      <c r="G111" s="59">
        <v>0</v>
      </c>
      <c r="H111" s="24">
        <v>1</v>
      </c>
      <c r="I111" s="24">
        <v>0</v>
      </c>
      <c r="J111" s="24" t="s">
        <v>996</v>
      </c>
      <c r="K111" s="24" t="s">
        <v>285</v>
      </c>
      <c r="L111" s="24" t="s">
        <v>143</v>
      </c>
      <c r="M111" s="24" t="s">
        <v>162</v>
      </c>
      <c r="N111" s="48">
        <v>999</v>
      </c>
      <c r="S111">
        <v>4</v>
      </c>
      <c r="T111">
        <v>2</v>
      </c>
      <c r="U111">
        <v>6</v>
      </c>
      <c r="V111" s="25">
        <v>0</v>
      </c>
      <c r="W111" s="32">
        <v>0</v>
      </c>
    </row>
    <row r="112" spans="1:23" ht="15" x14ac:dyDescent="0.2">
      <c r="A112" s="46">
        <v>4</v>
      </c>
      <c r="B112" s="46">
        <v>2</v>
      </c>
      <c r="C112" s="46">
        <v>0</v>
      </c>
      <c r="D112" s="47">
        <v>535220262</v>
      </c>
      <c r="E112" s="47" t="s">
        <v>142</v>
      </c>
      <c r="F112" s="45" t="s">
        <v>166</v>
      </c>
      <c r="G112" s="59">
        <v>0</v>
      </c>
      <c r="H112" s="24">
        <v>1</v>
      </c>
      <c r="I112" s="24">
        <v>0</v>
      </c>
      <c r="J112" s="24" t="s">
        <v>997</v>
      </c>
      <c r="K112" s="24" t="s">
        <v>286</v>
      </c>
      <c r="L112" s="24" t="s">
        <v>143</v>
      </c>
      <c r="M112" s="24" t="s">
        <v>162</v>
      </c>
      <c r="N112" s="48">
        <v>999</v>
      </c>
      <c r="V112" s="24"/>
      <c r="W112" s="31"/>
    </row>
    <row r="113" spans="1:23" ht="15" x14ac:dyDescent="0.2">
      <c r="A113" s="46">
        <v>5</v>
      </c>
      <c r="B113" s="46">
        <v>2</v>
      </c>
      <c r="C113" s="46">
        <v>0</v>
      </c>
      <c r="D113" s="47">
        <v>825220138</v>
      </c>
      <c r="E113" s="47" t="s">
        <v>142</v>
      </c>
      <c r="F113" s="45" t="s">
        <v>155</v>
      </c>
      <c r="G113" s="59">
        <v>1</v>
      </c>
      <c r="H113" s="24">
        <v>1</v>
      </c>
      <c r="I113" s="24">
        <v>0</v>
      </c>
      <c r="J113" s="24" t="s">
        <v>1008</v>
      </c>
      <c r="K113" s="24" t="s">
        <v>297</v>
      </c>
      <c r="L113" s="24" t="s">
        <v>143</v>
      </c>
      <c r="M113" s="24" t="s">
        <v>162</v>
      </c>
      <c r="N113" s="48">
        <v>999</v>
      </c>
      <c r="S113">
        <v>5</v>
      </c>
      <c r="T113">
        <v>0</v>
      </c>
      <c r="U113">
        <v>0</v>
      </c>
      <c r="V113" s="25">
        <v>0</v>
      </c>
      <c r="W113" s="32">
        <v>5</v>
      </c>
    </row>
    <row r="114" spans="1:23" ht="15" x14ac:dyDescent="0.2">
      <c r="A114" s="46">
        <v>5</v>
      </c>
      <c r="B114" s="46">
        <v>2</v>
      </c>
      <c r="C114" s="46">
        <v>0</v>
      </c>
      <c r="D114" s="47">
        <v>825220139</v>
      </c>
      <c r="E114" s="47" t="s">
        <v>142</v>
      </c>
      <c r="F114" s="45" t="s">
        <v>155</v>
      </c>
      <c r="G114" s="59">
        <v>1</v>
      </c>
      <c r="H114" s="24">
        <v>1</v>
      </c>
      <c r="I114" s="24">
        <v>0</v>
      </c>
      <c r="J114" s="24" t="s">
        <v>1009</v>
      </c>
      <c r="K114" s="24" t="s">
        <v>298</v>
      </c>
      <c r="L114" s="24" t="s">
        <v>143</v>
      </c>
      <c r="M114" s="24" t="s">
        <v>162</v>
      </c>
      <c r="N114" s="48">
        <v>999</v>
      </c>
      <c r="S114">
        <v>5</v>
      </c>
      <c r="T114">
        <v>0</v>
      </c>
      <c r="U114">
        <v>1</v>
      </c>
      <c r="V114" s="25">
        <v>0</v>
      </c>
      <c r="W114" s="32">
        <v>5</v>
      </c>
    </row>
    <row r="115" spans="1:23" ht="15" x14ac:dyDescent="0.2">
      <c r="A115" s="46">
        <v>5</v>
      </c>
      <c r="B115" s="46">
        <v>2</v>
      </c>
      <c r="C115" s="46">
        <v>0</v>
      </c>
      <c r="D115" s="47">
        <v>825220165</v>
      </c>
      <c r="E115" s="47" t="s">
        <v>142</v>
      </c>
      <c r="F115" s="45" t="s">
        <v>155</v>
      </c>
      <c r="G115" s="59">
        <v>1</v>
      </c>
      <c r="H115" s="24">
        <v>1</v>
      </c>
      <c r="I115" s="24">
        <v>0</v>
      </c>
      <c r="J115" s="24" t="s">
        <v>1010</v>
      </c>
      <c r="K115" s="24" t="s">
        <v>299</v>
      </c>
      <c r="L115" s="24" t="s">
        <v>143</v>
      </c>
      <c r="M115" s="24" t="s">
        <v>162</v>
      </c>
      <c r="N115" s="48">
        <v>999</v>
      </c>
      <c r="S115">
        <v>5</v>
      </c>
      <c r="T115">
        <v>0</v>
      </c>
      <c r="U115">
        <v>2</v>
      </c>
      <c r="V115" s="25">
        <v>0</v>
      </c>
      <c r="W115" s="32">
        <v>5</v>
      </c>
    </row>
    <row r="116" spans="1:23" ht="15" x14ac:dyDescent="0.2">
      <c r="A116" s="46">
        <v>5</v>
      </c>
      <c r="B116" s="46">
        <v>2</v>
      </c>
      <c r="C116" s="46">
        <v>0</v>
      </c>
      <c r="D116" s="47">
        <v>535220140</v>
      </c>
      <c r="E116" s="47" t="s">
        <v>142</v>
      </c>
      <c r="F116" s="45" t="s">
        <v>167</v>
      </c>
      <c r="G116" s="59">
        <v>1</v>
      </c>
      <c r="H116" s="24">
        <v>1</v>
      </c>
      <c r="I116" s="24">
        <v>0</v>
      </c>
      <c r="J116" s="24" t="s">
        <v>1011</v>
      </c>
      <c r="K116" s="24" t="s">
        <v>300</v>
      </c>
      <c r="L116" s="24" t="s">
        <v>143</v>
      </c>
      <c r="M116" s="24" t="s">
        <v>162</v>
      </c>
      <c r="N116" s="48">
        <v>999</v>
      </c>
      <c r="S116">
        <v>5</v>
      </c>
      <c r="T116">
        <v>0</v>
      </c>
      <c r="U116">
        <v>3</v>
      </c>
      <c r="V116" s="25">
        <v>0</v>
      </c>
      <c r="W116" s="32">
        <v>1</v>
      </c>
    </row>
    <row r="117" spans="1:23" ht="15" x14ac:dyDescent="0.2">
      <c r="A117" s="46">
        <v>5</v>
      </c>
      <c r="B117" s="46">
        <v>2</v>
      </c>
      <c r="C117" s="46">
        <v>0</v>
      </c>
      <c r="D117" s="49">
        <v>535220148</v>
      </c>
      <c r="E117" s="47" t="s">
        <v>142</v>
      </c>
      <c r="F117" s="45" t="s">
        <v>167</v>
      </c>
      <c r="G117" s="59">
        <v>1</v>
      </c>
      <c r="H117" s="24">
        <v>1</v>
      </c>
      <c r="I117" s="24">
        <v>0</v>
      </c>
      <c r="J117" s="24" t="s">
        <v>1012</v>
      </c>
      <c r="K117" s="24" t="s">
        <v>301</v>
      </c>
      <c r="L117" s="24" t="s">
        <v>143</v>
      </c>
      <c r="M117" s="24" t="s">
        <v>162</v>
      </c>
      <c r="N117" s="48">
        <v>999</v>
      </c>
      <c r="S117">
        <v>5</v>
      </c>
      <c r="T117">
        <v>0</v>
      </c>
      <c r="U117">
        <v>4</v>
      </c>
      <c r="V117" s="25">
        <v>0</v>
      </c>
      <c r="W117" s="32">
        <v>0</v>
      </c>
    </row>
    <row r="118" spans="1:23" ht="15" x14ac:dyDescent="0.2">
      <c r="A118" s="46">
        <v>6</v>
      </c>
      <c r="B118" s="46">
        <v>2</v>
      </c>
      <c r="C118" s="46">
        <v>0</v>
      </c>
      <c r="D118" s="47">
        <v>535220176</v>
      </c>
      <c r="E118" s="47" t="s">
        <v>142</v>
      </c>
      <c r="F118" s="45" t="s">
        <v>167</v>
      </c>
      <c r="G118" s="59">
        <v>2</v>
      </c>
      <c r="H118" s="24">
        <v>1</v>
      </c>
      <c r="I118" s="24">
        <v>0</v>
      </c>
      <c r="J118" s="24" t="s">
        <v>1023</v>
      </c>
      <c r="K118" s="24" t="s">
        <v>312</v>
      </c>
      <c r="L118" s="24" t="s">
        <v>143</v>
      </c>
      <c r="M118" s="24" t="s">
        <v>162</v>
      </c>
      <c r="N118" s="48">
        <v>999</v>
      </c>
      <c r="S118">
        <v>5</v>
      </c>
      <c r="T118">
        <v>0</v>
      </c>
      <c r="U118">
        <v>5</v>
      </c>
      <c r="V118" s="25">
        <v>0</v>
      </c>
      <c r="W118" s="32">
        <v>0</v>
      </c>
    </row>
    <row r="119" spans="1:23" ht="15" x14ac:dyDescent="0.2">
      <c r="A119" s="46">
        <v>6</v>
      </c>
      <c r="B119" s="46">
        <v>2</v>
      </c>
      <c r="C119" s="46">
        <v>0</v>
      </c>
      <c r="D119" s="47">
        <v>535220182</v>
      </c>
      <c r="E119" s="47" t="s">
        <v>142</v>
      </c>
      <c r="F119" s="45" t="s">
        <v>167</v>
      </c>
      <c r="G119" s="59">
        <v>2</v>
      </c>
      <c r="H119" s="24">
        <v>1</v>
      </c>
      <c r="I119" s="24">
        <v>0</v>
      </c>
      <c r="J119" s="24" t="s">
        <v>1024</v>
      </c>
      <c r="K119" s="24" t="s">
        <v>313</v>
      </c>
      <c r="L119" s="24" t="s">
        <v>143</v>
      </c>
      <c r="M119" s="24" t="s">
        <v>162</v>
      </c>
      <c r="N119" s="48">
        <v>999</v>
      </c>
      <c r="S119">
        <v>5</v>
      </c>
      <c r="T119">
        <v>0</v>
      </c>
      <c r="U119">
        <v>6</v>
      </c>
      <c r="V119" s="25">
        <v>0</v>
      </c>
      <c r="W119" s="32">
        <v>0</v>
      </c>
    </row>
    <row r="120" spans="1:23" ht="15" x14ac:dyDescent="0.2">
      <c r="A120" s="46">
        <v>6</v>
      </c>
      <c r="B120" s="46">
        <v>2</v>
      </c>
      <c r="C120" s="46">
        <v>0</v>
      </c>
      <c r="D120" s="47">
        <v>535220183</v>
      </c>
      <c r="E120" s="47" t="s">
        <v>142</v>
      </c>
      <c r="F120" s="45" t="s">
        <v>167</v>
      </c>
      <c r="G120" s="59">
        <v>2</v>
      </c>
      <c r="H120" s="24">
        <v>1</v>
      </c>
      <c r="I120" s="24">
        <v>0</v>
      </c>
      <c r="J120" s="24" t="s">
        <v>1025</v>
      </c>
      <c r="K120" s="24" t="s">
        <v>314</v>
      </c>
      <c r="L120" s="24" t="s">
        <v>143</v>
      </c>
      <c r="M120" s="24" t="s">
        <v>162</v>
      </c>
      <c r="N120" s="48">
        <v>999</v>
      </c>
      <c r="S120">
        <v>5</v>
      </c>
      <c r="T120">
        <v>1</v>
      </c>
      <c r="U120">
        <v>0</v>
      </c>
      <c r="V120" s="25">
        <v>0</v>
      </c>
      <c r="W120" s="32">
        <v>5</v>
      </c>
    </row>
    <row r="121" spans="1:23" ht="15" x14ac:dyDescent="0.2">
      <c r="A121" s="46">
        <v>6</v>
      </c>
      <c r="B121" s="46">
        <v>2</v>
      </c>
      <c r="C121" s="46">
        <v>0</v>
      </c>
      <c r="D121" s="47">
        <v>535220189</v>
      </c>
      <c r="E121" s="47" t="s">
        <v>142</v>
      </c>
      <c r="F121" s="45" t="s">
        <v>167</v>
      </c>
      <c r="G121" s="59">
        <v>2</v>
      </c>
      <c r="H121" s="24">
        <v>1</v>
      </c>
      <c r="I121" s="24">
        <v>0</v>
      </c>
      <c r="J121" s="24" t="s">
        <v>1026</v>
      </c>
      <c r="K121" s="24" t="s">
        <v>315</v>
      </c>
      <c r="L121" s="24" t="s">
        <v>143</v>
      </c>
      <c r="M121" s="24" t="s">
        <v>162</v>
      </c>
      <c r="N121" s="48">
        <v>999</v>
      </c>
      <c r="S121">
        <v>5</v>
      </c>
      <c r="T121">
        <v>1</v>
      </c>
      <c r="U121">
        <v>1</v>
      </c>
      <c r="V121" s="25">
        <v>0</v>
      </c>
      <c r="W121" s="32">
        <v>5</v>
      </c>
    </row>
    <row r="122" spans="1:23" ht="15" x14ac:dyDescent="0.2">
      <c r="A122" s="46">
        <v>6</v>
      </c>
      <c r="B122" s="46">
        <v>2</v>
      </c>
      <c r="C122" s="46">
        <v>0</v>
      </c>
      <c r="D122" s="47">
        <v>535220259</v>
      </c>
      <c r="E122" s="47" t="s">
        <v>142</v>
      </c>
      <c r="F122" s="45" t="s">
        <v>167</v>
      </c>
      <c r="G122" s="59">
        <v>2</v>
      </c>
      <c r="H122" s="24">
        <v>1</v>
      </c>
      <c r="I122" s="24">
        <v>0</v>
      </c>
      <c r="J122" s="24" t="s">
        <v>1027</v>
      </c>
      <c r="K122" s="24" t="s">
        <v>316</v>
      </c>
      <c r="L122" s="24" t="s">
        <v>143</v>
      </c>
      <c r="M122" s="24" t="s">
        <v>162</v>
      </c>
      <c r="N122" s="48">
        <v>999</v>
      </c>
      <c r="S122">
        <v>5</v>
      </c>
      <c r="T122">
        <v>1</v>
      </c>
      <c r="U122">
        <v>2</v>
      </c>
      <c r="V122" s="25">
        <v>0</v>
      </c>
      <c r="W122" s="32">
        <v>1</v>
      </c>
    </row>
    <row r="123" spans="1:23" ht="15" x14ac:dyDescent="0.2">
      <c r="A123" s="46">
        <v>0</v>
      </c>
      <c r="B123" s="46">
        <v>2</v>
      </c>
      <c r="C123" s="46">
        <v>1</v>
      </c>
      <c r="D123" s="47">
        <v>535220152</v>
      </c>
      <c r="E123" s="47" t="s">
        <v>142</v>
      </c>
      <c r="F123" s="45" t="s">
        <v>164</v>
      </c>
      <c r="G123" s="59">
        <v>3</v>
      </c>
      <c r="H123" s="24">
        <v>1</v>
      </c>
      <c r="I123" s="24">
        <v>0</v>
      </c>
      <c r="J123" s="24" t="s">
        <v>1038</v>
      </c>
      <c r="K123" s="24" t="s">
        <v>327</v>
      </c>
      <c r="L123" s="24" t="s">
        <v>143</v>
      </c>
      <c r="M123" s="24" t="s">
        <v>162</v>
      </c>
      <c r="N123" s="48">
        <v>1</v>
      </c>
      <c r="S123">
        <v>5</v>
      </c>
      <c r="T123">
        <v>1</v>
      </c>
      <c r="U123">
        <v>3</v>
      </c>
      <c r="V123" s="25">
        <v>0</v>
      </c>
      <c r="W123" s="32">
        <v>0</v>
      </c>
    </row>
    <row r="124" spans="1:23" ht="15" x14ac:dyDescent="0.2">
      <c r="A124" s="46">
        <v>0</v>
      </c>
      <c r="B124" s="46">
        <v>2</v>
      </c>
      <c r="C124" s="46">
        <v>1</v>
      </c>
      <c r="D124" s="47">
        <v>535220154</v>
      </c>
      <c r="E124" s="47" t="s">
        <v>142</v>
      </c>
      <c r="F124" s="45" t="s">
        <v>164</v>
      </c>
      <c r="G124" s="59">
        <v>3</v>
      </c>
      <c r="H124" s="24">
        <v>1</v>
      </c>
      <c r="I124" s="24">
        <v>0</v>
      </c>
      <c r="J124" s="24" t="s">
        <v>1039</v>
      </c>
      <c r="K124" s="24" t="s">
        <v>328</v>
      </c>
      <c r="L124" s="24" t="s">
        <v>142</v>
      </c>
      <c r="M124" s="24" t="s">
        <v>164</v>
      </c>
      <c r="N124" s="48">
        <v>1</v>
      </c>
      <c r="S124">
        <v>5</v>
      </c>
      <c r="T124">
        <v>1</v>
      </c>
      <c r="U124">
        <v>4</v>
      </c>
      <c r="V124" s="25">
        <v>0</v>
      </c>
      <c r="W124" s="32">
        <v>0</v>
      </c>
    </row>
    <row r="125" spans="1:23" ht="15" x14ac:dyDescent="0.2">
      <c r="A125" s="46">
        <v>0</v>
      </c>
      <c r="B125" s="46">
        <v>2</v>
      </c>
      <c r="C125" s="46">
        <v>1</v>
      </c>
      <c r="D125" s="47">
        <v>535220191</v>
      </c>
      <c r="E125" s="47" t="s">
        <v>142</v>
      </c>
      <c r="F125" s="45" t="s">
        <v>164</v>
      </c>
      <c r="G125" s="59">
        <v>3</v>
      </c>
      <c r="H125" s="24">
        <v>1</v>
      </c>
      <c r="I125" s="24">
        <v>0</v>
      </c>
      <c r="J125" s="24" t="s">
        <v>1040</v>
      </c>
      <c r="K125" s="24" t="s">
        <v>329</v>
      </c>
      <c r="L125" s="24" t="s">
        <v>142</v>
      </c>
      <c r="M125" s="24" t="s">
        <v>164</v>
      </c>
      <c r="N125" s="48">
        <v>1</v>
      </c>
      <c r="S125">
        <v>5</v>
      </c>
      <c r="T125">
        <v>1</v>
      </c>
      <c r="U125">
        <v>5</v>
      </c>
      <c r="V125" s="25">
        <v>0</v>
      </c>
      <c r="W125" s="32">
        <v>0</v>
      </c>
    </row>
    <row r="126" spans="1:23" ht="15" x14ac:dyDescent="0.2">
      <c r="A126" s="46">
        <v>0</v>
      </c>
      <c r="B126" s="46">
        <v>2</v>
      </c>
      <c r="C126" s="46">
        <v>1</v>
      </c>
      <c r="D126" s="47">
        <v>535220206</v>
      </c>
      <c r="E126" s="47" t="s">
        <v>142</v>
      </c>
      <c r="F126" s="45" t="s">
        <v>164</v>
      </c>
      <c r="G126" s="59">
        <v>3</v>
      </c>
      <c r="H126" s="24">
        <v>1</v>
      </c>
      <c r="I126" s="24">
        <v>0</v>
      </c>
      <c r="J126" s="24" t="s">
        <v>1041</v>
      </c>
      <c r="K126" s="24" t="s">
        <v>330</v>
      </c>
      <c r="L126" s="24" t="s">
        <v>142</v>
      </c>
      <c r="M126" s="24" t="s">
        <v>164</v>
      </c>
      <c r="N126" s="48">
        <v>1</v>
      </c>
      <c r="S126">
        <v>5</v>
      </c>
      <c r="T126">
        <v>1</v>
      </c>
      <c r="U126">
        <v>6</v>
      </c>
      <c r="V126" s="25">
        <v>0</v>
      </c>
      <c r="W126" s="32">
        <v>0</v>
      </c>
    </row>
    <row r="127" spans="1:23" ht="15" x14ac:dyDescent="0.2">
      <c r="A127" s="46">
        <v>0</v>
      </c>
      <c r="B127" s="46">
        <v>2</v>
      </c>
      <c r="C127" s="46">
        <v>1</v>
      </c>
      <c r="D127" s="47">
        <v>535220210</v>
      </c>
      <c r="E127" s="47" t="s">
        <v>142</v>
      </c>
      <c r="F127" s="45" t="s">
        <v>164</v>
      </c>
      <c r="G127" s="59">
        <v>3</v>
      </c>
      <c r="H127" s="24">
        <v>1</v>
      </c>
      <c r="I127" s="24">
        <v>0</v>
      </c>
      <c r="J127" s="24" t="s">
        <v>1042</v>
      </c>
      <c r="K127" s="24" t="s">
        <v>331</v>
      </c>
      <c r="L127" s="24" t="s">
        <v>142</v>
      </c>
      <c r="M127" s="24" t="s">
        <v>164</v>
      </c>
      <c r="N127" s="48">
        <v>1</v>
      </c>
      <c r="S127">
        <v>5</v>
      </c>
      <c r="T127">
        <v>2</v>
      </c>
      <c r="U127">
        <v>0</v>
      </c>
      <c r="V127" s="25">
        <v>0</v>
      </c>
      <c r="W127" s="32">
        <v>0</v>
      </c>
    </row>
    <row r="128" spans="1:23" ht="15" x14ac:dyDescent="0.2">
      <c r="A128" s="46">
        <v>1</v>
      </c>
      <c r="B128" s="46">
        <v>2</v>
      </c>
      <c r="C128" s="46">
        <v>1</v>
      </c>
      <c r="D128" s="47">
        <v>535220213</v>
      </c>
      <c r="E128" s="47" t="s">
        <v>142</v>
      </c>
      <c r="F128" s="45" t="s">
        <v>164</v>
      </c>
      <c r="G128" s="59">
        <v>4</v>
      </c>
      <c r="H128" s="24">
        <v>1</v>
      </c>
      <c r="I128" s="24">
        <v>0</v>
      </c>
      <c r="J128" s="24" t="s">
        <v>1053</v>
      </c>
      <c r="K128" s="24" t="s">
        <v>342</v>
      </c>
      <c r="L128" s="24" t="s">
        <v>143</v>
      </c>
      <c r="M128" s="24" t="s">
        <v>159</v>
      </c>
      <c r="N128" s="48">
        <v>1</v>
      </c>
      <c r="S128">
        <v>5</v>
      </c>
      <c r="T128">
        <v>2</v>
      </c>
      <c r="U128">
        <v>1</v>
      </c>
      <c r="V128" s="25">
        <v>0</v>
      </c>
      <c r="W128" s="32">
        <v>0</v>
      </c>
    </row>
    <row r="129" spans="1:23" ht="15" x14ac:dyDescent="0.2">
      <c r="A129" s="46">
        <v>1</v>
      </c>
      <c r="B129" s="46">
        <v>2</v>
      </c>
      <c r="C129" s="46">
        <v>1</v>
      </c>
      <c r="D129" s="47">
        <v>535220247</v>
      </c>
      <c r="E129" s="47" t="s">
        <v>142</v>
      </c>
      <c r="F129" s="45" t="s">
        <v>164</v>
      </c>
      <c r="G129" s="59">
        <v>4</v>
      </c>
      <c r="H129" s="24">
        <v>1</v>
      </c>
      <c r="I129" s="24">
        <v>0</v>
      </c>
      <c r="J129" s="24" t="s">
        <v>1054</v>
      </c>
      <c r="K129" s="24" t="s">
        <v>343</v>
      </c>
      <c r="L129" s="24" t="s">
        <v>143</v>
      </c>
      <c r="M129" s="24" t="s">
        <v>159</v>
      </c>
      <c r="N129" s="48">
        <v>1</v>
      </c>
      <c r="S129">
        <v>5</v>
      </c>
      <c r="T129">
        <v>2</v>
      </c>
      <c r="U129">
        <v>2</v>
      </c>
      <c r="V129" s="25">
        <v>0</v>
      </c>
      <c r="W129" s="32">
        <v>0</v>
      </c>
    </row>
    <row r="130" spans="1:23" ht="15" x14ac:dyDescent="0.2">
      <c r="A130" s="46">
        <v>1</v>
      </c>
      <c r="B130" s="46">
        <v>2</v>
      </c>
      <c r="C130" s="46">
        <v>1</v>
      </c>
      <c r="D130" s="47">
        <v>535220014</v>
      </c>
      <c r="E130" s="47" t="s">
        <v>142</v>
      </c>
      <c r="F130" s="45" t="s">
        <v>165</v>
      </c>
      <c r="G130" s="59">
        <v>4</v>
      </c>
      <c r="H130" s="24">
        <v>1</v>
      </c>
      <c r="I130" s="24">
        <v>0</v>
      </c>
      <c r="J130" s="24" t="s">
        <v>1055</v>
      </c>
      <c r="K130" s="24" t="s">
        <v>344</v>
      </c>
      <c r="L130" s="24" t="s">
        <v>142</v>
      </c>
      <c r="M130" s="24" t="s">
        <v>165</v>
      </c>
      <c r="N130" s="48">
        <v>0</v>
      </c>
      <c r="S130">
        <v>5</v>
      </c>
      <c r="T130">
        <v>2</v>
      </c>
      <c r="U130">
        <v>3</v>
      </c>
      <c r="V130" s="25">
        <v>0</v>
      </c>
      <c r="W130" s="32">
        <v>0</v>
      </c>
    </row>
    <row r="131" spans="1:23" ht="15" x14ac:dyDescent="0.2">
      <c r="A131" s="46">
        <v>1</v>
      </c>
      <c r="B131" s="46">
        <v>2</v>
      </c>
      <c r="C131" s="46">
        <v>1</v>
      </c>
      <c r="D131" s="47">
        <v>535220020</v>
      </c>
      <c r="E131" s="47" t="s">
        <v>142</v>
      </c>
      <c r="F131" s="45" t="s">
        <v>165</v>
      </c>
      <c r="G131" s="59">
        <v>4</v>
      </c>
      <c r="H131" s="24">
        <v>1</v>
      </c>
      <c r="I131" s="24">
        <v>0</v>
      </c>
      <c r="J131" s="24" t="s">
        <v>1056</v>
      </c>
      <c r="K131" s="24" t="s">
        <v>345</v>
      </c>
      <c r="L131" s="24" t="s">
        <v>143</v>
      </c>
      <c r="M131" s="24" t="s">
        <v>165</v>
      </c>
      <c r="N131" s="48">
        <v>0</v>
      </c>
      <c r="S131">
        <v>5</v>
      </c>
      <c r="T131">
        <v>2</v>
      </c>
      <c r="U131">
        <v>4</v>
      </c>
      <c r="V131" s="25">
        <v>0</v>
      </c>
      <c r="W131" s="32">
        <v>0</v>
      </c>
    </row>
    <row r="132" spans="1:23" ht="15" x14ac:dyDescent="0.2">
      <c r="A132" s="46">
        <v>1</v>
      </c>
      <c r="B132" s="46">
        <v>2</v>
      </c>
      <c r="C132" s="46">
        <v>1</v>
      </c>
      <c r="D132" s="47">
        <v>535220121</v>
      </c>
      <c r="E132" s="47" t="s">
        <v>142</v>
      </c>
      <c r="F132" s="45" t="s">
        <v>165</v>
      </c>
      <c r="G132" s="59">
        <v>4</v>
      </c>
      <c r="H132" s="24">
        <v>1</v>
      </c>
      <c r="I132" s="24">
        <v>0</v>
      </c>
      <c r="J132" s="24" t="s">
        <v>1057</v>
      </c>
      <c r="K132" s="24" t="s">
        <v>346</v>
      </c>
      <c r="L132" s="24" t="s">
        <v>143</v>
      </c>
      <c r="M132" s="24" t="s">
        <v>165</v>
      </c>
      <c r="N132" s="48">
        <v>0</v>
      </c>
      <c r="S132">
        <v>5</v>
      </c>
      <c r="T132">
        <v>2</v>
      </c>
      <c r="U132">
        <v>5</v>
      </c>
      <c r="V132" s="25">
        <v>0</v>
      </c>
      <c r="W132" s="32">
        <v>0</v>
      </c>
    </row>
    <row r="133" spans="1:23" ht="15" x14ac:dyDescent="0.2">
      <c r="A133" s="46">
        <v>2</v>
      </c>
      <c r="B133" s="46">
        <v>2</v>
      </c>
      <c r="C133" s="46">
        <v>1</v>
      </c>
      <c r="D133" s="47">
        <v>535220021</v>
      </c>
      <c r="E133" s="47" t="s">
        <v>142</v>
      </c>
      <c r="F133" s="45" t="s">
        <v>163</v>
      </c>
      <c r="G133" s="59">
        <v>5</v>
      </c>
      <c r="H133" s="24">
        <v>1</v>
      </c>
      <c r="I133" s="24">
        <v>0</v>
      </c>
      <c r="J133" s="24" t="s">
        <v>1068</v>
      </c>
      <c r="K133" s="24" t="s">
        <v>357</v>
      </c>
      <c r="L133" s="24" t="s">
        <v>143</v>
      </c>
      <c r="M133" s="24" t="s">
        <v>165</v>
      </c>
      <c r="N133" s="48">
        <v>0</v>
      </c>
      <c r="S133">
        <v>5</v>
      </c>
      <c r="T133">
        <v>2</v>
      </c>
      <c r="U133">
        <v>6</v>
      </c>
      <c r="V133" s="25">
        <v>0</v>
      </c>
      <c r="W133" s="32">
        <v>0</v>
      </c>
    </row>
    <row r="134" spans="1:23" ht="15" x14ac:dyDescent="0.2">
      <c r="A134" s="46">
        <v>2</v>
      </c>
      <c r="B134" s="46">
        <v>2</v>
      </c>
      <c r="C134" s="46">
        <v>1</v>
      </c>
      <c r="D134" s="47">
        <v>535220050</v>
      </c>
      <c r="E134" s="47" t="s">
        <v>142</v>
      </c>
      <c r="F134" s="45" t="s">
        <v>163</v>
      </c>
      <c r="G134" s="59">
        <v>5</v>
      </c>
      <c r="H134" s="24">
        <v>1</v>
      </c>
      <c r="I134" s="24">
        <v>0</v>
      </c>
      <c r="J134" s="24" t="s">
        <v>1069</v>
      </c>
      <c r="K134" s="24" t="s">
        <v>358</v>
      </c>
      <c r="L134" s="24" t="s">
        <v>143</v>
      </c>
      <c r="M134" s="24" t="s">
        <v>165</v>
      </c>
      <c r="N134" s="48">
        <v>0</v>
      </c>
      <c r="V134" s="24"/>
      <c r="W134" s="31"/>
    </row>
    <row r="135" spans="1:23" ht="15" x14ac:dyDescent="0.2">
      <c r="A135" s="46">
        <v>2</v>
      </c>
      <c r="B135" s="46">
        <v>2</v>
      </c>
      <c r="C135" s="46">
        <v>1</v>
      </c>
      <c r="D135" s="47">
        <v>535220076</v>
      </c>
      <c r="E135" s="47" t="s">
        <v>142</v>
      </c>
      <c r="F135" s="45" t="s">
        <v>163</v>
      </c>
      <c r="G135" s="59">
        <v>5</v>
      </c>
      <c r="H135" s="24">
        <v>1</v>
      </c>
      <c r="I135" s="24">
        <v>0</v>
      </c>
      <c r="J135" s="24" t="s">
        <v>1070</v>
      </c>
      <c r="K135" s="24" t="s">
        <v>359</v>
      </c>
      <c r="L135" s="24" t="s">
        <v>145</v>
      </c>
      <c r="M135" s="24" t="s">
        <v>165</v>
      </c>
      <c r="N135" s="48">
        <v>0</v>
      </c>
      <c r="S135">
        <v>6</v>
      </c>
      <c r="T135">
        <v>0</v>
      </c>
      <c r="U135">
        <v>0</v>
      </c>
      <c r="V135" s="25">
        <v>5</v>
      </c>
      <c r="W135" s="32">
        <v>5</v>
      </c>
    </row>
    <row r="136" spans="1:23" ht="15" x14ac:dyDescent="0.2">
      <c r="A136" s="46">
        <v>2</v>
      </c>
      <c r="B136" s="46">
        <v>2</v>
      </c>
      <c r="C136" s="46">
        <v>1</v>
      </c>
      <c r="D136" s="47">
        <v>535220172</v>
      </c>
      <c r="E136" s="47" t="s">
        <v>142</v>
      </c>
      <c r="F136" s="45" t="s">
        <v>163</v>
      </c>
      <c r="G136" s="59">
        <v>5</v>
      </c>
      <c r="H136" s="24">
        <v>1</v>
      </c>
      <c r="I136" s="24">
        <v>0</v>
      </c>
      <c r="J136" s="24" t="s">
        <v>1071</v>
      </c>
      <c r="K136" s="24" t="s">
        <v>360</v>
      </c>
      <c r="L136" s="24" t="s">
        <v>145</v>
      </c>
      <c r="M136" s="24" t="s">
        <v>165</v>
      </c>
      <c r="N136" s="48">
        <v>0</v>
      </c>
      <c r="S136">
        <v>6</v>
      </c>
      <c r="T136">
        <v>0</v>
      </c>
      <c r="U136">
        <v>1</v>
      </c>
      <c r="V136" s="25">
        <v>5</v>
      </c>
      <c r="W136" s="32">
        <v>5</v>
      </c>
    </row>
    <row r="137" spans="1:23" ht="15" x14ac:dyDescent="0.2">
      <c r="A137" s="46">
        <v>2</v>
      </c>
      <c r="B137" s="46">
        <v>2</v>
      </c>
      <c r="C137" s="46">
        <v>1</v>
      </c>
      <c r="D137" s="49">
        <v>535220173</v>
      </c>
      <c r="E137" s="47" t="s">
        <v>142</v>
      </c>
      <c r="F137" s="45" t="s">
        <v>163</v>
      </c>
      <c r="G137" s="59">
        <v>5</v>
      </c>
      <c r="H137" s="24">
        <v>1</v>
      </c>
      <c r="I137" s="24">
        <v>0</v>
      </c>
      <c r="J137" s="24" t="s">
        <v>1072</v>
      </c>
      <c r="K137" s="24" t="s">
        <v>361</v>
      </c>
      <c r="L137" s="24" t="s">
        <v>145</v>
      </c>
      <c r="M137" s="24" t="s">
        <v>165</v>
      </c>
      <c r="N137" s="48">
        <v>0</v>
      </c>
      <c r="S137">
        <v>6</v>
      </c>
      <c r="T137">
        <v>0</v>
      </c>
      <c r="U137">
        <v>2</v>
      </c>
      <c r="V137" s="25">
        <v>5</v>
      </c>
      <c r="W137" s="32">
        <v>5</v>
      </c>
    </row>
    <row r="138" spans="1:23" ht="15" x14ac:dyDescent="0.2">
      <c r="A138" s="46">
        <v>0</v>
      </c>
      <c r="B138" s="46">
        <v>2</v>
      </c>
      <c r="C138" s="46">
        <v>2</v>
      </c>
      <c r="D138" s="47">
        <v>825220125</v>
      </c>
      <c r="E138" s="47" t="s">
        <v>142</v>
      </c>
      <c r="F138" s="45" t="s">
        <v>155</v>
      </c>
      <c r="G138" s="59">
        <v>6</v>
      </c>
      <c r="H138" s="24">
        <v>1</v>
      </c>
      <c r="I138" s="24">
        <v>0</v>
      </c>
      <c r="J138" s="24" t="s">
        <v>1083</v>
      </c>
      <c r="K138" s="24" t="s">
        <v>372</v>
      </c>
      <c r="L138" s="24" t="s">
        <v>145</v>
      </c>
      <c r="M138" s="24" t="s">
        <v>165</v>
      </c>
      <c r="N138" s="48">
        <v>0</v>
      </c>
      <c r="S138">
        <v>6</v>
      </c>
      <c r="T138">
        <v>0</v>
      </c>
      <c r="U138">
        <v>3</v>
      </c>
      <c r="V138" s="25">
        <v>5</v>
      </c>
      <c r="W138" s="32">
        <v>2</v>
      </c>
    </row>
    <row r="139" spans="1:23" ht="15" x14ac:dyDescent="0.2">
      <c r="A139" s="46">
        <v>0</v>
      </c>
      <c r="B139" s="46">
        <v>2</v>
      </c>
      <c r="C139" s="46">
        <v>2</v>
      </c>
      <c r="D139" s="47">
        <v>825220135</v>
      </c>
      <c r="E139" s="47" t="s">
        <v>142</v>
      </c>
      <c r="F139" s="45" t="s">
        <v>155</v>
      </c>
      <c r="G139" s="59">
        <v>6</v>
      </c>
      <c r="H139" s="24">
        <v>1</v>
      </c>
      <c r="I139" s="24">
        <v>0</v>
      </c>
      <c r="J139" s="24" t="s">
        <v>1084</v>
      </c>
      <c r="K139" s="24" t="s">
        <v>373</v>
      </c>
      <c r="L139" s="24" t="s">
        <v>145</v>
      </c>
      <c r="M139" s="24" t="s">
        <v>165</v>
      </c>
      <c r="N139" s="48">
        <v>0</v>
      </c>
      <c r="S139">
        <v>6</v>
      </c>
      <c r="T139">
        <v>0</v>
      </c>
      <c r="U139">
        <v>4</v>
      </c>
      <c r="V139" s="25">
        <v>0</v>
      </c>
      <c r="W139" s="32">
        <v>0</v>
      </c>
    </row>
    <row r="140" spans="1:23" ht="15" x14ac:dyDescent="0.2">
      <c r="A140" s="46">
        <v>0</v>
      </c>
      <c r="B140" s="46">
        <v>2</v>
      </c>
      <c r="C140" s="46">
        <v>2</v>
      </c>
      <c r="D140" s="47">
        <v>825220136</v>
      </c>
      <c r="E140" s="47" t="s">
        <v>142</v>
      </c>
      <c r="F140" s="45" t="s">
        <v>155</v>
      </c>
      <c r="G140" s="59">
        <v>6</v>
      </c>
      <c r="H140" s="24">
        <v>1</v>
      </c>
      <c r="I140" s="24">
        <v>0</v>
      </c>
      <c r="J140" s="24" t="s">
        <v>1085</v>
      </c>
      <c r="K140" s="24" t="s">
        <v>374</v>
      </c>
      <c r="L140" s="24" t="s">
        <v>145</v>
      </c>
      <c r="M140" s="24" t="s">
        <v>165</v>
      </c>
      <c r="N140" s="48">
        <v>0</v>
      </c>
      <c r="S140">
        <v>6</v>
      </c>
      <c r="T140">
        <v>0</v>
      </c>
      <c r="U140">
        <v>5</v>
      </c>
      <c r="V140" s="25">
        <v>0</v>
      </c>
      <c r="W140" s="32">
        <v>0</v>
      </c>
    </row>
    <row r="141" spans="1:23" ht="15" x14ac:dyDescent="0.2">
      <c r="A141" s="46">
        <v>0</v>
      </c>
      <c r="B141" s="46">
        <v>2</v>
      </c>
      <c r="C141" s="46">
        <v>2</v>
      </c>
      <c r="D141" s="47">
        <v>825220003</v>
      </c>
      <c r="E141" s="47" t="s">
        <v>142</v>
      </c>
      <c r="F141" s="45" t="s">
        <v>161</v>
      </c>
      <c r="G141" s="59">
        <v>6</v>
      </c>
      <c r="H141" s="24">
        <v>1</v>
      </c>
      <c r="I141" s="24">
        <v>0</v>
      </c>
      <c r="J141" s="24" t="s">
        <v>1086</v>
      </c>
      <c r="K141" s="24" t="s">
        <v>375</v>
      </c>
      <c r="L141" s="24" t="s">
        <v>145</v>
      </c>
      <c r="M141" s="24" t="s">
        <v>165</v>
      </c>
      <c r="N141" s="48">
        <v>0</v>
      </c>
      <c r="S141">
        <v>6</v>
      </c>
      <c r="T141">
        <v>0</v>
      </c>
      <c r="U141">
        <v>6</v>
      </c>
      <c r="V141" s="25">
        <v>0</v>
      </c>
      <c r="W141" s="32">
        <v>0</v>
      </c>
    </row>
    <row r="142" spans="1:23" ht="15" x14ac:dyDescent="0.2">
      <c r="A142" s="46">
        <v>0</v>
      </c>
      <c r="B142" s="46">
        <v>2</v>
      </c>
      <c r="C142" s="46">
        <v>2</v>
      </c>
      <c r="D142" s="47">
        <v>825220014</v>
      </c>
      <c r="E142" s="47" t="s">
        <v>142</v>
      </c>
      <c r="F142" s="45" t="s">
        <v>161</v>
      </c>
      <c r="G142" s="59">
        <v>6</v>
      </c>
      <c r="H142" s="24">
        <v>1</v>
      </c>
      <c r="I142" s="24">
        <v>0</v>
      </c>
      <c r="J142" s="24" t="s">
        <v>1087</v>
      </c>
      <c r="K142" s="24" t="s">
        <v>376</v>
      </c>
      <c r="L142" s="24" t="s">
        <v>145</v>
      </c>
      <c r="M142" s="24" t="s">
        <v>165</v>
      </c>
      <c r="N142" s="48">
        <v>0</v>
      </c>
      <c r="S142">
        <v>6</v>
      </c>
      <c r="T142">
        <v>1</v>
      </c>
      <c r="U142">
        <v>0</v>
      </c>
      <c r="V142" s="25">
        <v>0</v>
      </c>
      <c r="W142" s="32">
        <v>5</v>
      </c>
    </row>
    <row r="143" spans="1:23" ht="15" x14ac:dyDescent="0.2">
      <c r="A143" s="46">
        <v>1</v>
      </c>
      <c r="B143" s="46">
        <v>2</v>
      </c>
      <c r="C143" s="46">
        <v>2</v>
      </c>
      <c r="D143" s="47">
        <v>825220019</v>
      </c>
      <c r="E143" s="47" t="s">
        <v>142</v>
      </c>
      <c r="F143" s="45" t="s">
        <v>161</v>
      </c>
      <c r="G143" s="59">
        <v>0</v>
      </c>
      <c r="H143" s="24">
        <v>1</v>
      </c>
      <c r="I143" s="24">
        <v>1</v>
      </c>
      <c r="J143" s="24" t="s">
        <v>998</v>
      </c>
      <c r="K143" s="24" t="s">
        <v>287</v>
      </c>
      <c r="L143" s="24" t="s">
        <v>142</v>
      </c>
      <c r="M143" s="24" t="s">
        <v>163</v>
      </c>
      <c r="N143" s="48">
        <v>0</v>
      </c>
      <c r="S143">
        <v>6</v>
      </c>
      <c r="T143">
        <v>1</v>
      </c>
      <c r="U143">
        <v>1</v>
      </c>
      <c r="V143" s="25">
        <v>5</v>
      </c>
      <c r="W143" s="32">
        <v>5</v>
      </c>
    </row>
    <row r="144" spans="1:23" ht="15" x14ac:dyDescent="0.2">
      <c r="A144" s="46">
        <v>1</v>
      </c>
      <c r="B144" s="46">
        <v>2</v>
      </c>
      <c r="C144" s="46">
        <v>2</v>
      </c>
      <c r="D144" s="47">
        <v>825220036</v>
      </c>
      <c r="E144" s="47" t="s">
        <v>142</v>
      </c>
      <c r="F144" s="45" t="s">
        <v>161</v>
      </c>
      <c r="G144" s="59">
        <v>0</v>
      </c>
      <c r="H144" s="24">
        <v>1</v>
      </c>
      <c r="I144" s="24">
        <v>1</v>
      </c>
      <c r="J144" s="24" t="s">
        <v>999</v>
      </c>
      <c r="K144" s="24" t="s">
        <v>288</v>
      </c>
      <c r="L144" s="24" t="s">
        <v>142</v>
      </c>
      <c r="M144" s="24" t="s">
        <v>163</v>
      </c>
      <c r="N144" s="48">
        <v>0</v>
      </c>
      <c r="S144">
        <v>6</v>
      </c>
      <c r="T144">
        <v>1</v>
      </c>
      <c r="U144">
        <v>2</v>
      </c>
      <c r="V144" s="25">
        <v>5</v>
      </c>
      <c r="W144" s="32">
        <v>5</v>
      </c>
    </row>
    <row r="145" spans="1:23" ht="15" x14ac:dyDescent="0.2">
      <c r="A145" s="46">
        <v>1</v>
      </c>
      <c r="B145" s="46">
        <v>2</v>
      </c>
      <c r="C145" s="46">
        <v>2</v>
      </c>
      <c r="D145" s="47">
        <v>825220062</v>
      </c>
      <c r="E145" s="47" t="s">
        <v>142</v>
      </c>
      <c r="F145" s="45" t="s">
        <v>161</v>
      </c>
      <c r="G145" s="59">
        <v>0</v>
      </c>
      <c r="H145" s="24">
        <v>1</v>
      </c>
      <c r="I145" s="24">
        <v>1</v>
      </c>
      <c r="J145" s="24" t="s">
        <v>1000</v>
      </c>
      <c r="K145" s="24" t="s">
        <v>289</v>
      </c>
      <c r="L145" s="24" t="s">
        <v>142</v>
      </c>
      <c r="M145" s="24" t="s">
        <v>163</v>
      </c>
      <c r="N145" s="48">
        <v>0</v>
      </c>
      <c r="S145">
        <v>6</v>
      </c>
      <c r="T145">
        <v>1</v>
      </c>
      <c r="U145">
        <v>3</v>
      </c>
      <c r="V145" s="25">
        <v>0</v>
      </c>
      <c r="W145" s="32">
        <v>0</v>
      </c>
    </row>
    <row r="146" spans="1:23" ht="15" x14ac:dyDescent="0.2">
      <c r="A146" s="46">
        <v>1</v>
      </c>
      <c r="B146" s="46">
        <v>2</v>
      </c>
      <c r="C146" s="46">
        <v>2</v>
      </c>
      <c r="D146" s="47">
        <v>825220120</v>
      </c>
      <c r="E146" s="47" t="s">
        <v>142</v>
      </c>
      <c r="F146" s="45" t="s">
        <v>161</v>
      </c>
      <c r="G146" s="59">
        <v>0</v>
      </c>
      <c r="H146" s="24">
        <v>1</v>
      </c>
      <c r="I146" s="24">
        <v>1</v>
      </c>
      <c r="J146" s="24" t="s">
        <v>1001</v>
      </c>
      <c r="K146" s="24" t="s">
        <v>290</v>
      </c>
      <c r="L146" s="24" t="s">
        <v>142</v>
      </c>
      <c r="M146" s="24" t="s">
        <v>163</v>
      </c>
      <c r="N146" s="48">
        <v>0</v>
      </c>
      <c r="S146">
        <v>6</v>
      </c>
      <c r="T146">
        <v>1</v>
      </c>
      <c r="U146">
        <v>4</v>
      </c>
      <c r="V146" s="25">
        <v>0</v>
      </c>
      <c r="W146" s="32">
        <v>0</v>
      </c>
    </row>
    <row r="147" spans="1:23" ht="15" x14ac:dyDescent="0.2">
      <c r="A147" s="46">
        <v>1</v>
      </c>
      <c r="B147" s="46">
        <v>2</v>
      </c>
      <c r="C147" s="46">
        <v>2</v>
      </c>
      <c r="D147" s="47">
        <v>825220134</v>
      </c>
      <c r="E147" s="47" t="s">
        <v>142</v>
      </c>
      <c r="F147" s="45" t="s">
        <v>161</v>
      </c>
      <c r="G147" s="59">
        <v>0</v>
      </c>
      <c r="H147" s="24">
        <v>1</v>
      </c>
      <c r="I147" s="24">
        <v>1</v>
      </c>
      <c r="J147" s="24" t="s">
        <v>1002</v>
      </c>
      <c r="K147" s="24" t="s">
        <v>291</v>
      </c>
      <c r="L147" s="24" t="s">
        <v>142</v>
      </c>
      <c r="M147" s="24" t="s">
        <v>163</v>
      </c>
      <c r="N147" s="48">
        <v>0</v>
      </c>
      <c r="S147">
        <v>6</v>
      </c>
      <c r="T147">
        <v>1</v>
      </c>
      <c r="U147">
        <v>5</v>
      </c>
      <c r="V147" s="25">
        <v>0</v>
      </c>
      <c r="W147" s="32">
        <v>0</v>
      </c>
    </row>
    <row r="148" spans="1:23" ht="15" x14ac:dyDescent="0.2">
      <c r="A148" s="46">
        <v>3</v>
      </c>
      <c r="B148" s="46">
        <v>2</v>
      </c>
      <c r="C148" s="46">
        <v>1</v>
      </c>
      <c r="D148" s="47">
        <v>535220013</v>
      </c>
      <c r="E148" s="47" t="s">
        <v>142</v>
      </c>
      <c r="F148" s="45" t="s">
        <v>157</v>
      </c>
      <c r="G148" s="59">
        <v>1</v>
      </c>
      <c r="H148" s="24">
        <v>1</v>
      </c>
      <c r="I148" s="24">
        <v>1</v>
      </c>
      <c r="J148" s="24" t="s">
        <v>1013</v>
      </c>
      <c r="K148" s="24" t="s">
        <v>302</v>
      </c>
      <c r="L148" s="24" t="s">
        <v>142</v>
      </c>
      <c r="M148" s="24" t="s">
        <v>163</v>
      </c>
      <c r="N148" s="48">
        <v>999</v>
      </c>
      <c r="S148">
        <v>6</v>
      </c>
      <c r="T148">
        <v>1</v>
      </c>
      <c r="U148">
        <v>6</v>
      </c>
      <c r="V148" s="25">
        <v>0</v>
      </c>
      <c r="W148" s="32">
        <v>0</v>
      </c>
    </row>
    <row r="149" spans="1:23" ht="15" x14ac:dyDescent="0.2">
      <c r="A149" s="46">
        <v>3</v>
      </c>
      <c r="B149" s="46">
        <v>2</v>
      </c>
      <c r="C149" s="46">
        <v>1</v>
      </c>
      <c r="D149" s="47">
        <v>535220033</v>
      </c>
      <c r="E149" s="47" t="s">
        <v>142</v>
      </c>
      <c r="F149" s="45" t="s">
        <v>157</v>
      </c>
      <c r="G149" s="59">
        <v>1</v>
      </c>
      <c r="H149" s="24">
        <v>1</v>
      </c>
      <c r="I149" s="24">
        <v>1</v>
      </c>
      <c r="J149" s="24" t="s">
        <v>1014</v>
      </c>
      <c r="K149" s="24" t="s">
        <v>303</v>
      </c>
      <c r="L149" s="24" t="s">
        <v>142</v>
      </c>
      <c r="M149" s="24" t="s">
        <v>163</v>
      </c>
      <c r="N149" s="48">
        <v>999</v>
      </c>
      <c r="S149">
        <v>6</v>
      </c>
      <c r="T149">
        <v>2</v>
      </c>
      <c r="U149">
        <v>0</v>
      </c>
      <c r="V149" s="25">
        <v>5</v>
      </c>
      <c r="W149" s="32">
        <v>5</v>
      </c>
    </row>
    <row r="150" spans="1:23" ht="15" x14ac:dyDescent="0.2">
      <c r="A150" s="46">
        <v>3</v>
      </c>
      <c r="B150" s="46">
        <v>2</v>
      </c>
      <c r="C150" s="46">
        <v>1</v>
      </c>
      <c r="D150" s="47">
        <v>535220044</v>
      </c>
      <c r="E150" s="47" t="s">
        <v>142</v>
      </c>
      <c r="F150" s="45" t="s">
        <v>157</v>
      </c>
      <c r="G150" s="59">
        <v>1</v>
      </c>
      <c r="H150" s="24">
        <v>1</v>
      </c>
      <c r="I150" s="24">
        <v>1</v>
      </c>
      <c r="J150" s="24" t="s">
        <v>1015</v>
      </c>
      <c r="K150" s="24" t="s">
        <v>304</v>
      </c>
      <c r="L150" s="24" t="s">
        <v>142</v>
      </c>
      <c r="M150" s="24" t="s">
        <v>163</v>
      </c>
      <c r="N150" s="48">
        <v>999</v>
      </c>
      <c r="S150">
        <v>6</v>
      </c>
      <c r="T150">
        <v>2</v>
      </c>
      <c r="U150">
        <v>1</v>
      </c>
      <c r="V150" s="25">
        <v>5</v>
      </c>
      <c r="W150" s="32">
        <v>5</v>
      </c>
    </row>
    <row r="151" spans="1:23" ht="15" x14ac:dyDescent="0.2">
      <c r="A151" s="46">
        <v>3</v>
      </c>
      <c r="B151" s="46">
        <v>2</v>
      </c>
      <c r="C151" s="46">
        <v>1</v>
      </c>
      <c r="D151" s="47">
        <v>535220075</v>
      </c>
      <c r="E151" s="47" t="s">
        <v>142</v>
      </c>
      <c r="F151" s="45" t="s">
        <v>157</v>
      </c>
      <c r="G151" s="59">
        <v>1</v>
      </c>
      <c r="H151" s="24">
        <v>1</v>
      </c>
      <c r="I151" s="24">
        <v>1</v>
      </c>
      <c r="J151" s="24" t="s">
        <v>1016</v>
      </c>
      <c r="K151" s="24" t="s">
        <v>305</v>
      </c>
      <c r="L151" s="24" t="s">
        <v>142</v>
      </c>
      <c r="M151" s="24" t="s">
        <v>163</v>
      </c>
      <c r="N151" s="48">
        <v>999</v>
      </c>
      <c r="S151">
        <v>6</v>
      </c>
      <c r="T151">
        <v>2</v>
      </c>
      <c r="U151">
        <v>2</v>
      </c>
      <c r="V151" s="25">
        <v>5</v>
      </c>
      <c r="W151" s="32">
        <v>5</v>
      </c>
    </row>
    <row r="152" spans="1:23" ht="15" x14ac:dyDescent="0.2">
      <c r="A152" s="46">
        <v>3</v>
      </c>
      <c r="B152" s="46">
        <v>2</v>
      </c>
      <c r="C152" s="46">
        <v>1</v>
      </c>
      <c r="D152" s="47">
        <v>535220090</v>
      </c>
      <c r="E152" s="47" t="s">
        <v>142</v>
      </c>
      <c r="F152" s="45" t="s">
        <v>157</v>
      </c>
      <c r="G152" s="59">
        <v>1</v>
      </c>
      <c r="H152" s="24">
        <v>1</v>
      </c>
      <c r="I152" s="24">
        <v>1</v>
      </c>
      <c r="J152" s="24" t="s">
        <v>1017</v>
      </c>
      <c r="K152" s="24" t="s">
        <v>306</v>
      </c>
      <c r="L152" s="24" t="s">
        <v>142</v>
      </c>
      <c r="M152" s="24" t="s">
        <v>163</v>
      </c>
      <c r="N152" s="48">
        <v>999</v>
      </c>
      <c r="S152">
        <v>6</v>
      </c>
      <c r="T152">
        <v>2</v>
      </c>
      <c r="U152">
        <v>3</v>
      </c>
      <c r="V152" s="25">
        <v>0</v>
      </c>
      <c r="W152" s="32">
        <v>0</v>
      </c>
    </row>
    <row r="153" spans="1:23" ht="15" x14ac:dyDescent="0.2">
      <c r="A153" s="46">
        <v>2</v>
      </c>
      <c r="B153" s="46">
        <v>2</v>
      </c>
      <c r="C153" s="46">
        <v>2</v>
      </c>
      <c r="D153" s="47">
        <v>825220155</v>
      </c>
      <c r="E153" s="47" t="s">
        <v>142</v>
      </c>
      <c r="F153" s="45" t="s">
        <v>161</v>
      </c>
      <c r="G153" s="59">
        <v>2</v>
      </c>
      <c r="H153" s="24">
        <v>1</v>
      </c>
      <c r="I153" s="24">
        <v>1</v>
      </c>
      <c r="J153" s="24" t="s">
        <v>1028</v>
      </c>
      <c r="K153" s="24" t="s">
        <v>317</v>
      </c>
      <c r="L153" s="24" t="s">
        <v>147</v>
      </c>
      <c r="M153" s="24" t="s">
        <v>156</v>
      </c>
      <c r="N153" s="48">
        <v>999</v>
      </c>
      <c r="S153">
        <v>6</v>
      </c>
      <c r="T153">
        <v>2</v>
      </c>
      <c r="U153">
        <v>4</v>
      </c>
      <c r="V153" s="25">
        <v>0</v>
      </c>
      <c r="W153" s="32">
        <v>0</v>
      </c>
    </row>
    <row r="154" spans="1:23" ht="15" x14ac:dyDescent="0.2">
      <c r="A154" s="46">
        <v>2</v>
      </c>
      <c r="B154" s="46">
        <v>2</v>
      </c>
      <c r="C154" s="46">
        <v>2</v>
      </c>
      <c r="D154" s="47">
        <v>825220182</v>
      </c>
      <c r="E154" s="47" t="s">
        <v>142</v>
      </c>
      <c r="F154" s="45" t="s">
        <v>161</v>
      </c>
      <c r="G154" s="59">
        <v>2</v>
      </c>
      <c r="H154" s="24">
        <v>1</v>
      </c>
      <c r="I154" s="24">
        <v>1</v>
      </c>
      <c r="J154" s="24" t="s">
        <v>1029</v>
      </c>
      <c r="K154" s="24" t="s">
        <v>318</v>
      </c>
      <c r="L154" s="24" t="s">
        <v>147</v>
      </c>
      <c r="M154" s="24" t="s">
        <v>156</v>
      </c>
      <c r="N154" s="48">
        <v>999</v>
      </c>
      <c r="S154">
        <v>6</v>
      </c>
      <c r="T154">
        <v>2</v>
      </c>
      <c r="U154">
        <v>5</v>
      </c>
      <c r="V154" s="25">
        <v>0</v>
      </c>
      <c r="W154" s="32">
        <v>0</v>
      </c>
    </row>
    <row r="155" spans="1:23" ht="15" x14ac:dyDescent="0.2">
      <c r="A155" s="46">
        <v>2</v>
      </c>
      <c r="B155" s="46">
        <v>2</v>
      </c>
      <c r="C155" s="46">
        <v>2</v>
      </c>
      <c r="D155" s="47">
        <v>825249102</v>
      </c>
      <c r="E155" s="47" t="s">
        <v>142</v>
      </c>
      <c r="F155" s="45" t="s">
        <v>161</v>
      </c>
      <c r="G155" s="59">
        <v>2</v>
      </c>
      <c r="H155" s="24">
        <v>1</v>
      </c>
      <c r="I155" s="24">
        <v>1</v>
      </c>
      <c r="J155" s="24" t="s">
        <v>1030</v>
      </c>
      <c r="K155" s="24" t="s">
        <v>319</v>
      </c>
      <c r="L155" s="24" t="s">
        <v>142</v>
      </c>
      <c r="M155" s="24" t="s">
        <v>164</v>
      </c>
      <c r="N155" s="48">
        <v>999</v>
      </c>
      <c r="S155">
        <v>6</v>
      </c>
      <c r="T155">
        <v>2</v>
      </c>
      <c r="U155">
        <v>6</v>
      </c>
      <c r="V155" s="25">
        <v>0</v>
      </c>
      <c r="W155" s="32">
        <v>0</v>
      </c>
    </row>
    <row r="156" spans="1:23" ht="15" x14ac:dyDescent="0.2">
      <c r="A156" s="46">
        <v>2</v>
      </c>
      <c r="B156" s="46">
        <v>2</v>
      </c>
      <c r="C156" s="46">
        <v>2</v>
      </c>
      <c r="D156" s="47">
        <v>535220104</v>
      </c>
      <c r="E156" s="47" t="s">
        <v>142</v>
      </c>
      <c r="F156" s="45" t="s">
        <v>168</v>
      </c>
      <c r="G156" s="59">
        <v>2</v>
      </c>
      <c r="H156" s="24">
        <v>1</v>
      </c>
      <c r="I156" s="24">
        <v>1</v>
      </c>
      <c r="J156" s="24" t="s">
        <v>1031</v>
      </c>
      <c r="K156" s="24" t="s">
        <v>320</v>
      </c>
      <c r="L156" s="24" t="s">
        <v>142</v>
      </c>
      <c r="M156" s="24" t="s">
        <v>164</v>
      </c>
      <c r="N156" s="48">
        <v>999</v>
      </c>
      <c r="V156" s="24"/>
      <c r="W156" s="31"/>
    </row>
    <row r="157" spans="1:23" ht="15" x14ac:dyDescent="0.2">
      <c r="A157" s="53">
        <v>2</v>
      </c>
      <c r="B157" s="46">
        <v>2</v>
      </c>
      <c r="C157" s="46">
        <v>2</v>
      </c>
      <c r="D157" s="54">
        <v>535220164</v>
      </c>
      <c r="E157" s="47" t="s">
        <v>142</v>
      </c>
      <c r="F157" s="45" t="s">
        <v>168</v>
      </c>
      <c r="G157" s="59">
        <v>2</v>
      </c>
      <c r="H157" s="24">
        <v>1</v>
      </c>
      <c r="I157" s="24">
        <v>1</v>
      </c>
      <c r="J157" s="24" t="s">
        <v>1032</v>
      </c>
      <c r="K157" s="24" t="s">
        <v>321</v>
      </c>
      <c r="L157" s="24" t="s">
        <v>142</v>
      </c>
      <c r="M157" s="24" t="s">
        <v>164</v>
      </c>
      <c r="N157" s="48">
        <v>999</v>
      </c>
      <c r="S157">
        <v>7</v>
      </c>
      <c r="T157">
        <v>0</v>
      </c>
      <c r="U157">
        <v>0</v>
      </c>
      <c r="V157" s="25">
        <v>5</v>
      </c>
      <c r="W157" s="33">
        <v>0</v>
      </c>
    </row>
    <row r="158" spans="1:23" ht="15" x14ac:dyDescent="0.2">
      <c r="A158" s="46">
        <v>4</v>
      </c>
      <c r="B158" s="46">
        <v>3</v>
      </c>
      <c r="C158" s="46">
        <v>0</v>
      </c>
      <c r="D158" s="47">
        <v>535220002</v>
      </c>
      <c r="E158" s="47" t="s">
        <v>142</v>
      </c>
      <c r="F158" s="45" t="s">
        <v>170</v>
      </c>
      <c r="G158" s="59">
        <v>3</v>
      </c>
      <c r="H158" s="24">
        <v>1</v>
      </c>
      <c r="I158" s="24">
        <v>1</v>
      </c>
      <c r="J158" s="24" t="s">
        <v>1043</v>
      </c>
      <c r="K158" s="24" t="s">
        <v>332</v>
      </c>
      <c r="L158" s="24" t="s">
        <v>142</v>
      </c>
      <c r="M158" s="24" t="s">
        <v>157</v>
      </c>
      <c r="N158" s="48">
        <v>1</v>
      </c>
      <c r="S158">
        <v>7</v>
      </c>
      <c r="T158">
        <v>0</v>
      </c>
      <c r="U158">
        <v>1</v>
      </c>
      <c r="V158" s="25">
        <v>5</v>
      </c>
      <c r="W158" s="32">
        <v>0</v>
      </c>
    </row>
    <row r="159" spans="1:23" ht="15" x14ac:dyDescent="0.2">
      <c r="A159" s="46">
        <v>4</v>
      </c>
      <c r="B159" s="46">
        <v>3</v>
      </c>
      <c r="C159" s="46">
        <v>0</v>
      </c>
      <c r="D159" s="47">
        <v>535220004</v>
      </c>
      <c r="E159" s="47" t="s">
        <v>142</v>
      </c>
      <c r="F159" s="45" t="s">
        <v>170</v>
      </c>
      <c r="G159" s="59">
        <v>3</v>
      </c>
      <c r="H159" s="24">
        <v>1</v>
      </c>
      <c r="I159" s="24">
        <v>1</v>
      </c>
      <c r="J159" s="24" t="s">
        <v>1044</v>
      </c>
      <c r="K159" s="24" t="s">
        <v>333</v>
      </c>
      <c r="L159" s="24" t="s">
        <v>142</v>
      </c>
      <c r="M159" s="24" t="s">
        <v>157</v>
      </c>
      <c r="N159" s="48">
        <v>1</v>
      </c>
      <c r="S159">
        <v>7</v>
      </c>
      <c r="T159">
        <v>0</v>
      </c>
      <c r="U159">
        <v>2</v>
      </c>
      <c r="V159" s="25">
        <v>5</v>
      </c>
      <c r="W159" s="32">
        <v>0</v>
      </c>
    </row>
    <row r="160" spans="1:23" ht="15" x14ac:dyDescent="0.2">
      <c r="A160" s="46">
        <v>4</v>
      </c>
      <c r="B160" s="46">
        <v>3</v>
      </c>
      <c r="C160" s="46">
        <v>0</v>
      </c>
      <c r="D160" s="47">
        <v>535220027</v>
      </c>
      <c r="E160" s="47" t="s">
        <v>142</v>
      </c>
      <c r="F160" s="45" t="s">
        <v>170</v>
      </c>
      <c r="G160" s="59">
        <v>3</v>
      </c>
      <c r="H160" s="24">
        <v>1</v>
      </c>
      <c r="I160" s="24">
        <v>1</v>
      </c>
      <c r="J160" s="24" t="s">
        <v>1045</v>
      </c>
      <c r="K160" s="24" t="s">
        <v>334</v>
      </c>
      <c r="L160" s="24" t="s">
        <v>142</v>
      </c>
      <c r="M160" s="24" t="s">
        <v>157</v>
      </c>
      <c r="N160" s="48">
        <v>1</v>
      </c>
      <c r="S160">
        <v>7</v>
      </c>
      <c r="T160">
        <v>0</v>
      </c>
      <c r="U160">
        <v>3</v>
      </c>
      <c r="V160" s="25">
        <v>5</v>
      </c>
      <c r="W160" s="32">
        <v>0</v>
      </c>
    </row>
    <row r="161" spans="1:23" ht="15" x14ac:dyDescent="0.2">
      <c r="A161" s="46">
        <v>4</v>
      </c>
      <c r="B161" s="46">
        <v>3</v>
      </c>
      <c r="C161" s="46">
        <v>0</v>
      </c>
      <c r="D161" s="47">
        <v>535220030</v>
      </c>
      <c r="E161" s="47" t="s">
        <v>142</v>
      </c>
      <c r="F161" s="45" t="s">
        <v>170</v>
      </c>
      <c r="G161" s="59">
        <v>3</v>
      </c>
      <c r="H161" s="24">
        <v>1</v>
      </c>
      <c r="I161" s="24">
        <v>1</v>
      </c>
      <c r="J161" s="24" t="s">
        <v>1046</v>
      </c>
      <c r="K161" s="24" t="s">
        <v>335</v>
      </c>
      <c r="L161" s="24" t="s">
        <v>142</v>
      </c>
      <c r="M161" s="24" t="s">
        <v>165</v>
      </c>
      <c r="N161" s="48">
        <v>1</v>
      </c>
      <c r="S161">
        <v>7</v>
      </c>
      <c r="T161">
        <v>0</v>
      </c>
      <c r="U161">
        <v>4</v>
      </c>
      <c r="V161" s="25">
        <v>5</v>
      </c>
      <c r="W161" s="32">
        <v>0</v>
      </c>
    </row>
    <row r="162" spans="1:23" ht="15" x14ac:dyDescent="0.2">
      <c r="A162" s="46">
        <v>4</v>
      </c>
      <c r="B162" s="46">
        <v>3</v>
      </c>
      <c r="C162" s="46">
        <v>0</v>
      </c>
      <c r="D162" s="47">
        <v>535220038</v>
      </c>
      <c r="E162" s="47" t="s">
        <v>142</v>
      </c>
      <c r="F162" s="45" t="s">
        <v>170</v>
      </c>
      <c r="G162" s="59">
        <v>3</v>
      </c>
      <c r="H162" s="24">
        <v>1</v>
      </c>
      <c r="I162" s="24">
        <v>1</v>
      </c>
      <c r="J162" s="24" t="s">
        <v>1047</v>
      </c>
      <c r="K162" s="24" t="s">
        <v>336</v>
      </c>
      <c r="L162" s="24" t="s">
        <v>142</v>
      </c>
      <c r="M162" s="24" t="s">
        <v>165</v>
      </c>
      <c r="N162" s="48">
        <v>1</v>
      </c>
      <c r="S162">
        <v>7</v>
      </c>
      <c r="T162">
        <v>0</v>
      </c>
      <c r="U162">
        <v>5</v>
      </c>
      <c r="V162" s="25">
        <v>5</v>
      </c>
      <c r="W162" s="32">
        <v>0</v>
      </c>
    </row>
    <row r="163" spans="1:23" ht="15" x14ac:dyDescent="0.2">
      <c r="A163" s="46">
        <v>5</v>
      </c>
      <c r="B163" s="46">
        <v>3</v>
      </c>
      <c r="C163" s="46">
        <v>0</v>
      </c>
      <c r="D163" s="47">
        <v>535220053</v>
      </c>
      <c r="E163" s="47" t="s">
        <v>143</v>
      </c>
      <c r="F163" s="45" t="s">
        <v>170</v>
      </c>
      <c r="G163" s="59">
        <v>4</v>
      </c>
      <c r="H163" s="24">
        <v>1</v>
      </c>
      <c r="I163" s="24">
        <v>1</v>
      </c>
      <c r="J163" s="24" t="s">
        <v>1058</v>
      </c>
      <c r="K163" s="24" t="s">
        <v>347</v>
      </c>
      <c r="L163" s="24" t="s">
        <v>142</v>
      </c>
      <c r="M163" s="24" t="s">
        <v>166</v>
      </c>
      <c r="N163" s="48">
        <v>1</v>
      </c>
      <c r="S163">
        <v>7</v>
      </c>
      <c r="T163">
        <v>0</v>
      </c>
      <c r="U163">
        <v>6</v>
      </c>
      <c r="V163" s="25">
        <v>5</v>
      </c>
      <c r="W163" s="32">
        <v>0</v>
      </c>
    </row>
    <row r="164" spans="1:23" ht="15" x14ac:dyDescent="0.2">
      <c r="A164" s="46">
        <v>5</v>
      </c>
      <c r="B164" s="46">
        <v>3</v>
      </c>
      <c r="C164" s="46">
        <v>0</v>
      </c>
      <c r="D164" s="47">
        <v>535220024</v>
      </c>
      <c r="E164" s="47" t="s">
        <v>143</v>
      </c>
      <c r="F164" s="45" t="s">
        <v>166</v>
      </c>
      <c r="G164" s="59">
        <v>4</v>
      </c>
      <c r="H164" s="24">
        <v>1</v>
      </c>
      <c r="I164" s="24">
        <v>1</v>
      </c>
      <c r="J164" s="24" t="s">
        <v>1059</v>
      </c>
      <c r="K164" s="24" t="s">
        <v>348</v>
      </c>
      <c r="L164" s="24" t="s">
        <v>142</v>
      </c>
      <c r="M164" s="24" t="s">
        <v>166</v>
      </c>
      <c r="N164" s="48">
        <v>0</v>
      </c>
      <c r="S164">
        <v>7</v>
      </c>
      <c r="T164">
        <v>1</v>
      </c>
      <c r="U164">
        <v>0</v>
      </c>
      <c r="V164" s="25">
        <v>5</v>
      </c>
      <c r="W164" s="32">
        <v>0</v>
      </c>
    </row>
    <row r="165" spans="1:23" ht="15" x14ac:dyDescent="0.2">
      <c r="A165" s="46">
        <v>5</v>
      </c>
      <c r="B165" s="46">
        <v>3</v>
      </c>
      <c r="C165" s="46">
        <v>0</v>
      </c>
      <c r="D165" s="47">
        <v>535220175</v>
      </c>
      <c r="E165" s="47" t="s">
        <v>143</v>
      </c>
      <c r="F165" s="45" t="s">
        <v>166</v>
      </c>
      <c r="G165" s="59">
        <v>4</v>
      </c>
      <c r="H165" s="24">
        <v>1</v>
      </c>
      <c r="I165" s="24">
        <v>1</v>
      </c>
      <c r="J165" s="24" t="s">
        <v>1060</v>
      </c>
      <c r="K165" s="24" t="s">
        <v>349</v>
      </c>
      <c r="L165" s="24" t="s">
        <v>142</v>
      </c>
      <c r="M165" s="24" t="s">
        <v>166</v>
      </c>
      <c r="N165" s="48">
        <v>0</v>
      </c>
      <c r="S165">
        <v>7</v>
      </c>
      <c r="T165">
        <v>1</v>
      </c>
      <c r="U165">
        <v>1</v>
      </c>
      <c r="V165" s="25">
        <v>5</v>
      </c>
      <c r="W165" s="32">
        <v>0</v>
      </c>
    </row>
    <row r="166" spans="1:23" ht="15" x14ac:dyDescent="0.2">
      <c r="A166" s="46">
        <v>5</v>
      </c>
      <c r="B166" s="46">
        <v>3</v>
      </c>
      <c r="C166" s="46">
        <v>0</v>
      </c>
      <c r="D166" s="47">
        <v>535220212</v>
      </c>
      <c r="E166" s="47" t="s">
        <v>143</v>
      </c>
      <c r="F166" s="45" t="s">
        <v>166</v>
      </c>
      <c r="G166" s="59">
        <v>4</v>
      </c>
      <c r="H166" s="24">
        <v>1</v>
      </c>
      <c r="I166" s="24">
        <v>1</v>
      </c>
      <c r="J166" s="24" t="s">
        <v>1061</v>
      </c>
      <c r="K166" s="24" t="s">
        <v>350</v>
      </c>
      <c r="L166" s="24" t="s">
        <v>142</v>
      </c>
      <c r="M166" s="24" t="s">
        <v>166</v>
      </c>
      <c r="N166" s="48">
        <v>999</v>
      </c>
      <c r="S166">
        <v>7</v>
      </c>
      <c r="T166">
        <v>1</v>
      </c>
      <c r="U166">
        <v>2</v>
      </c>
      <c r="V166" s="25">
        <v>5</v>
      </c>
      <c r="W166" s="32">
        <v>0</v>
      </c>
    </row>
    <row r="167" spans="1:23" ht="15" x14ac:dyDescent="0.2">
      <c r="A167" s="46">
        <v>5</v>
      </c>
      <c r="B167" s="46">
        <v>3</v>
      </c>
      <c r="C167" s="46">
        <v>0</v>
      </c>
      <c r="D167" s="47">
        <v>535220045</v>
      </c>
      <c r="E167" s="47" t="s">
        <v>143</v>
      </c>
      <c r="F167" s="45" t="s">
        <v>166</v>
      </c>
      <c r="G167" s="59">
        <v>4</v>
      </c>
      <c r="H167" s="24">
        <v>1</v>
      </c>
      <c r="I167" s="24">
        <v>1</v>
      </c>
      <c r="J167" s="24" t="s">
        <v>1062</v>
      </c>
      <c r="K167" s="24" t="s">
        <v>351</v>
      </c>
      <c r="L167" s="24" t="s">
        <v>142</v>
      </c>
      <c r="M167" s="24" t="s">
        <v>166</v>
      </c>
      <c r="N167" s="48">
        <v>999</v>
      </c>
      <c r="S167">
        <v>7</v>
      </c>
      <c r="T167">
        <v>1</v>
      </c>
      <c r="U167">
        <v>3</v>
      </c>
      <c r="V167" s="25">
        <v>5</v>
      </c>
      <c r="W167" s="32">
        <v>0</v>
      </c>
    </row>
    <row r="168" spans="1:23" ht="15" x14ac:dyDescent="0.2">
      <c r="A168" s="46">
        <v>6</v>
      </c>
      <c r="B168" s="46">
        <v>3</v>
      </c>
      <c r="C168" s="46">
        <v>0</v>
      </c>
      <c r="D168" s="47">
        <v>535220077</v>
      </c>
      <c r="E168" s="47" t="s">
        <v>142</v>
      </c>
      <c r="F168" s="45" t="s">
        <v>170</v>
      </c>
      <c r="G168" s="59">
        <v>5</v>
      </c>
      <c r="H168" s="24">
        <v>1</v>
      </c>
      <c r="I168" s="24">
        <v>1</v>
      </c>
      <c r="J168" s="24" t="s">
        <v>1073</v>
      </c>
      <c r="K168" s="24" t="s">
        <v>362</v>
      </c>
      <c r="L168" s="24" t="s">
        <v>142</v>
      </c>
      <c r="M168" s="24" t="s">
        <v>166</v>
      </c>
      <c r="N168" s="48">
        <v>999</v>
      </c>
      <c r="S168">
        <v>7</v>
      </c>
      <c r="T168">
        <v>1</v>
      </c>
      <c r="U168">
        <v>4</v>
      </c>
      <c r="V168" s="25">
        <v>0</v>
      </c>
      <c r="W168" s="32">
        <v>0</v>
      </c>
    </row>
    <row r="169" spans="1:23" ht="15" x14ac:dyDescent="0.2">
      <c r="A169" s="46">
        <v>6</v>
      </c>
      <c r="B169" s="46">
        <v>3</v>
      </c>
      <c r="C169" s="46">
        <v>0</v>
      </c>
      <c r="D169" s="47">
        <v>535220084</v>
      </c>
      <c r="E169" s="47" t="s">
        <v>142</v>
      </c>
      <c r="F169" s="45" t="s">
        <v>170</v>
      </c>
      <c r="G169" s="59">
        <v>5</v>
      </c>
      <c r="H169" s="24">
        <v>1</v>
      </c>
      <c r="I169" s="24">
        <v>1</v>
      </c>
      <c r="J169" s="24" t="s">
        <v>1074</v>
      </c>
      <c r="K169" s="24" t="s">
        <v>363</v>
      </c>
      <c r="L169" s="24" t="s">
        <v>142</v>
      </c>
      <c r="M169" s="24" t="s">
        <v>166</v>
      </c>
      <c r="N169" s="48">
        <v>999</v>
      </c>
      <c r="S169">
        <v>7</v>
      </c>
      <c r="T169">
        <v>1</v>
      </c>
      <c r="U169">
        <v>5</v>
      </c>
      <c r="V169" s="25">
        <v>0</v>
      </c>
      <c r="W169" s="32">
        <v>0</v>
      </c>
    </row>
    <row r="170" spans="1:23" ht="15" x14ac:dyDescent="0.2">
      <c r="A170" s="46">
        <v>6</v>
      </c>
      <c r="B170" s="46">
        <v>3</v>
      </c>
      <c r="C170" s="46">
        <v>0</v>
      </c>
      <c r="D170" s="47">
        <v>535220034</v>
      </c>
      <c r="E170" s="47" t="s">
        <v>142</v>
      </c>
      <c r="F170" s="45" t="s">
        <v>167</v>
      </c>
      <c r="G170" s="59">
        <v>5</v>
      </c>
      <c r="H170" s="24">
        <v>1</v>
      </c>
      <c r="I170" s="24">
        <v>1</v>
      </c>
      <c r="J170" s="24" t="s">
        <v>1075</v>
      </c>
      <c r="K170" s="24" t="s">
        <v>364</v>
      </c>
      <c r="L170" s="24" t="s">
        <v>142</v>
      </c>
      <c r="M170" s="24" t="s">
        <v>166</v>
      </c>
      <c r="N170" s="48">
        <v>999</v>
      </c>
      <c r="S170">
        <v>7</v>
      </c>
      <c r="T170">
        <v>1</v>
      </c>
      <c r="U170">
        <v>6</v>
      </c>
      <c r="V170" s="25">
        <v>0</v>
      </c>
      <c r="W170" s="32">
        <v>0</v>
      </c>
    </row>
    <row r="171" spans="1:23" ht="15" x14ac:dyDescent="0.2">
      <c r="A171" s="46">
        <v>6</v>
      </c>
      <c r="B171" s="46">
        <v>3</v>
      </c>
      <c r="C171" s="46">
        <v>0</v>
      </c>
      <c r="D171" s="47">
        <v>535220035</v>
      </c>
      <c r="E171" s="47" t="s">
        <v>142</v>
      </c>
      <c r="F171" s="45" t="s">
        <v>167</v>
      </c>
      <c r="G171" s="59">
        <v>5</v>
      </c>
      <c r="H171" s="24">
        <v>1</v>
      </c>
      <c r="I171" s="24">
        <v>1</v>
      </c>
      <c r="J171" s="24" t="s">
        <v>1076</v>
      </c>
      <c r="K171" s="24" t="s">
        <v>365</v>
      </c>
      <c r="L171" s="24" t="s">
        <v>143</v>
      </c>
      <c r="M171" s="24" t="s">
        <v>166</v>
      </c>
      <c r="N171" s="48">
        <v>999</v>
      </c>
      <c r="S171">
        <v>7</v>
      </c>
      <c r="T171">
        <v>2</v>
      </c>
      <c r="U171">
        <v>0</v>
      </c>
      <c r="V171" s="25">
        <v>0</v>
      </c>
      <c r="W171" s="32">
        <v>0</v>
      </c>
    </row>
    <row r="172" spans="1:23" ht="15" x14ac:dyDescent="0.2">
      <c r="A172" s="46">
        <v>6</v>
      </c>
      <c r="B172" s="46">
        <v>3</v>
      </c>
      <c r="C172" s="46">
        <v>0</v>
      </c>
      <c r="D172" s="47">
        <v>535220128</v>
      </c>
      <c r="E172" s="47" t="s">
        <v>142</v>
      </c>
      <c r="F172" s="45" t="s">
        <v>166</v>
      </c>
      <c r="G172" s="59">
        <v>5</v>
      </c>
      <c r="H172" s="24">
        <v>1</v>
      </c>
      <c r="I172" s="24">
        <v>1</v>
      </c>
      <c r="J172" s="24" t="s">
        <v>1077</v>
      </c>
      <c r="K172" s="24" t="s">
        <v>366</v>
      </c>
      <c r="L172" s="24" t="s">
        <v>143</v>
      </c>
      <c r="M172" s="24" t="s">
        <v>166</v>
      </c>
      <c r="N172" s="48">
        <v>999</v>
      </c>
      <c r="S172">
        <v>7</v>
      </c>
      <c r="T172">
        <v>2</v>
      </c>
      <c r="U172">
        <v>1</v>
      </c>
      <c r="V172" s="25">
        <v>0</v>
      </c>
      <c r="W172" s="32">
        <v>0</v>
      </c>
    </row>
    <row r="173" spans="1:23" ht="15" x14ac:dyDescent="0.2">
      <c r="A173" s="46">
        <v>3</v>
      </c>
      <c r="B173" s="46">
        <v>2</v>
      </c>
      <c r="C173" s="46">
        <v>2</v>
      </c>
      <c r="D173" s="47">
        <v>535220165</v>
      </c>
      <c r="E173" s="47" t="s">
        <v>142</v>
      </c>
      <c r="F173" s="45" t="s">
        <v>168</v>
      </c>
      <c r="G173" s="59">
        <v>6</v>
      </c>
      <c r="H173" s="24">
        <v>1</v>
      </c>
      <c r="I173" s="24">
        <v>1</v>
      </c>
      <c r="J173" s="24" t="s">
        <v>1088</v>
      </c>
      <c r="K173" s="24" t="s">
        <v>377</v>
      </c>
      <c r="L173" s="24" t="s">
        <v>143</v>
      </c>
      <c r="M173" s="24" t="s">
        <v>166</v>
      </c>
      <c r="N173" s="48">
        <v>999</v>
      </c>
      <c r="S173">
        <v>7</v>
      </c>
      <c r="T173">
        <v>2</v>
      </c>
      <c r="U173">
        <v>2</v>
      </c>
      <c r="V173" s="25">
        <v>0</v>
      </c>
      <c r="W173" s="32">
        <v>0</v>
      </c>
    </row>
    <row r="174" spans="1:23" ht="15" x14ac:dyDescent="0.2">
      <c r="A174" s="46">
        <v>3</v>
      </c>
      <c r="B174" s="46">
        <v>2</v>
      </c>
      <c r="C174" s="46">
        <v>2</v>
      </c>
      <c r="D174" s="47">
        <v>535220197</v>
      </c>
      <c r="E174" s="47" t="s">
        <v>142</v>
      </c>
      <c r="F174" s="45" t="s">
        <v>168</v>
      </c>
      <c r="G174" s="59">
        <v>6</v>
      </c>
      <c r="H174" s="24">
        <v>1</v>
      </c>
      <c r="I174" s="24">
        <v>1</v>
      </c>
      <c r="J174" s="24" t="s">
        <v>1089</v>
      </c>
      <c r="K174" s="24" t="s">
        <v>378</v>
      </c>
      <c r="L174" s="24" t="s">
        <v>143</v>
      </c>
      <c r="M174" s="24" t="s">
        <v>166</v>
      </c>
      <c r="N174" s="48">
        <v>999</v>
      </c>
      <c r="S174">
        <v>7</v>
      </c>
      <c r="T174">
        <v>2</v>
      </c>
      <c r="U174">
        <v>3</v>
      </c>
      <c r="V174" s="25">
        <v>0</v>
      </c>
      <c r="W174" s="32">
        <v>0</v>
      </c>
    </row>
    <row r="175" spans="1:23" ht="15" x14ac:dyDescent="0.2">
      <c r="A175" s="46">
        <v>3</v>
      </c>
      <c r="B175" s="46">
        <v>2</v>
      </c>
      <c r="C175" s="46">
        <v>2</v>
      </c>
      <c r="D175" s="47">
        <v>535220201</v>
      </c>
      <c r="E175" s="47" t="s">
        <v>142</v>
      </c>
      <c r="F175" s="45" t="s">
        <v>168</v>
      </c>
      <c r="G175" s="59">
        <v>6</v>
      </c>
      <c r="H175" s="24">
        <v>1</v>
      </c>
      <c r="I175" s="24">
        <v>1</v>
      </c>
      <c r="J175" s="24" t="s">
        <v>1090</v>
      </c>
      <c r="K175" s="24" t="s">
        <v>379</v>
      </c>
      <c r="L175" s="24" t="s">
        <v>142</v>
      </c>
      <c r="M175" s="24" t="s">
        <v>167</v>
      </c>
      <c r="N175" s="48">
        <v>999</v>
      </c>
      <c r="S175">
        <v>7</v>
      </c>
      <c r="T175">
        <v>2</v>
      </c>
      <c r="U175">
        <v>4</v>
      </c>
      <c r="V175" s="25">
        <v>0</v>
      </c>
      <c r="W175" s="32">
        <v>0</v>
      </c>
    </row>
    <row r="176" spans="1:23" ht="15" x14ac:dyDescent="0.2">
      <c r="A176" s="46">
        <v>3</v>
      </c>
      <c r="B176" s="46">
        <v>2</v>
      </c>
      <c r="C176" s="46">
        <v>2</v>
      </c>
      <c r="D176" s="47">
        <v>535229202</v>
      </c>
      <c r="E176" s="47" t="s">
        <v>142</v>
      </c>
      <c r="F176" s="45" t="s">
        <v>168</v>
      </c>
      <c r="G176" s="59">
        <v>6</v>
      </c>
      <c r="H176" s="24">
        <v>1</v>
      </c>
      <c r="I176" s="24">
        <v>1</v>
      </c>
      <c r="J176" s="24" t="s">
        <v>1091</v>
      </c>
      <c r="K176" s="24" t="s">
        <v>380</v>
      </c>
      <c r="L176" s="24" t="s">
        <v>142</v>
      </c>
      <c r="M176" s="24" t="s">
        <v>167</v>
      </c>
      <c r="N176" s="48">
        <v>999</v>
      </c>
      <c r="S176">
        <v>7</v>
      </c>
      <c r="T176">
        <v>2</v>
      </c>
      <c r="U176">
        <v>5</v>
      </c>
      <c r="V176" s="25">
        <v>0</v>
      </c>
      <c r="W176" s="32">
        <v>0</v>
      </c>
    </row>
    <row r="177" spans="1:23" ht="15" x14ac:dyDescent="0.2">
      <c r="A177" s="46">
        <v>3</v>
      </c>
      <c r="B177" s="46">
        <v>2</v>
      </c>
      <c r="C177" s="46">
        <v>2</v>
      </c>
      <c r="D177" s="47">
        <v>825220051</v>
      </c>
      <c r="E177" s="47" t="s">
        <v>142</v>
      </c>
      <c r="F177" s="45" t="s">
        <v>168</v>
      </c>
      <c r="G177" s="59">
        <v>6</v>
      </c>
      <c r="H177" s="24">
        <v>1</v>
      </c>
      <c r="I177" s="24">
        <v>1</v>
      </c>
      <c r="J177" s="24" t="s">
        <v>1092</v>
      </c>
      <c r="K177" s="24" t="s">
        <v>381</v>
      </c>
      <c r="L177" s="24" t="s">
        <v>142</v>
      </c>
      <c r="M177" s="24" t="s">
        <v>167</v>
      </c>
      <c r="N177" s="48">
        <v>999</v>
      </c>
      <c r="S177">
        <v>7</v>
      </c>
      <c r="T177">
        <v>2</v>
      </c>
      <c r="U177">
        <v>6</v>
      </c>
      <c r="V177" s="25">
        <v>0</v>
      </c>
      <c r="W177" s="32">
        <v>0</v>
      </c>
    </row>
    <row r="178" spans="1:23" ht="15" x14ac:dyDescent="0.2">
      <c r="A178" s="46">
        <v>0</v>
      </c>
      <c r="B178" s="46">
        <v>3</v>
      </c>
      <c r="C178" s="46">
        <v>0</v>
      </c>
      <c r="D178" s="47">
        <v>535220221</v>
      </c>
      <c r="E178" s="47" t="s">
        <v>142</v>
      </c>
      <c r="F178" s="45" t="s">
        <v>163</v>
      </c>
      <c r="G178" s="59">
        <v>0</v>
      </c>
      <c r="H178" s="24">
        <v>1</v>
      </c>
      <c r="I178" s="24">
        <v>2</v>
      </c>
      <c r="J178" s="24" t="s">
        <v>1003</v>
      </c>
      <c r="K178" s="24" t="s">
        <v>292</v>
      </c>
      <c r="L178" s="24" t="s">
        <v>142</v>
      </c>
      <c r="M178" s="24" t="s">
        <v>156</v>
      </c>
      <c r="N178" s="48">
        <v>999</v>
      </c>
      <c r="V178" s="24"/>
      <c r="W178" s="31"/>
    </row>
    <row r="179" spans="1:23" ht="15" x14ac:dyDescent="0.2">
      <c r="A179" s="46">
        <v>0</v>
      </c>
      <c r="B179" s="46">
        <v>3</v>
      </c>
      <c r="C179" s="46">
        <v>0</v>
      </c>
      <c r="D179" s="47">
        <v>535220224</v>
      </c>
      <c r="E179" s="47" t="s">
        <v>142</v>
      </c>
      <c r="F179" s="45" t="s">
        <v>163</v>
      </c>
      <c r="G179" s="59">
        <v>0</v>
      </c>
      <c r="H179" s="24">
        <v>1</v>
      </c>
      <c r="I179" s="24">
        <v>2</v>
      </c>
      <c r="J179" s="24" t="s">
        <v>1004</v>
      </c>
      <c r="K179" s="24" t="s">
        <v>293</v>
      </c>
      <c r="L179" s="24" t="s">
        <v>142</v>
      </c>
      <c r="M179" s="24" t="s">
        <v>156</v>
      </c>
      <c r="N179" s="48">
        <v>999</v>
      </c>
      <c r="S179" s="34">
        <v>8</v>
      </c>
      <c r="T179">
        <v>0</v>
      </c>
      <c r="U179">
        <v>0</v>
      </c>
      <c r="V179" s="25">
        <v>5</v>
      </c>
      <c r="W179" s="32">
        <v>0</v>
      </c>
    </row>
    <row r="180" spans="1:23" ht="15" x14ac:dyDescent="0.2">
      <c r="A180" s="46">
        <v>0</v>
      </c>
      <c r="B180" s="46">
        <v>3</v>
      </c>
      <c r="C180" s="46">
        <v>0</v>
      </c>
      <c r="D180" s="47">
        <v>535220234</v>
      </c>
      <c r="E180" s="47" t="s">
        <v>142</v>
      </c>
      <c r="F180" s="45" t="s">
        <v>163</v>
      </c>
      <c r="G180" s="59">
        <v>0</v>
      </c>
      <c r="H180" s="24">
        <v>1</v>
      </c>
      <c r="I180" s="24">
        <v>2</v>
      </c>
      <c r="J180" s="24" t="s">
        <v>1005</v>
      </c>
      <c r="K180" s="24" t="s">
        <v>294</v>
      </c>
      <c r="L180" s="24" t="s">
        <v>142</v>
      </c>
      <c r="M180" s="24" t="s">
        <v>156</v>
      </c>
      <c r="N180" s="48">
        <v>999</v>
      </c>
      <c r="S180">
        <v>8</v>
      </c>
      <c r="T180">
        <v>0</v>
      </c>
      <c r="U180">
        <v>1</v>
      </c>
      <c r="V180" s="25">
        <v>5</v>
      </c>
      <c r="W180" s="32">
        <v>0</v>
      </c>
    </row>
    <row r="181" spans="1:23" ht="15" x14ac:dyDescent="0.2">
      <c r="A181" s="46">
        <v>0</v>
      </c>
      <c r="B181" s="46">
        <v>3</v>
      </c>
      <c r="C181" s="46">
        <v>0</v>
      </c>
      <c r="D181" s="47">
        <v>535220242</v>
      </c>
      <c r="E181" s="47" t="s">
        <v>142</v>
      </c>
      <c r="F181" s="45" t="s">
        <v>163</v>
      </c>
      <c r="G181" s="59">
        <v>0</v>
      </c>
      <c r="H181" s="24">
        <v>1</v>
      </c>
      <c r="I181" s="24">
        <v>2</v>
      </c>
      <c r="J181" s="24" t="s">
        <v>1006</v>
      </c>
      <c r="K181" s="24" t="s">
        <v>295</v>
      </c>
      <c r="L181" s="24" t="s">
        <v>142</v>
      </c>
      <c r="M181" s="24" t="s">
        <v>156</v>
      </c>
      <c r="N181" s="48">
        <v>999</v>
      </c>
      <c r="S181">
        <v>8</v>
      </c>
      <c r="T181">
        <v>0</v>
      </c>
      <c r="U181">
        <v>2</v>
      </c>
      <c r="V181" s="25">
        <v>5</v>
      </c>
      <c r="W181" s="32">
        <v>0</v>
      </c>
    </row>
    <row r="182" spans="1:23" ht="15" x14ac:dyDescent="0.2">
      <c r="A182" s="46">
        <v>0</v>
      </c>
      <c r="B182" s="46">
        <v>3</v>
      </c>
      <c r="C182" s="46">
        <v>0</v>
      </c>
      <c r="D182" s="47">
        <v>535220266</v>
      </c>
      <c r="E182" s="47" t="s">
        <v>142</v>
      </c>
      <c r="F182" s="45" t="s">
        <v>163</v>
      </c>
      <c r="G182" s="59">
        <v>0</v>
      </c>
      <c r="H182" s="24">
        <v>1</v>
      </c>
      <c r="I182" s="24">
        <v>2</v>
      </c>
      <c r="J182" s="24" t="s">
        <v>1007</v>
      </c>
      <c r="K182" s="24" t="s">
        <v>296</v>
      </c>
      <c r="L182" s="24" t="s">
        <v>142</v>
      </c>
      <c r="M182" s="24" t="s">
        <v>156</v>
      </c>
      <c r="N182" s="48">
        <v>999</v>
      </c>
      <c r="S182">
        <v>8</v>
      </c>
      <c r="T182">
        <v>0</v>
      </c>
      <c r="U182">
        <v>3</v>
      </c>
      <c r="V182" s="25">
        <v>5</v>
      </c>
      <c r="W182" s="32">
        <v>0</v>
      </c>
    </row>
    <row r="183" spans="1:23" ht="15" x14ac:dyDescent="0.2">
      <c r="A183" s="46">
        <v>1</v>
      </c>
      <c r="B183" s="46">
        <v>3</v>
      </c>
      <c r="C183" s="46">
        <v>0</v>
      </c>
      <c r="D183" s="47">
        <v>825220041</v>
      </c>
      <c r="E183" s="47" t="s">
        <v>142</v>
      </c>
      <c r="F183" s="45" t="s">
        <v>155</v>
      </c>
      <c r="G183" s="59">
        <v>1</v>
      </c>
      <c r="H183" s="24">
        <v>1</v>
      </c>
      <c r="I183" s="24">
        <v>2</v>
      </c>
      <c r="J183" s="24" t="s">
        <v>1018</v>
      </c>
      <c r="K183" s="24" t="s">
        <v>307</v>
      </c>
      <c r="L183" s="24" t="s">
        <v>142</v>
      </c>
      <c r="M183" s="24" t="s">
        <v>156</v>
      </c>
      <c r="N183" s="48">
        <v>999</v>
      </c>
      <c r="S183">
        <v>8</v>
      </c>
      <c r="T183">
        <v>0</v>
      </c>
      <c r="U183">
        <v>4</v>
      </c>
      <c r="V183" s="25">
        <v>5</v>
      </c>
      <c r="W183" s="32">
        <v>0</v>
      </c>
    </row>
    <row r="184" spans="1:23" ht="15" x14ac:dyDescent="0.2">
      <c r="A184" s="46">
        <v>1</v>
      </c>
      <c r="B184" s="46">
        <v>3</v>
      </c>
      <c r="C184" s="46">
        <v>0</v>
      </c>
      <c r="D184" s="47">
        <v>825220065</v>
      </c>
      <c r="E184" s="47" t="s">
        <v>142</v>
      </c>
      <c r="F184" s="45" t="s">
        <v>155</v>
      </c>
      <c r="G184" s="59">
        <v>1</v>
      </c>
      <c r="H184" s="24">
        <v>1</v>
      </c>
      <c r="I184" s="24">
        <v>2</v>
      </c>
      <c r="J184" s="24" t="s">
        <v>1019</v>
      </c>
      <c r="K184" s="24" t="s">
        <v>308</v>
      </c>
      <c r="L184" s="24" t="s">
        <v>142</v>
      </c>
      <c r="M184" s="24" t="s">
        <v>156</v>
      </c>
      <c r="N184" s="48">
        <v>999</v>
      </c>
      <c r="S184">
        <v>8</v>
      </c>
      <c r="T184">
        <v>0</v>
      </c>
      <c r="U184">
        <v>5</v>
      </c>
      <c r="V184" s="25">
        <v>5</v>
      </c>
      <c r="W184" s="32">
        <v>0</v>
      </c>
    </row>
    <row r="185" spans="1:23" ht="15" x14ac:dyDescent="0.2">
      <c r="A185" s="46">
        <v>1</v>
      </c>
      <c r="B185" s="46">
        <v>3</v>
      </c>
      <c r="C185" s="46">
        <v>0</v>
      </c>
      <c r="D185" s="47">
        <v>825220067</v>
      </c>
      <c r="E185" s="47" t="s">
        <v>142</v>
      </c>
      <c r="F185" s="45" t="s">
        <v>155</v>
      </c>
      <c r="G185" s="59">
        <v>1</v>
      </c>
      <c r="H185" s="24">
        <v>1</v>
      </c>
      <c r="I185" s="24">
        <v>2</v>
      </c>
      <c r="J185" s="24" t="s">
        <v>1020</v>
      </c>
      <c r="K185" s="24" t="s">
        <v>309</v>
      </c>
      <c r="L185" s="24" t="s">
        <v>142</v>
      </c>
      <c r="M185" s="24" t="s">
        <v>156</v>
      </c>
      <c r="N185" s="48">
        <v>999</v>
      </c>
      <c r="S185">
        <v>8</v>
      </c>
      <c r="T185">
        <v>0</v>
      </c>
      <c r="U185">
        <v>6</v>
      </c>
      <c r="V185" s="25">
        <v>0</v>
      </c>
      <c r="W185" s="32">
        <v>0</v>
      </c>
    </row>
    <row r="186" spans="1:23" ht="15" x14ac:dyDescent="0.2">
      <c r="A186" s="46">
        <v>1</v>
      </c>
      <c r="B186" s="46">
        <v>3</v>
      </c>
      <c r="C186" s="46">
        <v>0</v>
      </c>
      <c r="D186" s="47">
        <v>825220083</v>
      </c>
      <c r="E186" s="47" t="s">
        <v>142</v>
      </c>
      <c r="F186" s="45" t="s">
        <v>155</v>
      </c>
      <c r="G186" s="59">
        <v>1</v>
      </c>
      <c r="H186" s="24">
        <v>1</v>
      </c>
      <c r="I186" s="24">
        <v>2</v>
      </c>
      <c r="J186" s="24" t="s">
        <v>1021</v>
      </c>
      <c r="K186" s="24" t="s">
        <v>310</v>
      </c>
      <c r="L186" s="24" t="s">
        <v>147</v>
      </c>
      <c r="M186" s="24" t="s">
        <v>156</v>
      </c>
      <c r="N186" s="48">
        <v>999</v>
      </c>
      <c r="S186">
        <v>8</v>
      </c>
      <c r="T186">
        <v>1</v>
      </c>
      <c r="U186">
        <v>0</v>
      </c>
      <c r="V186" s="25">
        <v>0</v>
      </c>
      <c r="W186" s="32">
        <v>0</v>
      </c>
    </row>
    <row r="187" spans="1:23" ht="15" x14ac:dyDescent="0.2">
      <c r="A187" s="46">
        <v>1</v>
      </c>
      <c r="B187" s="46">
        <v>3</v>
      </c>
      <c r="C187" s="46">
        <v>0</v>
      </c>
      <c r="D187" s="47">
        <v>825220108</v>
      </c>
      <c r="E187" s="47" t="s">
        <v>142</v>
      </c>
      <c r="F187" s="45" t="s">
        <v>155</v>
      </c>
      <c r="G187" s="59">
        <v>1</v>
      </c>
      <c r="H187" s="24">
        <v>1</v>
      </c>
      <c r="I187" s="24">
        <v>2</v>
      </c>
      <c r="J187" s="24" t="s">
        <v>1022</v>
      </c>
      <c r="K187" s="24" t="s">
        <v>311</v>
      </c>
      <c r="L187" s="24" t="s">
        <v>147</v>
      </c>
      <c r="M187" s="24" t="s">
        <v>156</v>
      </c>
      <c r="N187" s="48">
        <v>999</v>
      </c>
      <c r="S187">
        <v>8</v>
      </c>
      <c r="T187">
        <v>1</v>
      </c>
      <c r="U187">
        <v>1</v>
      </c>
      <c r="V187" s="25">
        <v>0</v>
      </c>
      <c r="W187" s="32">
        <v>0</v>
      </c>
    </row>
    <row r="188" spans="1:23" ht="15" x14ac:dyDescent="0.2">
      <c r="A188" s="46">
        <v>2</v>
      </c>
      <c r="B188" s="46">
        <v>3</v>
      </c>
      <c r="C188" s="46">
        <v>0</v>
      </c>
      <c r="D188" s="47">
        <v>825220074</v>
      </c>
      <c r="E188" s="47" t="s">
        <v>142</v>
      </c>
      <c r="F188" s="45" t="s">
        <v>153</v>
      </c>
      <c r="G188" s="59">
        <v>2</v>
      </c>
      <c r="H188" s="24">
        <v>1</v>
      </c>
      <c r="I188" s="24">
        <v>2</v>
      </c>
      <c r="J188" s="24" t="s">
        <v>1033</v>
      </c>
      <c r="K188" s="24" t="s">
        <v>322</v>
      </c>
      <c r="L188" s="24" t="s">
        <v>142</v>
      </c>
      <c r="M188" s="24" t="s">
        <v>157</v>
      </c>
      <c r="N188" s="48">
        <v>999</v>
      </c>
      <c r="S188">
        <v>8</v>
      </c>
      <c r="T188">
        <v>1</v>
      </c>
      <c r="U188">
        <v>2</v>
      </c>
      <c r="V188" s="25">
        <v>0</v>
      </c>
      <c r="W188" s="32">
        <v>0</v>
      </c>
    </row>
    <row r="189" spans="1:23" ht="15" x14ac:dyDescent="0.2">
      <c r="A189" s="46">
        <v>2</v>
      </c>
      <c r="B189" s="46">
        <v>3</v>
      </c>
      <c r="C189" s="46">
        <v>0</v>
      </c>
      <c r="D189" s="47">
        <v>825220159</v>
      </c>
      <c r="E189" s="47" t="s">
        <v>142</v>
      </c>
      <c r="F189" s="45" t="s">
        <v>153</v>
      </c>
      <c r="G189" s="59">
        <v>2</v>
      </c>
      <c r="H189" s="24">
        <v>1</v>
      </c>
      <c r="I189" s="24">
        <v>2</v>
      </c>
      <c r="J189" s="24" t="s">
        <v>1034</v>
      </c>
      <c r="K189" s="24" t="s">
        <v>323</v>
      </c>
      <c r="L189" s="24" t="s">
        <v>142</v>
      </c>
      <c r="M189" s="24" t="s">
        <v>157</v>
      </c>
      <c r="N189" s="48">
        <v>999</v>
      </c>
      <c r="S189">
        <v>8</v>
      </c>
      <c r="T189">
        <v>1</v>
      </c>
      <c r="U189">
        <v>3</v>
      </c>
      <c r="V189" s="25">
        <v>0</v>
      </c>
      <c r="W189" s="32">
        <v>0</v>
      </c>
    </row>
    <row r="190" spans="1:23" ht="15" x14ac:dyDescent="0.2">
      <c r="A190" s="46">
        <v>2</v>
      </c>
      <c r="B190" s="46">
        <v>3</v>
      </c>
      <c r="C190" s="46">
        <v>0</v>
      </c>
      <c r="D190" s="47">
        <v>825220160</v>
      </c>
      <c r="E190" s="47" t="s">
        <v>142</v>
      </c>
      <c r="F190" s="45" t="s">
        <v>153</v>
      </c>
      <c r="G190" s="59">
        <v>2</v>
      </c>
      <c r="H190" s="24">
        <v>1</v>
      </c>
      <c r="I190" s="24">
        <v>2</v>
      </c>
      <c r="J190" s="24" t="s">
        <v>1035</v>
      </c>
      <c r="K190" s="24" t="s">
        <v>324</v>
      </c>
      <c r="L190" s="24" t="s">
        <v>142</v>
      </c>
      <c r="M190" s="24" t="s">
        <v>157</v>
      </c>
      <c r="N190" s="48">
        <v>999</v>
      </c>
      <c r="S190">
        <v>8</v>
      </c>
      <c r="T190">
        <v>1</v>
      </c>
      <c r="U190">
        <v>4</v>
      </c>
      <c r="V190" s="25">
        <v>0</v>
      </c>
      <c r="W190" s="32">
        <v>0</v>
      </c>
    </row>
    <row r="191" spans="1:23" ht="15" x14ac:dyDescent="0.2">
      <c r="A191" s="46">
        <v>2</v>
      </c>
      <c r="B191" s="46">
        <v>3</v>
      </c>
      <c r="C191" s="46">
        <v>0</v>
      </c>
      <c r="D191" s="47">
        <v>825220161</v>
      </c>
      <c r="E191" s="47" t="s">
        <v>142</v>
      </c>
      <c r="F191" s="45" t="s">
        <v>153</v>
      </c>
      <c r="G191" s="59">
        <v>2</v>
      </c>
      <c r="H191" s="24">
        <v>1</v>
      </c>
      <c r="I191" s="24">
        <v>2</v>
      </c>
      <c r="J191" s="24" t="s">
        <v>1036</v>
      </c>
      <c r="K191" s="24" t="s">
        <v>325</v>
      </c>
      <c r="L191" s="24" t="s">
        <v>142</v>
      </c>
      <c r="M191" s="24" t="s">
        <v>157</v>
      </c>
      <c r="N191" s="48">
        <v>999</v>
      </c>
      <c r="S191">
        <v>8</v>
      </c>
      <c r="T191">
        <v>1</v>
      </c>
      <c r="U191">
        <v>5</v>
      </c>
      <c r="V191" s="25">
        <v>0</v>
      </c>
      <c r="W191" s="32">
        <v>0</v>
      </c>
    </row>
    <row r="192" spans="1:23" ht="15" x14ac:dyDescent="0.2">
      <c r="A192" s="46">
        <v>2</v>
      </c>
      <c r="B192" s="46">
        <v>3</v>
      </c>
      <c r="C192" s="46">
        <v>0</v>
      </c>
      <c r="D192" s="49">
        <v>825220163</v>
      </c>
      <c r="E192" s="47" t="s">
        <v>142</v>
      </c>
      <c r="F192" s="45" t="s">
        <v>153</v>
      </c>
      <c r="G192" s="59">
        <v>2</v>
      </c>
      <c r="H192" s="24">
        <v>1</v>
      </c>
      <c r="I192" s="24">
        <v>2</v>
      </c>
      <c r="J192" s="24" t="s">
        <v>1037</v>
      </c>
      <c r="K192" s="24" t="s">
        <v>326</v>
      </c>
      <c r="L192" s="24" t="s">
        <v>142</v>
      </c>
      <c r="M192" s="24" t="s">
        <v>157</v>
      </c>
      <c r="N192" s="48">
        <v>999</v>
      </c>
      <c r="S192">
        <v>8</v>
      </c>
      <c r="T192">
        <v>1</v>
      </c>
      <c r="U192">
        <v>6</v>
      </c>
      <c r="V192" s="25">
        <v>0</v>
      </c>
      <c r="W192" s="32">
        <v>0</v>
      </c>
    </row>
    <row r="193" spans="1:23" ht="15" x14ac:dyDescent="0.2">
      <c r="A193" s="46">
        <v>3</v>
      </c>
      <c r="B193" s="46">
        <v>3</v>
      </c>
      <c r="C193" s="46">
        <v>0</v>
      </c>
      <c r="D193" s="47">
        <v>825220164</v>
      </c>
      <c r="E193" s="47" t="s">
        <v>142</v>
      </c>
      <c r="F193" s="45" t="s">
        <v>153</v>
      </c>
      <c r="G193" s="59">
        <v>3</v>
      </c>
      <c r="H193" s="24">
        <v>1</v>
      </c>
      <c r="I193" s="24">
        <v>2</v>
      </c>
      <c r="J193" s="24" t="s">
        <v>1048</v>
      </c>
      <c r="K193" s="24" t="s">
        <v>337</v>
      </c>
      <c r="L193" s="24" t="s">
        <v>142</v>
      </c>
      <c r="M193" s="24" t="s">
        <v>166</v>
      </c>
      <c r="N193" s="48">
        <v>999</v>
      </c>
      <c r="S193">
        <v>8</v>
      </c>
      <c r="T193">
        <v>2</v>
      </c>
      <c r="U193">
        <v>0</v>
      </c>
      <c r="V193" s="25">
        <v>0</v>
      </c>
      <c r="W193" s="32">
        <v>0</v>
      </c>
    </row>
    <row r="194" spans="1:23" ht="15" x14ac:dyDescent="0.2">
      <c r="A194" s="46">
        <v>3</v>
      </c>
      <c r="B194" s="46">
        <v>3</v>
      </c>
      <c r="C194" s="46">
        <v>0</v>
      </c>
      <c r="D194" s="47">
        <v>825220068</v>
      </c>
      <c r="E194" s="47" t="s">
        <v>142</v>
      </c>
      <c r="F194" s="45" t="s">
        <v>153</v>
      </c>
      <c r="G194" s="59">
        <v>3</v>
      </c>
      <c r="H194" s="24">
        <v>1</v>
      </c>
      <c r="I194" s="24">
        <v>2</v>
      </c>
      <c r="J194" s="24" t="s">
        <v>1049</v>
      </c>
      <c r="K194" s="24" t="s">
        <v>338</v>
      </c>
      <c r="L194" s="24" t="s">
        <v>142</v>
      </c>
      <c r="M194" s="24" t="s">
        <v>166</v>
      </c>
      <c r="N194" s="48">
        <v>999</v>
      </c>
      <c r="S194">
        <v>8</v>
      </c>
      <c r="T194">
        <v>2</v>
      </c>
      <c r="U194">
        <v>1</v>
      </c>
      <c r="V194" s="25">
        <v>0</v>
      </c>
      <c r="W194" s="32">
        <v>0</v>
      </c>
    </row>
    <row r="195" spans="1:23" ht="15" x14ac:dyDescent="0.2">
      <c r="A195" s="46">
        <v>3</v>
      </c>
      <c r="B195" s="46">
        <v>3</v>
      </c>
      <c r="C195" s="46">
        <v>0</v>
      </c>
      <c r="D195" s="47">
        <v>825220071</v>
      </c>
      <c r="E195" s="47" t="s">
        <v>142</v>
      </c>
      <c r="F195" s="45" t="s">
        <v>153</v>
      </c>
      <c r="G195" s="59">
        <v>3</v>
      </c>
      <c r="H195" s="24">
        <v>1</v>
      </c>
      <c r="I195" s="24">
        <v>2</v>
      </c>
      <c r="J195" s="24" t="s">
        <v>1050</v>
      </c>
      <c r="K195" s="24" t="s">
        <v>339</v>
      </c>
      <c r="L195" s="24" t="s">
        <v>142</v>
      </c>
      <c r="M195" s="24" t="s">
        <v>166</v>
      </c>
      <c r="N195" s="48">
        <v>999</v>
      </c>
      <c r="S195">
        <v>8</v>
      </c>
      <c r="T195">
        <v>2</v>
      </c>
      <c r="U195">
        <v>2</v>
      </c>
      <c r="V195" s="25">
        <v>0</v>
      </c>
      <c r="W195" s="32">
        <v>0</v>
      </c>
    </row>
    <row r="196" spans="1:23" ht="15" x14ac:dyDescent="0.2">
      <c r="A196" s="46">
        <v>3</v>
      </c>
      <c r="B196" s="46">
        <v>3</v>
      </c>
      <c r="C196" s="46">
        <v>0</v>
      </c>
      <c r="D196" s="47">
        <v>825220072</v>
      </c>
      <c r="E196" s="47" t="s">
        <v>142</v>
      </c>
      <c r="F196" s="45" t="s">
        <v>153</v>
      </c>
      <c r="G196" s="59">
        <v>3</v>
      </c>
      <c r="H196" s="24">
        <v>1</v>
      </c>
      <c r="I196" s="24">
        <v>2</v>
      </c>
      <c r="J196" s="24" t="s">
        <v>1051</v>
      </c>
      <c r="K196" s="24" t="s">
        <v>340</v>
      </c>
      <c r="L196" s="24" t="s">
        <v>142</v>
      </c>
      <c r="M196" s="24" t="s">
        <v>166</v>
      </c>
      <c r="N196" s="48">
        <v>999</v>
      </c>
      <c r="S196">
        <v>8</v>
      </c>
      <c r="T196">
        <v>2</v>
      </c>
      <c r="U196">
        <v>3</v>
      </c>
      <c r="V196" s="25">
        <v>0</v>
      </c>
      <c r="W196" s="32">
        <v>0</v>
      </c>
    </row>
    <row r="197" spans="1:23" ht="15" x14ac:dyDescent="0.2">
      <c r="A197" s="46">
        <v>3</v>
      </c>
      <c r="B197" s="46">
        <v>3</v>
      </c>
      <c r="C197" s="46">
        <v>0</v>
      </c>
      <c r="D197" s="47">
        <v>825220073</v>
      </c>
      <c r="E197" s="47" t="s">
        <v>142</v>
      </c>
      <c r="F197" s="45" t="s">
        <v>153</v>
      </c>
      <c r="G197" s="59">
        <v>3</v>
      </c>
      <c r="H197" s="24">
        <v>1</v>
      </c>
      <c r="I197" s="24">
        <v>2</v>
      </c>
      <c r="J197" s="24" t="s">
        <v>1052</v>
      </c>
      <c r="K197" s="24" t="s">
        <v>341</v>
      </c>
      <c r="L197" s="24" t="s">
        <v>142</v>
      </c>
      <c r="M197" s="24" t="s">
        <v>166</v>
      </c>
      <c r="N197" s="48">
        <v>999</v>
      </c>
      <c r="S197">
        <v>8</v>
      </c>
      <c r="T197">
        <v>2</v>
      </c>
      <c r="U197">
        <v>4</v>
      </c>
      <c r="V197" s="25">
        <v>0</v>
      </c>
      <c r="W197" s="32">
        <v>0</v>
      </c>
    </row>
    <row r="198" spans="1:23" ht="15" x14ac:dyDescent="0.2">
      <c r="A198" s="46">
        <v>3</v>
      </c>
      <c r="B198" s="46">
        <v>6</v>
      </c>
      <c r="C198" s="46">
        <v>1</v>
      </c>
      <c r="D198" s="47">
        <v>825220076</v>
      </c>
      <c r="E198" s="47" t="s">
        <v>142</v>
      </c>
      <c r="F198" s="45" t="s">
        <v>174</v>
      </c>
      <c r="G198" s="59">
        <v>4</v>
      </c>
      <c r="H198" s="24">
        <v>1</v>
      </c>
      <c r="I198" s="24">
        <v>2</v>
      </c>
      <c r="J198" s="24" t="s">
        <v>1063</v>
      </c>
      <c r="K198" s="24" t="s">
        <v>352</v>
      </c>
      <c r="L198" s="24" t="s">
        <v>142</v>
      </c>
      <c r="M198" s="24" t="s">
        <v>167</v>
      </c>
      <c r="N198" s="48">
        <v>999</v>
      </c>
      <c r="S198">
        <v>8</v>
      </c>
      <c r="T198">
        <v>2</v>
      </c>
      <c r="U198">
        <v>5</v>
      </c>
      <c r="V198" s="25">
        <v>0</v>
      </c>
      <c r="W198" s="32">
        <v>0</v>
      </c>
    </row>
    <row r="199" spans="1:23" ht="15" x14ac:dyDescent="0.2">
      <c r="A199" s="46">
        <v>3</v>
      </c>
      <c r="B199" s="46">
        <v>6</v>
      </c>
      <c r="C199" s="46">
        <v>1</v>
      </c>
      <c r="D199" s="47">
        <v>825220077</v>
      </c>
      <c r="E199" s="47" t="s">
        <v>142</v>
      </c>
      <c r="F199" s="45" t="s">
        <v>174</v>
      </c>
      <c r="G199" s="59">
        <v>4</v>
      </c>
      <c r="H199" s="24">
        <v>1</v>
      </c>
      <c r="I199" s="24">
        <v>2</v>
      </c>
      <c r="J199" s="24" t="s">
        <v>1064</v>
      </c>
      <c r="K199" s="24" t="s">
        <v>353</v>
      </c>
      <c r="L199" s="24" t="s">
        <v>142</v>
      </c>
      <c r="M199" s="24" t="s">
        <v>167</v>
      </c>
      <c r="N199" s="48">
        <v>999</v>
      </c>
      <c r="S199">
        <v>8</v>
      </c>
      <c r="T199">
        <v>2</v>
      </c>
      <c r="U199">
        <v>6</v>
      </c>
      <c r="V199" s="25">
        <v>0</v>
      </c>
      <c r="W199" s="32">
        <v>0</v>
      </c>
    </row>
    <row r="200" spans="1:23" ht="15" x14ac:dyDescent="0.2">
      <c r="A200" s="46">
        <v>3</v>
      </c>
      <c r="B200" s="46">
        <v>6</v>
      </c>
      <c r="C200" s="46">
        <v>1</v>
      </c>
      <c r="D200" s="47">
        <v>825220078</v>
      </c>
      <c r="E200" s="47" t="s">
        <v>142</v>
      </c>
      <c r="F200" s="45" t="s">
        <v>174</v>
      </c>
      <c r="G200" s="59">
        <v>4</v>
      </c>
      <c r="H200" s="24">
        <v>1</v>
      </c>
      <c r="I200" s="24">
        <v>2</v>
      </c>
      <c r="J200" s="24" t="s">
        <v>1065</v>
      </c>
      <c r="K200" s="24" t="s">
        <v>354</v>
      </c>
      <c r="L200" s="24" t="s">
        <v>142</v>
      </c>
      <c r="M200" s="24" t="s">
        <v>167</v>
      </c>
      <c r="N200" s="48">
        <v>999</v>
      </c>
      <c r="V200" s="24"/>
      <c r="W200" s="31"/>
    </row>
    <row r="201" spans="1:23" ht="15" x14ac:dyDescent="0.2">
      <c r="A201" s="46">
        <v>3</v>
      </c>
      <c r="B201" s="46">
        <v>6</v>
      </c>
      <c r="C201" s="46">
        <v>1</v>
      </c>
      <c r="D201" s="47">
        <v>825220079</v>
      </c>
      <c r="E201" s="47" t="s">
        <v>142</v>
      </c>
      <c r="F201" s="45" t="s">
        <v>174</v>
      </c>
      <c r="G201" s="59">
        <v>4</v>
      </c>
      <c r="H201" s="24">
        <v>1</v>
      </c>
      <c r="I201" s="24">
        <v>2</v>
      </c>
      <c r="J201" s="24" t="s">
        <v>1066</v>
      </c>
      <c r="K201" s="24" t="s">
        <v>355</v>
      </c>
      <c r="L201" s="24" t="s">
        <v>142</v>
      </c>
      <c r="M201" s="24" t="s">
        <v>167</v>
      </c>
      <c r="N201" s="48">
        <v>999</v>
      </c>
      <c r="V201" s="25"/>
      <c r="W201" s="31"/>
    </row>
    <row r="202" spans="1:23" ht="15" x14ac:dyDescent="0.2">
      <c r="A202" s="46">
        <v>3</v>
      </c>
      <c r="B202" s="46">
        <v>6</v>
      </c>
      <c r="C202" s="46">
        <v>1</v>
      </c>
      <c r="D202" s="47">
        <v>825220127</v>
      </c>
      <c r="E202" s="47" t="s">
        <v>142</v>
      </c>
      <c r="F202" s="45" t="s">
        <v>174</v>
      </c>
      <c r="G202" s="59">
        <v>4</v>
      </c>
      <c r="H202" s="24">
        <v>1</v>
      </c>
      <c r="I202" s="24">
        <v>2</v>
      </c>
      <c r="J202" s="24" t="s">
        <v>1067</v>
      </c>
      <c r="K202" s="24" t="s">
        <v>356</v>
      </c>
      <c r="L202" s="24" t="s">
        <v>142</v>
      </c>
      <c r="M202" s="24" t="s">
        <v>167</v>
      </c>
      <c r="N202" s="48">
        <v>999</v>
      </c>
      <c r="V202" s="25"/>
      <c r="W202" s="31"/>
    </row>
    <row r="203" spans="1:23" ht="15" x14ac:dyDescent="0.2">
      <c r="A203" s="46">
        <v>0</v>
      </c>
      <c r="B203" s="46">
        <v>6</v>
      </c>
      <c r="C203" s="46">
        <v>1</v>
      </c>
      <c r="D203" s="47">
        <v>825210038</v>
      </c>
      <c r="E203" s="47" t="s">
        <v>142</v>
      </c>
      <c r="F203" s="45" t="s">
        <v>172</v>
      </c>
      <c r="G203" s="59">
        <v>5</v>
      </c>
      <c r="H203" s="24">
        <v>1</v>
      </c>
      <c r="I203" s="24">
        <v>2</v>
      </c>
      <c r="J203" s="24" t="s">
        <v>1078</v>
      </c>
      <c r="K203" s="24" t="s">
        <v>367</v>
      </c>
      <c r="L203" s="24" t="s">
        <v>142</v>
      </c>
      <c r="M203" s="24" t="s">
        <v>167</v>
      </c>
      <c r="N203" s="48">
        <v>0</v>
      </c>
      <c r="V203" s="25"/>
      <c r="W203" s="31"/>
    </row>
    <row r="204" spans="1:23" ht="15" x14ac:dyDescent="0.2">
      <c r="A204" s="46">
        <v>0</v>
      </c>
      <c r="B204" s="46">
        <v>6</v>
      </c>
      <c r="C204" s="46">
        <v>1</v>
      </c>
      <c r="D204" s="47">
        <v>825220080</v>
      </c>
      <c r="E204" s="47" t="s">
        <v>142</v>
      </c>
      <c r="F204" s="45" t="s">
        <v>172</v>
      </c>
      <c r="G204" s="59">
        <v>5</v>
      </c>
      <c r="H204" s="24">
        <v>1</v>
      </c>
      <c r="I204" s="24">
        <v>2</v>
      </c>
      <c r="J204" s="24" t="s">
        <v>1079</v>
      </c>
      <c r="K204" s="24" t="s">
        <v>368</v>
      </c>
      <c r="L204" s="24" t="s">
        <v>142</v>
      </c>
      <c r="M204" s="24" t="s">
        <v>167</v>
      </c>
      <c r="N204" s="48">
        <v>0</v>
      </c>
      <c r="V204" s="25"/>
      <c r="W204" s="31"/>
    </row>
    <row r="205" spans="1:23" ht="15" x14ac:dyDescent="0.2">
      <c r="A205" s="46">
        <v>0</v>
      </c>
      <c r="B205" s="46">
        <v>6</v>
      </c>
      <c r="C205" s="46">
        <v>1</v>
      </c>
      <c r="D205" s="47">
        <v>825220082</v>
      </c>
      <c r="E205" s="47" t="s">
        <v>142</v>
      </c>
      <c r="F205" s="45" t="s">
        <v>172</v>
      </c>
      <c r="G205" s="59">
        <v>5</v>
      </c>
      <c r="H205" s="24">
        <v>1</v>
      </c>
      <c r="I205" s="24">
        <v>2</v>
      </c>
      <c r="J205" s="24" t="s">
        <v>1080</v>
      </c>
      <c r="K205" s="24" t="s">
        <v>369</v>
      </c>
      <c r="L205" s="24" t="s">
        <v>142</v>
      </c>
      <c r="M205" s="24" t="s">
        <v>167</v>
      </c>
      <c r="N205" s="48">
        <v>0</v>
      </c>
      <c r="V205" s="25"/>
      <c r="W205" s="31"/>
    </row>
    <row r="206" spans="1:23" ht="15" x14ac:dyDescent="0.2">
      <c r="A206" s="46">
        <v>0</v>
      </c>
      <c r="B206" s="46">
        <v>6</v>
      </c>
      <c r="C206" s="46">
        <v>1</v>
      </c>
      <c r="D206" s="47">
        <v>825220085</v>
      </c>
      <c r="E206" s="47" t="s">
        <v>142</v>
      </c>
      <c r="F206" s="45" t="s">
        <v>172</v>
      </c>
      <c r="G206" s="59">
        <v>5</v>
      </c>
      <c r="H206" s="24">
        <v>1</v>
      </c>
      <c r="I206" s="24">
        <v>2</v>
      </c>
      <c r="J206" s="24" t="s">
        <v>1081</v>
      </c>
      <c r="K206" s="24" t="s">
        <v>370</v>
      </c>
      <c r="L206" s="24" t="s">
        <v>142</v>
      </c>
      <c r="M206" s="24" t="s">
        <v>167</v>
      </c>
      <c r="N206" s="48">
        <v>0</v>
      </c>
      <c r="V206" s="25"/>
      <c r="W206" s="31"/>
    </row>
    <row r="207" spans="1:23" ht="15" x14ac:dyDescent="0.2">
      <c r="A207" s="46">
        <v>0</v>
      </c>
      <c r="B207" s="46">
        <v>6</v>
      </c>
      <c r="C207" s="46">
        <v>1</v>
      </c>
      <c r="D207" s="47">
        <v>825220086</v>
      </c>
      <c r="E207" s="47" t="s">
        <v>142</v>
      </c>
      <c r="F207" s="45" t="s">
        <v>172</v>
      </c>
      <c r="G207" s="59">
        <v>5</v>
      </c>
      <c r="H207" s="24">
        <v>1</v>
      </c>
      <c r="I207" s="24">
        <v>2</v>
      </c>
      <c r="J207" s="24" t="s">
        <v>1082</v>
      </c>
      <c r="K207" s="24" t="s">
        <v>371</v>
      </c>
      <c r="L207" s="24" t="s">
        <v>142</v>
      </c>
      <c r="M207" s="24" t="s">
        <v>167</v>
      </c>
      <c r="N207" s="48">
        <v>0</v>
      </c>
      <c r="V207" s="25"/>
      <c r="W207" s="31"/>
    </row>
    <row r="208" spans="1:23" ht="15" x14ac:dyDescent="0.2">
      <c r="A208" s="46">
        <v>0</v>
      </c>
      <c r="B208" s="46">
        <v>6</v>
      </c>
      <c r="C208" s="46">
        <v>0</v>
      </c>
      <c r="D208" s="47">
        <v>825220039</v>
      </c>
      <c r="E208" s="47" t="s">
        <v>143</v>
      </c>
      <c r="F208" s="45" t="s">
        <v>173</v>
      </c>
      <c r="G208" s="59">
        <v>6</v>
      </c>
      <c r="H208" s="24">
        <v>1</v>
      </c>
      <c r="I208" s="24">
        <v>2</v>
      </c>
      <c r="J208" s="24" t="s">
        <v>1093</v>
      </c>
      <c r="K208" s="24" t="s">
        <v>382</v>
      </c>
      <c r="L208" s="24" t="s">
        <v>142</v>
      </c>
      <c r="M208" s="24" t="s">
        <v>168</v>
      </c>
      <c r="N208" s="48">
        <v>1</v>
      </c>
      <c r="V208" s="25"/>
      <c r="W208" s="31"/>
    </row>
    <row r="209" spans="1:23" ht="15" x14ac:dyDescent="0.2">
      <c r="A209" s="46">
        <v>0</v>
      </c>
      <c r="B209" s="46">
        <v>6</v>
      </c>
      <c r="C209" s="46">
        <v>0</v>
      </c>
      <c r="D209" s="47">
        <v>825220050</v>
      </c>
      <c r="E209" s="47" t="s">
        <v>143</v>
      </c>
      <c r="F209" s="45" t="s">
        <v>173</v>
      </c>
      <c r="G209" s="59">
        <v>6</v>
      </c>
      <c r="H209" s="24">
        <v>1</v>
      </c>
      <c r="I209" s="24">
        <v>2</v>
      </c>
      <c r="J209" s="24" t="s">
        <v>1094</v>
      </c>
      <c r="K209" s="24" t="s">
        <v>383</v>
      </c>
      <c r="L209" s="24" t="s">
        <v>142</v>
      </c>
      <c r="M209" s="24" t="s">
        <v>168</v>
      </c>
      <c r="N209" s="48">
        <v>1</v>
      </c>
      <c r="V209" s="25"/>
      <c r="W209" s="31"/>
    </row>
    <row r="210" spans="1:23" ht="15" x14ac:dyDescent="0.2">
      <c r="A210" s="46">
        <v>0</v>
      </c>
      <c r="B210" s="46">
        <v>6</v>
      </c>
      <c r="C210" s="46">
        <v>0</v>
      </c>
      <c r="D210" s="47">
        <v>825220052</v>
      </c>
      <c r="E210" s="47" t="s">
        <v>143</v>
      </c>
      <c r="F210" s="45" t="s">
        <v>173</v>
      </c>
      <c r="G210" s="59">
        <v>6</v>
      </c>
      <c r="H210" s="24">
        <v>1</v>
      </c>
      <c r="I210" s="24">
        <v>2</v>
      </c>
      <c r="J210" s="24" t="s">
        <v>1095</v>
      </c>
      <c r="K210" s="24" t="s">
        <v>384</v>
      </c>
      <c r="L210" s="24" t="s">
        <v>142</v>
      </c>
      <c r="M210" s="24" t="s">
        <v>168</v>
      </c>
      <c r="N210" s="48">
        <v>1</v>
      </c>
      <c r="V210" s="25"/>
      <c r="W210" s="31"/>
    </row>
    <row r="211" spans="1:23" ht="15" x14ac:dyDescent="0.2">
      <c r="A211" s="46">
        <v>0</v>
      </c>
      <c r="B211" s="46">
        <v>6</v>
      </c>
      <c r="C211" s="46">
        <v>0</v>
      </c>
      <c r="D211" s="47">
        <v>825220066</v>
      </c>
      <c r="E211" s="47" t="s">
        <v>143</v>
      </c>
      <c r="F211" s="45" t="s">
        <v>173</v>
      </c>
      <c r="G211" s="59">
        <v>6</v>
      </c>
      <c r="H211" s="24">
        <v>1</v>
      </c>
      <c r="I211" s="24">
        <v>2</v>
      </c>
      <c r="J211" s="24" t="s">
        <v>1096</v>
      </c>
      <c r="K211" s="24" t="s">
        <v>385</v>
      </c>
      <c r="L211" s="24" t="s">
        <v>142</v>
      </c>
      <c r="M211" s="24" t="s">
        <v>168</v>
      </c>
      <c r="N211" s="48">
        <v>1</v>
      </c>
      <c r="V211" s="25"/>
      <c r="W211" s="31"/>
    </row>
    <row r="212" spans="1:23" ht="15" x14ac:dyDescent="0.2">
      <c r="A212" s="46">
        <v>0</v>
      </c>
      <c r="B212" s="46">
        <v>6</v>
      </c>
      <c r="C212" s="46">
        <v>0</v>
      </c>
      <c r="D212" s="47">
        <v>825220170</v>
      </c>
      <c r="E212" s="47" t="s">
        <v>143</v>
      </c>
      <c r="F212" s="45" t="s">
        <v>173</v>
      </c>
      <c r="G212" s="59">
        <v>6</v>
      </c>
      <c r="H212" s="24">
        <v>1</v>
      </c>
      <c r="I212" s="24">
        <v>2</v>
      </c>
      <c r="J212" s="24" t="s">
        <v>1097</v>
      </c>
      <c r="K212" s="24" t="s">
        <v>386</v>
      </c>
      <c r="L212" s="24" t="s">
        <v>142</v>
      </c>
      <c r="M212" s="24" t="s">
        <v>168</v>
      </c>
      <c r="N212" s="48">
        <v>1</v>
      </c>
      <c r="V212" s="25"/>
      <c r="W212" s="31"/>
    </row>
    <row r="213" spans="1:23" ht="15" x14ac:dyDescent="0.2">
      <c r="A213" s="46">
        <v>1</v>
      </c>
      <c r="B213" s="46">
        <v>6</v>
      </c>
      <c r="C213" s="46">
        <v>0</v>
      </c>
      <c r="D213" s="47">
        <v>825200094</v>
      </c>
      <c r="E213" s="47" t="s">
        <v>146</v>
      </c>
      <c r="F213" s="45" t="s">
        <v>173</v>
      </c>
      <c r="G213" s="59">
        <v>0</v>
      </c>
      <c r="H213" s="24">
        <v>2</v>
      </c>
      <c r="I213" s="24">
        <v>0</v>
      </c>
      <c r="J213" s="24" t="s">
        <v>1098</v>
      </c>
      <c r="K213" s="24" t="s">
        <v>387</v>
      </c>
      <c r="L213" s="24" t="s">
        <v>142</v>
      </c>
      <c r="M213" s="24" t="s">
        <v>169</v>
      </c>
      <c r="N213" s="48">
        <v>1</v>
      </c>
      <c r="V213" s="25"/>
      <c r="W213" s="31"/>
    </row>
    <row r="214" spans="1:23" ht="15" x14ac:dyDescent="0.2">
      <c r="A214" s="46">
        <v>1</v>
      </c>
      <c r="B214" s="46">
        <v>6</v>
      </c>
      <c r="C214" s="46">
        <v>0</v>
      </c>
      <c r="D214" s="47">
        <v>825220096</v>
      </c>
      <c r="E214" s="47" t="s">
        <v>146</v>
      </c>
      <c r="F214" s="45" t="s">
        <v>173</v>
      </c>
      <c r="G214" s="59">
        <v>0</v>
      </c>
      <c r="H214" s="24">
        <v>2</v>
      </c>
      <c r="I214" s="24">
        <v>0</v>
      </c>
      <c r="J214" s="24" t="s">
        <v>1099</v>
      </c>
      <c r="K214" s="24" t="s">
        <v>388</v>
      </c>
      <c r="L214" s="24" t="s">
        <v>142</v>
      </c>
      <c r="M214" s="24" t="s">
        <v>169</v>
      </c>
      <c r="N214" s="48">
        <v>1</v>
      </c>
      <c r="V214" s="25"/>
      <c r="W214" s="31"/>
    </row>
    <row r="215" spans="1:23" ht="15" x14ac:dyDescent="0.2">
      <c r="A215" s="46">
        <v>1</v>
      </c>
      <c r="B215" s="46">
        <v>6</v>
      </c>
      <c r="C215" s="46">
        <v>0</v>
      </c>
      <c r="D215" s="47">
        <v>535220185</v>
      </c>
      <c r="E215" s="47" t="s">
        <v>145</v>
      </c>
      <c r="F215" s="45" t="s">
        <v>165</v>
      </c>
      <c r="G215" s="59">
        <v>0</v>
      </c>
      <c r="H215" s="24">
        <v>2</v>
      </c>
      <c r="I215" s="24">
        <v>0</v>
      </c>
      <c r="J215" s="24" t="s">
        <v>1100</v>
      </c>
      <c r="K215" s="24" t="s">
        <v>389</v>
      </c>
      <c r="L215" s="24" t="s">
        <v>142</v>
      </c>
      <c r="M215" s="24" t="s">
        <v>169</v>
      </c>
      <c r="N215" s="48">
        <v>0</v>
      </c>
      <c r="V215" s="25"/>
      <c r="W215" s="31"/>
    </row>
    <row r="216" spans="1:23" ht="15" x14ac:dyDescent="0.2">
      <c r="A216" s="46">
        <v>1</v>
      </c>
      <c r="B216" s="46">
        <v>6</v>
      </c>
      <c r="C216" s="46">
        <v>0</v>
      </c>
      <c r="D216" s="47">
        <v>535220190</v>
      </c>
      <c r="E216" s="47" t="s">
        <v>145</v>
      </c>
      <c r="F216" s="45" t="s">
        <v>165</v>
      </c>
      <c r="G216" s="59">
        <v>0</v>
      </c>
      <c r="H216" s="24">
        <v>2</v>
      </c>
      <c r="I216" s="24">
        <v>0</v>
      </c>
      <c r="J216" s="24" t="s">
        <v>1101</v>
      </c>
      <c r="K216" s="24" t="s">
        <v>390</v>
      </c>
      <c r="L216" s="24" t="s">
        <v>142</v>
      </c>
      <c r="M216" s="24" t="s">
        <v>169</v>
      </c>
      <c r="N216" s="48">
        <v>0</v>
      </c>
      <c r="V216" s="25"/>
      <c r="W216" s="31"/>
    </row>
    <row r="217" spans="1:23" ht="15" x14ac:dyDescent="0.2">
      <c r="A217" s="46">
        <v>1</v>
      </c>
      <c r="B217" s="46">
        <v>6</v>
      </c>
      <c r="C217" s="46">
        <v>0</v>
      </c>
      <c r="D217" s="47">
        <v>535220192</v>
      </c>
      <c r="E217" s="47" t="s">
        <v>145</v>
      </c>
      <c r="F217" s="45" t="s">
        <v>165</v>
      </c>
      <c r="G217" s="59">
        <v>0</v>
      </c>
      <c r="H217" s="24">
        <v>2</v>
      </c>
      <c r="I217" s="24">
        <v>0</v>
      </c>
      <c r="J217" s="24" t="s">
        <v>1102</v>
      </c>
      <c r="K217" s="24" t="s">
        <v>391</v>
      </c>
      <c r="L217" s="24" t="s">
        <v>142</v>
      </c>
      <c r="M217" s="24" t="s">
        <v>169</v>
      </c>
      <c r="N217" s="48">
        <v>0</v>
      </c>
      <c r="V217" s="25"/>
      <c r="W217" s="31"/>
    </row>
    <row r="218" spans="1:23" ht="15" x14ac:dyDescent="0.2">
      <c r="A218" s="46">
        <v>2</v>
      </c>
      <c r="B218" s="46">
        <v>6</v>
      </c>
      <c r="C218" s="46">
        <v>0</v>
      </c>
      <c r="D218" s="47">
        <v>535220227</v>
      </c>
      <c r="E218" s="47" t="s">
        <v>145</v>
      </c>
      <c r="F218" s="45" t="s">
        <v>165</v>
      </c>
      <c r="G218" s="59">
        <v>1</v>
      </c>
      <c r="H218" s="24">
        <v>2</v>
      </c>
      <c r="I218" s="24">
        <v>0</v>
      </c>
      <c r="J218" s="24" t="s">
        <v>1113</v>
      </c>
      <c r="K218" s="24" t="s">
        <v>402</v>
      </c>
      <c r="L218" s="24" t="s">
        <v>142</v>
      </c>
      <c r="M218" s="24" t="s">
        <v>169</v>
      </c>
      <c r="N218" s="48">
        <v>0</v>
      </c>
      <c r="V218" s="25"/>
      <c r="W218" s="31"/>
    </row>
    <row r="219" spans="1:23" ht="15" x14ac:dyDescent="0.2">
      <c r="A219" s="46">
        <v>2</v>
      </c>
      <c r="B219" s="46">
        <v>6</v>
      </c>
      <c r="C219" s="46">
        <v>0</v>
      </c>
      <c r="D219" s="47">
        <v>825220001</v>
      </c>
      <c r="E219" s="47" t="s">
        <v>145</v>
      </c>
      <c r="F219" s="45" t="s">
        <v>165</v>
      </c>
      <c r="G219" s="59">
        <v>1</v>
      </c>
      <c r="H219" s="24">
        <v>2</v>
      </c>
      <c r="I219" s="24">
        <v>0</v>
      </c>
      <c r="J219" s="24" t="s">
        <v>1114</v>
      </c>
      <c r="K219" s="24" t="s">
        <v>403</v>
      </c>
      <c r="L219" s="24" t="s">
        <v>142</v>
      </c>
      <c r="M219" s="24" t="s">
        <v>169</v>
      </c>
      <c r="N219" s="48">
        <v>0</v>
      </c>
      <c r="V219" s="25"/>
      <c r="W219" s="31"/>
    </row>
    <row r="220" spans="1:23" ht="15" x14ac:dyDescent="0.2">
      <c r="A220" s="46">
        <v>2</v>
      </c>
      <c r="B220" s="46">
        <v>6</v>
      </c>
      <c r="C220" s="46">
        <v>0</v>
      </c>
      <c r="D220" s="47">
        <v>825220029</v>
      </c>
      <c r="E220" s="47" t="s">
        <v>145</v>
      </c>
      <c r="F220" s="45" t="s">
        <v>165</v>
      </c>
      <c r="G220" s="59">
        <v>1</v>
      </c>
      <c r="H220" s="24">
        <v>2</v>
      </c>
      <c r="I220" s="24">
        <v>0</v>
      </c>
      <c r="J220" s="24" t="s">
        <v>1115</v>
      </c>
      <c r="K220" s="24" t="s">
        <v>404</v>
      </c>
      <c r="L220" s="24" t="s">
        <v>142</v>
      </c>
      <c r="M220" s="24" t="s">
        <v>169</v>
      </c>
      <c r="N220" s="48">
        <v>0</v>
      </c>
      <c r="V220" s="25"/>
      <c r="W220" s="31"/>
    </row>
    <row r="221" spans="1:23" ht="15" x14ac:dyDescent="0.2">
      <c r="A221" s="46">
        <v>2</v>
      </c>
      <c r="B221" s="46">
        <v>6</v>
      </c>
      <c r="C221" s="46">
        <v>0</v>
      </c>
      <c r="D221" s="47">
        <v>825220030</v>
      </c>
      <c r="E221" s="47" t="s">
        <v>145</v>
      </c>
      <c r="F221" s="45" t="s">
        <v>165</v>
      </c>
      <c r="G221" s="59">
        <v>1</v>
      </c>
      <c r="H221" s="24">
        <v>2</v>
      </c>
      <c r="I221" s="24">
        <v>0</v>
      </c>
      <c r="J221" s="24" t="s">
        <v>1116</v>
      </c>
      <c r="K221" s="24" t="s">
        <v>405</v>
      </c>
      <c r="L221" s="24" t="s">
        <v>142</v>
      </c>
      <c r="M221" s="24" t="s">
        <v>169</v>
      </c>
      <c r="N221" s="48">
        <v>0</v>
      </c>
      <c r="V221" s="25"/>
      <c r="W221" s="31"/>
    </row>
    <row r="222" spans="1:23" ht="15" x14ac:dyDescent="0.2">
      <c r="A222" s="46">
        <v>2</v>
      </c>
      <c r="B222" s="46">
        <v>6</v>
      </c>
      <c r="C222" s="46">
        <v>0</v>
      </c>
      <c r="D222" s="47">
        <v>825220069</v>
      </c>
      <c r="E222" s="47" t="s">
        <v>145</v>
      </c>
      <c r="F222" s="45" t="s">
        <v>165</v>
      </c>
      <c r="G222" s="59">
        <v>1</v>
      </c>
      <c r="H222" s="24">
        <v>2</v>
      </c>
      <c r="I222" s="24">
        <v>0</v>
      </c>
      <c r="J222" s="24" t="s">
        <v>1117</v>
      </c>
      <c r="K222" s="24" t="s">
        <v>406</v>
      </c>
      <c r="L222" s="24" t="s">
        <v>142</v>
      </c>
      <c r="M222" s="24" t="s">
        <v>169</v>
      </c>
      <c r="N222" s="48">
        <v>0</v>
      </c>
      <c r="V222" s="24"/>
      <c r="W222" s="31"/>
    </row>
    <row r="223" spans="1:23" ht="15" x14ac:dyDescent="0.2">
      <c r="A223" s="46">
        <v>3</v>
      </c>
      <c r="B223" s="46">
        <v>6</v>
      </c>
      <c r="C223" s="46">
        <v>0</v>
      </c>
      <c r="D223" s="47">
        <v>825220112</v>
      </c>
      <c r="E223" s="47" t="s">
        <v>145</v>
      </c>
      <c r="F223" s="45" t="s">
        <v>165</v>
      </c>
      <c r="G223" s="59">
        <v>2</v>
      </c>
      <c r="H223" s="24">
        <v>2</v>
      </c>
      <c r="I223" s="24">
        <v>0</v>
      </c>
      <c r="J223" s="24" t="s">
        <v>1128</v>
      </c>
      <c r="K223" s="24" t="s">
        <v>417</v>
      </c>
      <c r="L223" s="24" t="s">
        <v>142</v>
      </c>
      <c r="M223" s="24" t="s">
        <v>169</v>
      </c>
      <c r="N223" s="48">
        <v>0</v>
      </c>
      <c r="V223" s="24"/>
      <c r="W223" s="31"/>
    </row>
    <row r="224" spans="1:23" ht="15" x14ac:dyDescent="0.2">
      <c r="A224" s="46">
        <v>3</v>
      </c>
      <c r="B224" s="46">
        <v>6</v>
      </c>
      <c r="C224" s="46">
        <v>0</v>
      </c>
      <c r="D224" s="47">
        <v>535220145</v>
      </c>
      <c r="E224" s="47" t="s">
        <v>147</v>
      </c>
      <c r="F224" s="45" t="s">
        <v>156</v>
      </c>
      <c r="G224" s="59">
        <v>2</v>
      </c>
      <c r="H224" s="24">
        <v>2</v>
      </c>
      <c r="I224" s="24">
        <v>0</v>
      </c>
      <c r="J224" s="24" t="s">
        <v>1129</v>
      </c>
      <c r="K224" s="24" t="s">
        <v>418</v>
      </c>
      <c r="L224" s="24" t="s">
        <v>143</v>
      </c>
      <c r="M224" s="24" t="s">
        <v>169</v>
      </c>
      <c r="N224" s="48">
        <v>0</v>
      </c>
      <c r="V224" s="24"/>
      <c r="W224" s="31"/>
    </row>
    <row r="225" spans="1:23" ht="15" x14ac:dyDescent="0.2">
      <c r="A225" s="46">
        <v>3</v>
      </c>
      <c r="B225" s="46">
        <v>6</v>
      </c>
      <c r="C225" s="46">
        <v>0</v>
      </c>
      <c r="D225" s="47">
        <v>535220228</v>
      </c>
      <c r="E225" s="47" t="s">
        <v>147</v>
      </c>
      <c r="F225" s="45" t="s">
        <v>156</v>
      </c>
      <c r="G225" s="59">
        <v>2</v>
      </c>
      <c r="H225" s="24">
        <v>2</v>
      </c>
      <c r="I225" s="24">
        <v>0</v>
      </c>
      <c r="J225" s="24" t="s">
        <v>1130</v>
      </c>
      <c r="K225" s="24" t="s">
        <v>419</v>
      </c>
      <c r="L225" s="24" t="s">
        <v>143</v>
      </c>
      <c r="M225" s="24" t="s">
        <v>169</v>
      </c>
      <c r="N225" s="48">
        <v>999</v>
      </c>
      <c r="V225" s="24"/>
      <c r="W225" s="31"/>
    </row>
    <row r="226" spans="1:23" ht="15" x14ac:dyDescent="0.2">
      <c r="A226" s="46">
        <v>3</v>
      </c>
      <c r="B226" s="46">
        <v>6</v>
      </c>
      <c r="C226" s="46">
        <v>0</v>
      </c>
      <c r="D226" s="47">
        <v>535220229</v>
      </c>
      <c r="E226" s="47" t="s">
        <v>147</v>
      </c>
      <c r="F226" s="45" t="s">
        <v>156</v>
      </c>
      <c r="G226" s="59">
        <v>2</v>
      </c>
      <c r="H226" s="24">
        <v>2</v>
      </c>
      <c r="I226" s="24">
        <v>0</v>
      </c>
      <c r="J226" s="24" t="s">
        <v>1131</v>
      </c>
      <c r="K226" s="24" t="s">
        <v>420</v>
      </c>
      <c r="L226" s="24" t="s">
        <v>143</v>
      </c>
      <c r="M226" s="24" t="s">
        <v>169</v>
      </c>
      <c r="N226" s="48">
        <v>999</v>
      </c>
      <c r="V226" s="24"/>
      <c r="W226" s="31"/>
    </row>
    <row r="227" spans="1:23" ht="15" x14ac:dyDescent="0.2">
      <c r="A227" s="46">
        <v>3</v>
      </c>
      <c r="B227" s="46">
        <v>6</v>
      </c>
      <c r="C227" s="46">
        <v>0</v>
      </c>
      <c r="D227" s="47">
        <v>825220022</v>
      </c>
      <c r="E227" s="47" t="s">
        <v>147</v>
      </c>
      <c r="F227" s="45" t="s">
        <v>156</v>
      </c>
      <c r="G227" s="59">
        <v>2</v>
      </c>
      <c r="H227" s="24">
        <v>2</v>
      </c>
      <c r="I227" s="24">
        <v>0</v>
      </c>
      <c r="J227" s="24" t="s">
        <v>1132</v>
      </c>
      <c r="K227" s="24" t="s">
        <v>421</v>
      </c>
      <c r="L227" s="24" t="s">
        <v>143</v>
      </c>
      <c r="M227" s="24" t="s">
        <v>169</v>
      </c>
      <c r="N227" s="48">
        <v>999</v>
      </c>
      <c r="V227" s="24"/>
      <c r="W227" s="31"/>
    </row>
    <row r="228" spans="1:23" ht="15" x14ac:dyDescent="0.2">
      <c r="A228" s="46">
        <v>1</v>
      </c>
      <c r="B228" s="46">
        <v>6</v>
      </c>
      <c r="C228" s="46">
        <v>1</v>
      </c>
      <c r="D228" s="47">
        <v>825220026</v>
      </c>
      <c r="E228" s="47" t="s">
        <v>142</v>
      </c>
      <c r="F228" s="45" t="s">
        <v>174</v>
      </c>
      <c r="G228" s="59">
        <v>3</v>
      </c>
      <c r="H228" s="24">
        <v>2</v>
      </c>
      <c r="I228" s="24">
        <v>0</v>
      </c>
      <c r="J228" s="24" t="s">
        <v>961</v>
      </c>
      <c r="K228" s="24" t="s">
        <v>427</v>
      </c>
      <c r="L228" s="24" t="s">
        <v>143</v>
      </c>
      <c r="M228" s="24" t="s">
        <v>169</v>
      </c>
      <c r="N228" s="48">
        <v>1</v>
      </c>
      <c r="V228" s="24"/>
      <c r="W228" s="31"/>
    </row>
    <row r="229" spans="1:23" ht="15" x14ac:dyDescent="0.2">
      <c r="A229" s="46">
        <v>1</v>
      </c>
      <c r="B229" s="46">
        <v>6</v>
      </c>
      <c r="C229" s="46">
        <v>1</v>
      </c>
      <c r="D229" s="47">
        <v>825220042</v>
      </c>
      <c r="E229" s="47" t="s">
        <v>142</v>
      </c>
      <c r="F229" s="45" t="s">
        <v>174</v>
      </c>
      <c r="G229" s="59">
        <v>3</v>
      </c>
      <c r="H229" s="24">
        <v>2</v>
      </c>
      <c r="I229" s="24">
        <v>0</v>
      </c>
      <c r="J229" s="24" t="s">
        <v>1138</v>
      </c>
      <c r="K229" s="24" t="s">
        <v>428</v>
      </c>
      <c r="L229" s="24" t="s">
        <v>143</v>
      </c>
      <c r="M229" s="24" t="s">
        <v>168</v>
      </c>
      <c r="N229" s="48">
        <v>1</v>
      </c>
      <c r="V229" s="24"/>
      <c r="W229" s="31"/>
    </row>
    <row r="230" spans="1:23" ht="15" x14ac:dyDescent="0.2">
      <c r="A230" s="46">
        <v>1</v>
      </c>
      <c r="B230" s="46">
        <v>6</v>
      </c>
      <c r="C230" s="46">
        <v>1</v>
      </c>
      <c r="D230" s="47">
        <v>825220043</v>
      </c>
      <c r="E230" s="47" t="s">
        <v>142</v>
      </c>
      <c r="F230" s="45" t="s">
        <v>174</v>
      </c>
      <c r="G230" s="59">
        <v>3</v>
      </c>
      <c r="H230" s="24">
        <v>2</v>
      </c>
      <c r="I230" s="24">
        <v>0</v>
      </c>
      <c r="J230" s="24" t="s">
        <v>1139</v>
      </c>
      <c r="K230" s="24" t="s">
        <v>429</v>
      </c>
      <c r="L230" s="24" t="s">
        <v>144</v>
      </c>
      <c r="M230" s="24" t="s">
        <v>168</v>
      </c>
      <c r="N230" s="48">
        <v>1</v>
      </c>
      <c r="V230" s="24"/>
      <c r="W230" s="31"/>
    </row>
    <row r="231" spans="1:23" ht="15" x14ac:dyDescent="0.2">
      <c r="A231" s="46">
        <v>1</v>
      </c>
      <c r="B231" s="46">
        <v>6</v>
      </c>
      <c r="C231" s="46">
        <v>1</v>
      </c>
      <c r="D231" s="47">
        <v>825220044</v>
      </c>
      <c r="E231" s="47" t="s">
        <v>142</v>
      </c>
      <c r="F231" s="45" t="s">
        <v>174</v>
      </c>
      <c r="G231" s="59">
        <v>0</v>
      </c>
      <c r="H231" s="24">
        <v>2</v>
      </c>
      <c r="I231" s="24">
        <v>1</v>
      </c>
      <c r="J231" s="24" t="s">
        <v>1103</v>
      </c>
      <c r="K231" s="24" t="s">
        <v>392</v>
      </c>
      <c r="L231" s="24" t="s">
        <v>142</v>
      </c>
      <c r="M231" s="24" t="s">
        <v>164</v>
      </c>
      <c r="N231" s="48">
        <v>1</v>
      </c>
      <c r="V231" s="24"/>
      <c r="W231" s="31"/>
    </row>
    <row r="232" spans="1:23" ht="15" x14ac:dyDescent="0.2">
      <c r="A232" s="46">
        <v>1</v>
      </c>
      <c r="B232" s="46">
        <v>6</v>
      </c>
      <c r="C232" s="46">
        <v>1</v>
      </c>
      <c r="D232" s="47">
        <v>825220053</v>
      </c>
      <c r="E232" s="47" t="s">
        <v>142</v>
      </c>
      <c r="F232" s="45" t="s">
        <v>174</v>
      </c>
      <c r="G232" s="59">
        <v>0</v>
      </c>
      <c r="H232" s="24">
        <v>2</v>
      </c>
      <c r="I232" s="24">
        <v>1</v>
      </c>
      <c r="J232" s="24" t="s">
        <v>1104</v>
      </c>
      <c r="K232" s="24" t="s">
        <v>393</v>
      </c>
      <c r="L232" s="24" t="s">
        <v>142</v>
      </c>
      <c r="M232" s="24" t="s">
        <v>164</v>
      </c>
      <c r="N232" s="48">
        <v>1</v>
      </c>
      <c r="V232" s="24"/>
      <c r="W232" s="31"/>
    </row>
    <row r="233" spans="1:23" ht="15" x14ac:dyDescent="0.2">
      <c r="A233" s="46">
        <v>2</v>
      </c>
      <c r="B233" s="46">
        <v>6</v>
      </c>
      <c r="C233" s="46">
        <v>1</v>
      </c>
      <c r="D233" s="47">
        <v>535220052</v>
      </c>
      <c r="E233" s="47" t="s">
        <v>142</v>
      </c>
      <c r="F233" s="45" t="s">
        <v>158</v>
      </c>
      <c r="G233" s="59">
        <v>0</v>
      </c>
      <c r="H233" s="24">
        <v>2</v>
      </c>
      <c r="I233" s="24">
        <v>1</v>
      </c>
      <c r="J233" s="24" t="s">
        <v>1105</v>
      </c>
      <c r="K233" s="24" t="s">
        <v>394</v>
      </c>
      <c r="L233" s="24" t="s">
        <v>142</v>
      </c>
      <c r="M233" s="24" t="s">
        <v>164</v>
      </c>
      <c r="N233" s="48">
        <v>0</v>
      </c>
      <c r="V233" s="24"/>
      <c r="W233" s="31"/>
    </row>
    <row r="234" spans="1:23" ht="15" x14ac:dyDescent="0.2">
      <c r="A234" s="46">
        <v>2</v>
      </c>
      <c r="B234" s="46">
        <v>6</v>
      </c>
      <c r="C234" s="46">
        <v>1</v>
      </c>
      <c r="D234" s="47">
        <v>535220085</v>
      </c>
      <c r="E234" s="47" t="s">
        <v>142</v>
      </c>
      <c r="F234" s="45" t="s">
        <v>158</v>
      </c>
      <c r="G234" s="59">
        <v>0</v>
      </c>
      <c r="H234" s="24">
        <v>2</v>
      </c>
      <c r="I234" s="24">
        <v>1</v>
      </c>
      <c r="J234" s="24" t="s">
        <v>1106</v>
      </c>
      <c r="K234" s="24" t="s">
        <v>395</v>
      </c>
      <c r="L234" s="24" t="s">
        <v>142</v>
      </c>
      <c r="M234" s="24" t="s">
        <v>164</v>
      </c>
      <c r="N234" s="48">
        <v>0</v>
      </c>
      <c r="V234" s="24"/>
      <c r="W234" s="31"/>
    </row>
    <row r="235" spans="1:23" ht="15" x14ac:dyDescent="0.2">
      <c r="A235" s="46">
        <v>2</v>
      </c>
      <c r="B235" s="46">
        <v>6</v>
      </c>
      <c r="C235" s="46">
        <v>1</v>
      </c>
      <c r="D235" s="47">
        <v>535220087</v>
      </c>
      <c r="E235" s="47" t="s">
        <v>142</v>
      </c>
      <c r="F235" s="45" t="s">
        <v>158</v>
      </c>
      <c r="G235" s="59">
        <v>0</v>
      </c>
      <c r="H235" s="24">
        <v>2</v>
      </c>
      <c r="I235" s="24">
        <v>1</v>
      </c>
      <c r="J235" s="24" t="s">
        <v>1107</v>
      </c>
      <c r="K235" s="24" t="s">
        <v>396</v>
      </c>
      <c r="L235" s="24" t="s">
        <v>142</v>
      </c>
      <c r="M235" s="24" t="s">
        <v>164</v>
      </c>
      <c r="N235" s="48">
        <v>0</v>
      </c>
      <c r="V235" s="24"/>
      <c r="W235" s="31"/>
    </row>
    <row r="236" spans="1:23" ht="15" x14ac:dyDescent="0.2">
      <c r="A236" s="46">
        <v>2</v>
      </c>
      <c r="B236" s="46">
        <v>6</v>
      </c>
      <c r="C236" s="46">
        <v>1</v>
      </c>
      <c r="D236" s="47">
        <v>535220089</v>
      </c>
      <c r="E236" s="47" t="s">
        <v>142</v>
      </c>
      <c r="F236" s="45" t="s">
        <v>158</v>
      </c>
      <c r="G236" s="59">
        <v>1</v>
      </c>
      <c r="H236" s="24">
        <v>2</v>
      </c>
      <c r="I236" s="24">
        <v>1</v>
      </c>
      <c r="J236" s="24" t="s">
        <v>1118</v>
      </c>
      <c r="K236" s="24" t="s">
        <v>407</v>
      </c>
      <c r="L236" s="24" t="s">
        <v>142</v>
      </c>
      <c r="M236" s="24" t="s">
        <v>164</v>
      </c>
      <c r="N236" s="48">
        <v>0</v>
      </c>
      <c r="V236" s="24"/>
      <c r="W236" s="31"/>
    </row>
    <row r="237" spans="1:23" ht="15" x14ac:dyDescent="0.2">
      <c r="A237" s="46">
        <v>2</v>
      </c>
      <c r="B237" s="46">
        <v>6</v>
      </c>
      <c r="C237" s="46">
        <v>1</v>
      </c>
      <c r="D237" s="47">
        <v>535220091</v>
      </c>
      <c r="E237" s="47" t="s">
        <v>142</v>
      </c>
      <c r="F237" s="45" t="s">
        <v>158</v>
      </c>
      <c r="G237" s="59">
        <v>1</v>
      </c>
      <c r="H237" s="24">
        <v>2</v>
      </c>
      <c r="I237" s="24">
        <v>1</v>
      </c>
      <c r="J237" s="24" t="s">
        <v>1119</v>
      </c>
      <c r="K237" s="24" t="s">
        <v>408</v>
      </c>
      <c r="L237" s="24" t="s">
        <v>142</v>
      </c>
      <c r="M237" s="24" t="s">
        <v>164</v>
      </c>
      <c r="N237" s="48">
        <v>0</v>
      </c>
      <c r="V237" s="24"/>
      <c r="W237" s="31"/>
    </row>
    <row r="238" spans="1:23" ht="15" x14ac:dyDescent="0.2">
      <c r="A238" s="46">
        <v>0</v>
      </c>
      <c r="B238" s="46">
        <v>6</v>
      </c>
      <c r="C238" s="46">
        <v>2</v>
      </c>
      <c r="D238" s="47">
        <v>535220039</v>
      </c>
      <c r="E238" s="47" t="s">
        <v>142</v>
      </c>
      <c r="F238" s="45" t="s">
        <v>166</v>
      </c>
      <c r="G238" s="59">
        <v>1</v>
      </c>
      <c r="H238" s="24">
        <v>2</v>
      </c>
      <c r="I238" s="24">
        <v>1</v>
      </c>
      <c r="J238" s="24" t="s">
        <v>1120</v>
      </c>
      <c r="K238" s="24" t="s">
        <v>409</v>
      </c>
      <c r="L238" s="24" t="s">
        <v>142</v>
      </c>
      <c r="M238" s="24" t="s">
        <v>164</v>
      </c>
      <c r="N238" s="48">
        <v>0</v>
      </c>
      <c r="V238" s="24"/>
      <c r="W238" s="31"/>
    </row>
    <row r="239" spans="1:23" ht="15" x14ac:dyDescent="0.2">
      <c r="A239" s="46">
        <v>0</v>
      </c>
      <c r="B239" s="46">
        <v>6</v>
      </c>
      <c r="C239" s="46">
        <v>2</v>
      </c>
      <c r="D239" s="47">
        <v>535220041</v>
      </c>
      <c r="E239" s="47" t="s">
        <v>142</v>
      </c>
      <c r="F239" s="45" t="s">
        <v>166</v>
      </c>
      <c r="G239" s="59">
        <v>1</v>
      </c>
      <c r="H239" s="24">
        <v>2</v>
      </c>
      <c r="I239" s="24">
        <v>1</v>
      </c>
      <c r="J239" s="24" t="s">
        <v>1121</v>
      </c>
      <c r="K239" s="24" t="s">
        <v>410</v>
      </c>
      <c r="L239" s="24" t="s">
        <v>142</v>
      </c>
      <c r="M239" s="24" t="s">
        <v>164</v>
      </c>
      <c r="N239" s="48">
        <v>0</v>
      </c>
      <c r="V239" s="24"/>
      <c r="W239" s="31"/>
    </row>
    <row r="240" spans="1:23" ht="15" x14ac:dyDescent="0.2">
      <c r="A240" s="46">
        <v>0</v>
      </c>
      <c r="B240" s="46">
        <v>6</v>
      </c>
      <c r="C240" s="46">
        <v>2</v>
      </c>
      <c r="D240" s="47">
        <v>535220051</v>
      </c>
      <c r="E240" s="47" t="s">
        <v>142</v>
      </c>
      <c r="F240" s="45" t="s">
        <v>166</v>
      </c>
      <c r="G240" s="59">
        <v>1</v>
      </c>
      <c r="H240" s="24">
        <v>2</v>
      </c>
      <c r="I240" s="24">
        <v>1</v>
      </c>
      <c r="J240" s="24" t="s">
        <v>1122</v>
      </c>
      <c r="K240" s="24" t="s">
        <v>411</v>
      </c>
      <c r="L240" s="24" t="s">
        <v>142</v>
      </c>
      <c r="M240" s="24" t="s">
        <v>164</v>
      </c>
      <c r="N240" s="48">
        <v>0</v>
      </c>
      <c r="V240" s="24"/>
      <c r="W240" s="31"/>
    </row>
    <row r="241" spans="1:23" ht="15" x14ac:dyDescent="0.2">
      <c r="A241" s="46">
        <v>0</v>
      </c>
      <c r="B241" s="46">
        <v>6</v>
      </c>
      <c r="C241" s="46">
        <v>2</v>
      </c>
      <c r="D241" s="47">
        <v>535220146</v>
      </c>
      <c r="E241" s="47" t="s">
        <v>142</v>
      </c>
      <c r="F241" s="45" t="s">
        <v>166</v>
      </c>
      <c r="G241" s="59">
        <v>2</v>
      </c>
      <c r="H241" s="24">
        <v>2</v>
      </c>
      <c r="I241" s="24">
        <v>1</v>
      </c>
      <c r="J241" s="24" t="s">
        <v>1133</v>
      </c>
      <c r="K241" s="24" t="s">
        <v>422</v>
      </c>
      <c r="L241" s="24" t="s">
        <v>142</v>
      </c>
      <c r="M241" s="24" t="s">
        <v>168</v>
      </c>
      <c r="N241" s="48">
        <v>0</v>
      </c>
      <c r="V241" s="24"/>
      <c r="W241" s="31"/>
    </row>
    <row r="242" spans="1:23" ht="15" x14ac:dyDescent="0.2">
      <c r="A242" s="46">
        <v>0</v>
      </c>
      <c r="B242" s="46">
        <v>6</v>
      </c>
      <c r="C242" s="46">
        <v>2</v>
      </c>
      <c r="D242" s="47">
        <v>535220151</v>
      </c>
      <c r="E242" s="47" t="s">
        <v>142</v>
      </c>
      <c r="F242" s="45" t="s">
        <v>166</v>
      </c>
      <c r="G242" s="59">
        <v>2</v>
      </c>
      <c r="H242" s="24">
        <v>2</v>
      </c>
      <c r="I242" s="24">
        <v>1</v>
      </c>
      <c r="J242" s="24" t="s">
        <v>1134</v>
      </c>
      <c r="K242" s="24" t="s">
        <v>423</v>
      </c>
      <c r="L242" s="24" t="s">
        <v>142</v>
      </c>
      <c r="M242" s="24" t="s">
        <v>168</v>
      </c>
      <c r="N242" s="48">
        <v>0</v>
      </c>
      <c r="V242" s="24"/>
      <c r="W242" s="31"/>
    </row>
    <row r="243" spans="1:23" ht="15" x14ac:dyDescent="0.2">
      <c r="A243" s="46">
        <v>1</v>
      </c>
      <c r="B243" s="46">
        <v>6</v>
      </c>
      <c r="C243" s="46">
        <v>2</v>
      </c>
      <c r="D243" s="47">
        <v>535220161</v>
      </c>
      <c r="E243" s="47" t="s">
        <v>142</v>
      </c>
      <c r="F243" s="45" t="s">
        <v>166</v>
      </c>
      <c r="G243" s="59">
        <v>2</v>
      </c>
      <c r="H243" s="24">
        <v>2</v>
      </c>
      <c r="I243" s="24">
        <v>1</v>
      </c>
      <c r="J243" s="24" t="s">
        <v>1135</v>
      </c>
      <c r="K243" s="24" t="s">
        <v>424</v>
      </c>
      <c r="L243" s="24" t="s">
        <v>142</v>
      </c>
      <c r="M243" s="24" t="s">
        <v>168</v>
      </c>
      <c r="N243" s="48">
        <v>0</v>
      </c>
      <c r="V243" s="24"/>
      <c r="W243" s="31"/>
    </row>
    <row r="244" spans="1:23" ht="15" x14ac:dyDescent="0.2">
      <c r="A244" s="46">
        <v>1</v>
      </c>
      <c r="B244" s="46">
        <v>6</v>
      </c>
      <c r="C244" s="46">
        <v>2</v>
      </c>
      <c r="D244" s="47">
        <v>535220235</v>
      </c>
      <c r="E244" s="47" t="s">
        <v>142</v>
      </c>
      <c r="F244" s="45" t="s">
        <v>166</v>
      </c>
      <c r="G244" s="59">
        <v>2</v>
      </c>
      <c r="H244" s="24">
        <v>2</v>
      </c>
      <c r="I244" s="24">
        <v>1</v>
      </c>
      <c r="J244" s="24" t="s">
        <v>1136</v>
      </c>
      <c r="K244" s="24" t="s">
        <v>425</v>
      </c>
      <c r="L244" s="24" t="s">
        <v>142</v>
      </c>
      <c r="M244" s="24" t="s">
        <v>168</v>
      </c>
      <c r="N244" s="48">
        <v>0</v>
      </c>
      <c r="V244" s="24"/>
      <c r="W244" s="31"/>
    </row>
    <row r="245" spans="1:23" ht="15" x14ac:dyDescent="0.2">
      <c r="A245" s="46">
        <v>1</v>
      </c>
      <c r="B245" s="46">
        <v>6</v>
      </c>
      <c r="C245" s="46">
        <v>2</v>
      </c>
      <c r="D245" s="47">
        <v>535220056</v>
      </c>
      <c r="E245" s="47" t="s">
        <v>142</v>
      </c>
      <c r="F245" s="45" t="s">
        <v>156</v>
      </c>
      <c r="G245" s="59">
        <v>2</v>
      </c>
      <c r="H245" s="24">
        <v>2</v>
      </c>
      <c r="I245" s="24">
        <v>1</v>
      </c>
      <c r="J245" s="24" t="s">
        <v>1137</v>
      </c>
      <c r="K245" s="24" t="s">
        <v>426</v>
      </c>
      <c r="L245" s="24" t="s">
        <v>142</v>
      </c>
      <c r="M245" s="24" t="s">
        <v>168</v>
      </c>
      <c r="N245" s="48">
        <v>0</v>
      </c>
      <c r="V245" s="24"/>
      <c r="W245" s="31"/>
    </row>
    <row r="246" spans="1:23" ht="15" x14ac:dyDescent="0.2">
      <c r="A246" s="46">
        <v>1</v>
      </c>
      <c r="B246" s="46">
        <v>6</v>
      </c>
      <c r="C246" s="46">
        <v>2</v>
      </c>
      <c r="D246" s="47">
        <v>535220057</v>
      </c>
      <c r="E246" s="47" t="s">
        <v>142</v>
      </c>
      <c r="F246" s="45" t="s">
        <v>156</v>
      </c>
      <c r="G246" s="59">
        <v>0</v>
      </c>
      <c r="H246" s="24">
        <v>2</v>
      </c>
      <c r="I246" s="24">
        <v>2</v>
      </c>
      <c r="J246" s="24" t="s">
        <v>1108</v>
      </c>
      <c r="K246" s="24" t="s">
        <v>397</v>
      </c>
      <c r="L246" s="24" t="s">
        <v>145</v>
      </c>
      <c r="M246" s="24" t="s">
        <v>165</v>
      </c>
      <c r="N246" s="48">
        <v>0</v>
      </c>
      <c r="V246" s="24"/>
      <c r="W246" s="31"/>
    </row>
    <row r="247" spans="1:23" ht="15" x14ac:dyDescent="0.2">
      <c r="A247" s="46">
        <v>1</v>
      </c>
      <c r="B247" s="46">
        <v>6</v>
      </c>
      <c r="C247" s="46">
        <v>2</v>
      </c>
      <c r="D247" s="47">
        <v>535220106</v>
      </c>
      <c r="E247" s="47" t="s">
        <v>142</v>
      </c>
      <c r="F247" s="45" t="s">
        <v>156</v>
      </c>
      <c r="G247" s="59">
        <v>0</v>
      </c>
      <c r="H247" s="24">
        <v>2</v>
      </c>
      <c r="I247" s="24">
        <v>2</v>
      </c>
      <c r="J247" s="24" t="s">
        <v>1109</v>
      </c>
      <c r="K247" s="24" t="s">
        <v>398</v>
      </c>
      <c r="L247" s="24" t="s">
        <v>142</v>
      </c>
      <c r="M247" s="24" t="s">
        <v>167</v>
      </c>
      <c r="N247" s="48">
        <v>0</v>
      </c>
      <c r="V247" s="24"/>
      <c r="W247" s="31"/>
    </row>
    <row r="248" spans="1:23" ht="15" x14ac:dyDescent="0.2">
      <c r="A248" s="46">
        <v>2</v>
      </c>
      <c r="B248" s="46">
        <v>6</v>
      </c>
      <c r="C248" s="46">
        <v>2</v>
      </c>
      <c r="D248" s="47">
        <v>535220108</v>
      </c>
      <c r="E248" s="47" t="s">
        <v>142</v>
      </c>
      <c r="F248" s="45" t="s">
        <v>156</v>
      </c>
      <c r="G248" s="59">
        <v>0</v>
      </c>
      <c r="H248" s="24">
        <v>2</v>
      </c>
      <c r="I248" s="24">
        <v>2</v>
      </c>
      <c r="J248" s="24" t="s">
        <v>1110</v>
      </c>
      <c r="K248" s="24" t="s">
        <v>399</v>
      </c>
      <c r="L248" s="24" t="s">
        <v>142</v>
      </c>
      <c r="M248" s="24" t="s">
        <v>167</v>
      </c>
      <c r="N248" s="48">
        <v>0</v>
      </c>
      <c r="V248" s="24"/>
      <c r="W248" s="31"/>
    </row>
    <row r="249" spans="1:23" ht="15" x14ac:dyDescent="0.2">
      <c r="A249" s="46">
        <v>2</v>
      </c>
      <c r="B249" s="46">
        <v>6</v>
      </c>
      <c r="C249" s="46">
        <v>2</v>
      </c>
      <c r="D249" s="47">
        <v>535220109</v>
      </c>
      <c r="E249" s="47" t="s">
        <v>142</v>
      </c>
      <c r="F249" s="45" t="s">
        <v>156</v>
      </c>
      <c r="G249" s="59">
        <v>0</v>
      </c>
      <c r="H249" s="24">
        <v>2</v>
      </c>
      <c r="I249" s="24">
        <v>2</v>
      </c>
      <c r="J249" s="24" t="s">
        <v>1111</v>
      </c>
      <c r="K249" s="24" t="s">
        <v>400</v>
      </c>
      <c r="L249" s="24" t="s">
        <v>142</v>
      </c>
      <c r="M249" s="24" t="s">
        <v>167</v>
      </c>
      <c r="N249" s="48">
        <v>0</v>
      </c>
      <c r="V249" s="24"/>
      <c r="W249" s="31"/>
    </row>
    <row r="250" spans="1:23" ht="15" x14ac:dyDescent="0.2">
      <c r="A250" s="46">
        <v>2</v>
      </c>
      <c r="B250" s="46">
        <v>6</v>
      </c>
      <c r="C250" s="46">
        <v>2</v>
      </c>
      <c r="D250" s="47">
        <v>535220162</v>
      </c>
      <c r="E250" s="47" t="s">
        <v>142</v>
      </c>
      <c r="F250" s="45" t="s">
        <v>156</v>
      </c>
      <c r="G250" s="59">
        <v>0</v>
      </c>
      <c r="H250" s="24">
        <v>2</v>
      </c>
      <c r="I250" s="24">
        <v>2</v>
      </c>
      <c r="J250" s="24" t="s">
        <v>1112</v>
      </c>
      <c r="K250" s="24" t="s">
        <v>401</v>
      </c>
      <c r="L250" s="24" t="s">
        <v>142</v>
      </c>
      <c r="M250" s="24" t="s">
        <v>167</v>
      </c>
      <c r="N250" s="48">
        <v>0</v>
      </c>
      <c r="V250" s="24"/>
      <c r="W250" s="31"/>
    </row>
    <row r="251" spans="1:23" ht="15" x14ac:dyDescent="0.2">
      <c r="A251" s="46">
        <v>2</v>
      </c>
      <c r="B251" s="46">
        <v>6</v>
      </c>
      <c r="C251" s="46">
        <v>2</v>
      </c>
      <c r="D251" s="47">
        <v>535220166</v>
      </c>
      <c r="E251" s="47" t="s">
        <v>142</v>
      </c>
      <c r="F251" s="45" t="s">
        <v>156</v>
      </c>
      <c r="G251" s="59">
        <v>1</v>
      </c>
      <c r="H251" s="24">
        <v>2</v>
      </c>
      <c r="I251" s="24">
        <v>2</v>
      </c>
      <c r="J251" s="24" t="s">
        <v>1123</v>
      </c>
      <c r="K251" s="24" t="s">
        <v>412</v>
      </c>
      <c r="L251" s="24" t="s">
        <v>142</v>
      </c>
      <c r="M251" s="24" t="s">
        <v>168</v>
      </c>
      <c r="N251" s="48">
        <v>0</v>
      </c>
      <c r="V251" s="24"/>
      <c r="W251" s="31"/>
    </row>
    <row r="252" spans="1:23" ht="15" x14ac:dyDescent="0.2">
      <c r="A252" s="46">
        <v>2</v>
      </c>
      <c r="B252" s="46">
        <v>6</v>
      </c>
      <c r="C252" s="46">
        <v>2</v>
      </c>
      <c r="D252" s="47">
        <v>535220170</v>
      </c>
      <c r="E252" s="47" t="s">
        <v>142</v>
      </c>
      <c r="F252" s="45" t="s">
        <v>156</v>
      </c>
      <c r="G252" s="59">
        <v>1</v>
      </c>
      <c r="H252" s="24">
        <v>2</v>
      </c>
      <c r="I252" s="24">
        <v>2</v>
      </c>
      <c r="J252" s="24" t="s">
        <v>1124</v>
      </c>
      <c r="K252" s="24" t="s">
        <v>413</v>
      </c>
      <c r="L252" s="24" t="s">
        <v>142</v>
      </c>
      <c r="M252" s="24" t="s">
        <v>168</v>
      </c>
      <c r="N252" s="48">
        <v>0</v>
      </c>
      <c r="V252" s="24"/>
      <c r="W252" s="31"/>
    </row>
    <row r="253" spans="1:23" ht="15" x14ac:dyDescent="0.2">
      <c r="A253" s="46">
        <v>0</v>
      </c>
      <c r="B253" s="46">
        <v>7</v>
      </c>
      <c r="C253" s="46">
        <v>0</v>
      </c>
      <c r="D253" s="47">
        <v>825220021</v>
      </c>
      <c r="E253" s="47" t="s">
        <v>143</v>
      </c>
      <c r="F253" s="45" t="s">
        <v>173</v>
      </c>
      <c r="G253" s="59">
        <v>1</v>
      </c>
      <c r="H253" s="24">
        <v>2</v>
      </c>
      <c r="I253" s="24">
        <v>2</v>
      </c>
      <c r="J253" s="24" t="s">
        <v>1125</v>
      </c>
      <c r="K253" s="24" t="s">
        <v>414</v>
      </c>
      <c r="L253" s="24" t="s">
        <v>142</v>
      </c>
      <c r="M253" s="24" t="s">
        <v>168</v>
      </c>
      <c r="N253" s="48">
        <v>999</v>
      </c>
      <c r="V253" s="24"/>
      <c r="W253" s="31"/>
    </row>
    <row r="254" spans="1:23" ht="15" x14ac:dyDescent="0.2">
      <c r="A254" s="46">
        <v>0</v>
      </c>
      <c r="B254" s="46">
        <v>7</v>
      </c>
      <c r="C254" s="46">
        <v>0</v>
      </c>
      <c r="D254" s="47">
        <v>825220031</v>
      </c>
      <c r="E254" s="47" t="s">
        <v>143</v>
      </c>
      <c r="F254" s="45" t="s">
        <v>173</v>
      </c>
      <c r="G254" s="59">
        <v>1</v>
      </c>
      <c r="H254" s="24">
        <v>2</v>
      </c>
      <c r="I254" s="24">
        <v>2</v>
      </c>
      <c r="J254" s="24" t="s">
        <v>1126</v>
      </c>
      <c r="K254" s="24" t="s">
        <v>415</v>
      </c>
      <c r="L254" s="24" t="s">
        <v>142</v>
      </c>
      <c r="M254" s="24" t="s">
        <v>168</v>
      </c>
      <c r="N254" s="48">
        <v>999</v>
      </c>
      <c r="V254" s="24"/>
      <c r="W254" s="31"/>
    </row>
    <row r="255" spans="1:23" ht="15" x14ac:dyDescent="0.2">
      <c r="A255" s="46">
        <v>0</v>
      </c>
      <c r="B255" s="46">
        <v>7</v>
      </c>
      <c r="C255" s="46">
        <v>0</v>
      </c>
      <c r="D255" s="47">
        <v>825220032</v>
      </c>
      <c r="E255" s="47" t="s">
        <v>143</v>
      </c>
      <c r="F255" s="45" t="s">
        <v>173</v>
      </c>
      <c r="G255" s="59">
        <v>1</v>
      </c>
      <c r="H255" s="24">
        <v>2</v>
      </c>
      <c r="I255" s="24">
        <v>2</v>
      </c>
      <c r="J255" s="24" t="s">
        <v>1127</v>
      </c>
      <c r="K255" s="24" t="s">
        <v>416</v>
      </c>
      <c r="L255" s="24" t="s">
        <v>142</v>
      </c>
      <c r="M255" s="24" t="s">
        <v>168</v>
      </c>
      <c r="N255" s="48">
        <v>999</v>
      </c>
      <c r="V255" s="24"/>
      <c r="W255" s="31"/>
    </row>
    <row r="256" spans="1:23" ht="15" x14ac:dyDescent="0.2">
      <c r="A256" s="46">
        <v>0</v>
      </c>
      <c r="B256" s="46">
        <v>7</v>
      </c>
      <c r="C256" s="46">
        <v>0</v>
      </c>
      <c r="D256" s="47">
        <v>825220033</v>
      </c>
      <c r="E256" s="47" t="s">
        <v>143</v>
      </c>
      <c r="F256" s="45" t="s">
        <v>173</v>
      </c>
      <c r="G256" s="59">
        <v>4</v>
      </c>
      <c r="H256" s="24">
        <v>3</v>
      </c>
      <c r="I256" s="24">
        <v>0</v>
      </c>
      <c r="J256" s="24" t="s">
        <v>1140</v>
      </c>
      <c r="K256" s="24" t="s">
        <v>430</v>
      </c>
      <c r="L256" s="24" t="s">
        <v>142</v>
      </c>
      <c r="M256" s="24" t="s">
        <v>170</v>
      </c>
      <c r="N256" s="48">
        <v>999</v>
      </c>
      <c r="V256" s="24"/>
      <c r="W256" s="31"/>
    </row>
    <row r="257" spans="1:23" ht="15" x14ac:dyDescent="0.2">
      <c r="A257" s="46">
        <v>0</v>
      </c>
      <c r="B257" s="46">
        <v>7</v>
      </c>
      <c r="C257" s="46">
        <v>0</v>
      </c>
      <c r="D257" s="49">
        <v>825220035</v>
      </c>
      <c r="E257" s="47" t="s">
        <v>143</v>
      </c>
      <c r="F257" s="45" t="s">
        <v>173</v>
      </c>
      <c r="G257" s="59">
        <v>4</v>
      </c>
      <c r="H257" s="24">
        <v>3</v>
      </c>
      <c r="I257" s="24">
        <v>0</v>
      </c>
      <c r="J257" s="24" t="s">
        <v>1141</v>
      </c>
      <c r="K257" s="24" t="s">
        <v>431</v>
      </c>
      <c r="L257" s="24" t="s">
        <v>142</v>
      </c>
      <c r="M257" s="24" t="s">
        <v>170</v>
      </c>
      <c r="N257" s="48">
        <v>999</v>
      </c>
      <c r="V257" s="24"/>
      <c r="W257" s="31"/>
    </row>
    <row r="258" spans="1:23" ht="15" x14ac:dyDescent="0.2">
      <c r="A258" s="46">
        <v>1</v>
      </c>
      <c r="B258" s="46">
        <v>7</v>
      </c>
      <c r="C258" s="46">
        <v>0</v>
      </c>
      <c r="D258" s="47">
        <v>535220160</v>
      </c>
      <c r="E258" s="47" t="s">
        <v>143</v>
      </c>
      <c r="F258" s="45" t="s">
        <v>175</v>
      </c>
      <c r="G258" s="59">
        <v>4</v>
      </c>
      <c r="H258" s="24">
        <v>3</v>
      </c>
      <c r="I258" s="24">
        <v>0</v>
      </c>
      <c r="J258" s="24" t="s">
        <v>1142</v>
      </c>
      <c r="K258" s="24" t="s">
        <v>432</v>
      </c>
      <c r="L258" s="24" t="s">
        <v>142</v>
      </c>
      <c r="M258" s="24" t="s">
        <v>170</v>
      </c>
      <c r="N258" s="48">
        <v>999</v>
      </c>
      <c r="V258" s="24"/>
      <c r="W258" s="31"/>
    </row>
    <row r="259" spans="1:23" ht="15" x14ac:dyDescent="0.2">
      <c r="A259" s="46">
        <v>1</v>
      </c>
      <c r="B259" s="46">
        <v>7</v>
      </c>
      <c r="C259" s="46">
        <v>0</v>
      </c>
      <c r="D259" s="47">
        <v>535220178</v>
      </c>
      <c r="E259" s="47" t="s">
        <v>143</v>
      </c>
      <c r="F259" s="45" t="s">
        <v>175</v>
      </c>
      <c r="G259" s="59">
        <v>4</v>
      </c>
      <c r="H259" s="24">
        <v>3</v>
      </c>
      <c r="I259" s="24">
        <v>0</v>
      </c>
      <c r="J259" s="24" t="s">
        <v>1143</v>
      </c>
      <c r="K259" s="24" t="s">
        <v>433</v>
      </c>
      <c r="L259" s="24" t="s">
        <v>142</v>
      </c>
      <c r="M259" s="24" t="s">
        <v>170</v>
      </c>
      <c r="N259" s="48">
        <v>999</v>
      </c>
      <c r="V259" s="24"/>
      <c r="W259" s="31"/>
    </row>
    <row r="260" spans="1:23" ht="15" x14ac:dyDescent="0.2">
      <c r="A260" s="46">
        <v>1</v>
      </c>
      <c r="B260" s="46">
        <v>7</v>
      </c>
      <c r="C260" s="46">
        <v>0</v>
      </c>
      <c r="D260" s="47">
        <v>535220196</v>
      </c>
      <c r="E260" s="47" t="s">
        <v>143</v>
      </c>
      <c r="F260" s="45" t="s">
        <v>175</v>
      </c>
      <c r="G260" s="59">
        <v>4</v>
      </c>
      <c r="H260" s="24">
        <v>3</v>
      </c>
      <c r="I260" s="24">
        <v>0</v>
      </c>
      <c r="J260" s="24" t="s">
        <v>1144</v>
      </c>
      <c r="K260" s="24" t="s">
        <v>434</v>
      </c>
      <c r="L260" s="24" t="s">
        <v>142</v>
      </c>
      <c r="M260" s="24" t="s">
        <v>170</v>
      </c>
      <c r="N260" s="48">
        <v>999</v>
      </c>
      <c r="V260" s="24"/>
      <c r="W260" s="31"/>
    </row>
    <row r="261" spans="1:23" ht="15" x14ac:dyDescent="0.2">
      <c r="A261" s="46">
        <v>1</v>
      </c>
      <c r="B261" s="46">
        <v>7</v>
      </c>
      <c r="C261" s="46">
        <v>0</v>
      </c>
      <c r="D261" s="47">
        <v>535220216</v>
      </c>
      <c r="E261" s="47" t="s">
        <v>143</v>
      </c>
      <c r="F261" s="45" t="s">
        <v>175</v>
      </c>
      <c r="G261" s="59">
        <v>5</v>
      </c>
      <c r="H261" s="24">
        <v>3</v>
      </c>
      <c r="I261" s="24">
        <v>0</v>
      </c>
      <c r="J261" s="24" t="s">
        <v>1145</v>
      </c>
      <c r="K261" s="24" t="s">
        <v>435</v>
      </c>
      <c r="L261" s="24" t="s">
        <v>142</v>
      </c>
      <c r="M261" s="24" t="s">
        <v>170</v>
      </c>
      <c r="N261" s="48">
        <v>999</v>
      </c>
      <c r="V261" s="24"/>
      <c r="W261" s="31"/>
    </row>
    <row r="262" spans="1:23" ht="15" x14ac:dyDescent="0.2">
      <c r="A262" s="46">
        <v>1</v>
      </c>
      <c r="B262" s="46">
        <v>7</v>
      </c>
      <c r="C262" s="46">
        <v>0</v>
      </c>
      <c r="D262" s="47">
        <v>535220219</v>
      </c>
      <c r="E262" s="47" t="s">
        <v>143</v>
      </c>
      <c r="F262" s="45" t="s">
        <v>175</v>
      </c>
      <c r="G262" s="59">
        <v>5</v>
      </c>
      <c r="H262" s="24">
        <v>3</v>
      </c>
      <c r="I262" s="24">
        <v>0</v>
      </c>
      <c r="J262" s="24" t="s">
        <v>1146</v>
      </c>
      <c r="K262" s="24" t="s">
        <v>436</v>
      </c>
      <c r="L262" s="24" t="s">
        <v>142</v>
      </c>
      <c r="M262" s="24" t="s">
        <v>170</v>
      </c>
      <c r="N262" s="48">
        <v>999</v>
      </c>
      <c r="V262" s="24"/>
      <c r="W262" s="31"/>
    </row>
    <row r="263" spans="1:23" ht="15" x14ac:dyDescent="0.2">
      <c r="A263" s="46">
        <v>2</v>
      </c>
      <c r="B263" s="46">
        <v>7</v>
      </c>
      <c r="C263" s="46">
        <v>0</v>
      </c>
      <c r="D263" s="47">
        <v>535220222</v>
      </c>
      <c r="E263" s="47" t="s">
        <v>143</v>
      </c>
      <c r="F263" s="45" t="s">
        <v>175</v>
      </c>
      <c r="G263" s="59">
        <v>5</v>
      </c>
      <c r="H263" s="24">
        <v>3</v>
      </c>
      <c r="I263" s="24">
        <v>0</v>
      </c>
      <c r="J263" s="24" t="s">
        <v>1147</v>
      </c>
      <c r="K263" s="24" t="s">
        <v>437</v>
      </c>
      <c r="L263" s="24" t="s">
        <v>143</v>
      </c>
      <c r="M263" s="24" t="s">
        <v>170</v>
      </c>
      <c r="N263" s="48">
        <v>999</v>
      </c>
      <c r="V263" s="24"/>
      <c r="W263" s="31"/>
    </row>
    <row r="264" spans="1:23" ht="15" x14ac:dyDescent="0.2">
      <c r="A264" s="46">
        <v>2</v>
      </c>
      <c r="B264" s="46">
        <v>7</v>
      </c>
      <c r="C264" s="46">
        <v>0</v>
      </c>
      <c r="D264" s="47">
        <v>535220226</v>
      </c>
      <c r="E264" s="47" t="s">
        <v>143</v>
      </c>
      <c r="F264" s="45" t="s">
        <v>175</v>
      </c>
      <c r="G264" s="59">
        <v>0</v>
      </c>
      <c r="H264" s="24">
        <v>5</v>
      </c>
      <c r="I264" s="24">
        <v>0</v>
      </c>
      <c r="J264" s="24" t="s">
        <v>1148</v>
      </c>
      <c r="K264" s="24" t="s">
        <v>438</v>
      </c>
      <c r="L264" s="24" t="s">
        <v>142</v>
      </c>
      <c r="M264" s="24" t="s">
        <v>172</v>
      </c>
      <c r="N264" s="48">
        <v>999</v>
      </c>
      <c r="V264" s="24"/>
      <c r="W264" s="31"/>
    </row>
    <row r="265" spans="1:23" ht="15" x14ac:dyDescent="0.2">
      <c r="A265" s="46">
        <v>2</v>
      </c>
      <c r="B265" s="46">
        <v>7</v>
      </c>
      <c r="C265" s="46">
        <v>0</v>
      </c>
      <c r="D265" s="47">
        <v>535220231</v>
      </c>
      <c r="E265" s="47" t="s">
        <v>143</v>
      </c>
      <c r="F265" s="45" t="s">
        <v>175</v>
      </c>
      <c r="G265" s="59">
        <v>0</v>
      </c>
      <c r="H265" s="24">
        <v>5</v>
      </c>
      <c r="I265" s="24">
        <v>0</v>
      </c>
      <c r="J265" s="24" t="s">
        <v>1149</v>
      </c>
      <c r="K265" s="24" t="s">
        <v>439</v>
      </c>
      <c r="L265" s="24" t="s">
        <v>142</v>
      </c>
      <c r="M265" s="24" t="s">
        <v>172</v>
      </c>
      <c r="N265" s="48">
        <v>999</v>
      </c>
      <c r="V265" s="24"/>
      <c r="W265" s="31"/>
    </row>
    <row r="266" spans="1:23" ht="15" x14ac:dyDescent="0.2">
      <c r="A266" s="46">
        <v>2</v>
      </c>
      <c r="B266" s="46">
        <v>7</v>
      </c>
      <c r="C266" s="46">
        <v>0</v>
      </c>
      <c r="D266" s="47">
        <v>535220237</v>
      </c>
      <c r="E266" s="47" t="s">
        <v>143</v>
      </c>
      <c r="F266" s="45" t="s">
        <v>175</v>
      </c>
      <c r="G266" s="59">
        <v>0</v>
      </c>
      <c r="H266" s="24">
        <v>5</v>
      </c>
      <c r="I266" s="24">
        <v>0</v>
      </c>
      <c r="J266" s="24" t="s">
        <v>1150</v>
      </c>
      <c r="K266" s="24" t="s">
        <v>440</v>
      </c>
      <c r="L266" s="24" t="s">
        <v>142</v>
      </c>
      <c r="M266" s="24" t="s">
        <v>172</v>
      </c>
      <c r="N266" s="48">
        <v>999</v>
      </c>
      <c r="V266" s="24"/>
      <c r="W266" s="31"/>
    </row>
    <row r="267" spans="1:23" ht="15" x14ac:dyDescent="0.2">
      <c r="A267" s="46">
        <v>2</v>
      </c>
      <c r="B267" s="46">
        <v>7</v>
      </c>
      <c r="C267" s="46">
        <v>0</v>
      </c>
      <c r="D267" s="47">
        <v>535220241</v>
      </c>
      <c r="E267" s="47" t="s">
        <v>143</v>
      </c>
      <c r="F267" s="45" t="s">
        <v>175</v>
      </c>
      <c r="G267" s="59">
        <v>0</v>
      </c>
      <c r="H267" s="24">
        <v>5</v>
      </c>
      <c r="I267" s="24">
        <v>0</v>
      </c>
      <c r="J267" s="24" t="s">
        <v>1151</v>
      </c>
      <c r="K267" s="24" t="s">
        <v>441</v>
      </c>
      <c r="L267" s="24" t="s">
        <v>142</v>
      </c>
      <c r="M267" s="24" t="s">
        <v>172</v>
      </c>
      <c r="N267" s="48">
        <v>999</v>
      </c>
      <c r="V267" s="24"/>
      <c r="W267" s="31"/>
    </row>
    <row r="268" spans="1:23" ht="15" x14ac:dyDescent="0.2">
      <c r="A268" s="46">
        <v>3</v>
      </c>
      <c r="B268" s="46">
        <v>7</v>
      </c>
      <c r="C268" s="46">
        <v>0</v>
      </c>
      <c r="D268" s="47">
        <v>535220243</v>
      </c>
      <c r="E268" s="47" t="s">
        <v>143</v>
      </c>
      <c r="F268" s="45" t="s">
        <v>169</v>
      </c>
      <c r="G268" s="59">
        <v>0</v>
      </c>
      <c r="H268" s="24">
        <v>5</v>
      </c>
      <c r="I268" s="24">
        <v>0</v>
      </c>
      <c r="J268" s="24" t="s">
        <v>1152</v>
      </c>
      <c r="K268" s="24" t="s">
        <v>442</v>
      </c>
      <c r="L268" s="24" t="s">
        <v>142</v>
      </c>
      <c r="M268" s="24" t="s">
        <v>172</v>
      </c>
      <c r="N268" s="48">
        <v>999</v>
      </c>
      <c r="V268" s="24"/>
      <c r="W268" s="31"/>
    </row>
    <row r="269" spans="1:23" ht="15" x14ac:dyDescent="0.2">
      <c r="A269" s="46">
        <v>3</v>
      </c>
      <c r="B269" s="46">
        <v>7</v>
      </c>
      <c r="C269" s="46">
        <v>0</v>
      </c>
      <c r="D269" s="47">
        <v>535220248</v>
      </c>
      <c r="E269" s="47" t="s">
        <v>143</v>
      </c>
      <c r="F269" s="45" t="s">
        <v>169</v>
      </c>
      <c r="G269" s="59">
        <v>1</v>
      </c>
      <c r="H269" s="24">
        <v>5</v>
      </c>
      <c r="I269" s="24">
        <v>0</v>
      </c>
      <c r="J269" s="24" t="s">
        <v>1158</v>
      </c>
      <c r="K269" s="24" t="s">
        <v>448</v>
      </c>
      <c r="L269" s="24" t="s">
        <v>142</v>
      </c>
      <c r="M269" s="24" t="s">
        <v>172</v>
      </c>
      <c r="N269" s="48">
        <v>999</v>
      </c>
      <c r="V269" s="24"/>
      <c r="W269" s="31"/>
    </row>
    <row r="270" spans="1:23" ht="15" x14ac:dyDescent="0.2">
      <c r="A270" s="46">
        <v>3</v>
      </c>
      <c r="B270" s="46">
        <v>7</v>
      </c>
      <c r="C270" s="46">
        <v>0</v>
      </c>
      <c r="D270" s="47">
        <v>535220252</v>
      </c>
      <c r="E270" s="47" t="s">
        <v>143</v>
      </c>
      <c r="F270" s="45" t="s">
        <v>169</v>
      </c>
      <c r="G270" s="59">
        <v>1</v>
      </c>
      <c r="H270" s="24">
        <v>5</v>
      </c>
      <c r="I270" s="24">
        <v>0</v>
      </c>
      <c r="J270" s="24" t="s">
        <v>1159</v>
      </c>
      <c r="K270" s="24" t="s">
        <v>449</v>
      </c>
      <c r="L270" s="24" t="s">
        <v>142</v>
      </c>
      <c r="M270" s="24" t="s">
        <v>172</v>
      </c>
      <c r="N270" s="48">
        <v>999</v>
      </c>
      <c r="V270" s="24"/>
      <c r="W270" s="31"/>
    </row>
    <row r="271" spans="1:23" ht="15" x14ac:dyDescent="0.2">
      <c r="A271" s="46">
        <v>3</v>
      </c>
      <c r="B271" s="46">
        <v>7</v>
      </c>
      <c r="C271" s="46">
        <v>0</v>
      </c>
      <c r="D271" s="47">
        <v>535220254</v>
      </c>
      <c r="E271" s="47" t="s">
        <v>143</v>
      </c>
      <c r="F271" s="45" t="s">
        <v>169</v>
      </c>
      <c r="G271" s="59">
        <v>1</v>
      </c>
      <c r="H271" s="24">
        <v>5</v>
      </c>
      <c r="I271" s="24">
        <v>0</v>
      </c>
      <c r="J271" s="24" t="s">
        <v>1160</v>
      </c>
      <c r="K271" s="24" t="s">
        <v>450</v>
      </c>
      <c r="L271" s="24" t="s">
        <v>142</v>
      </c>
      <c r="M271" s="24" t="s">
        <v>172</v>
      </c>
      <c r="N271" s="48">
        <v>999</v>
      </c>
      <c r="V271" s="24"/>
      <c r="W271" s="31"/>
    </row>
    <row r="272" spans="1:23" ht="15" x14ac:dyDescent="0.2">
      <c r="A272" s="46">
        <v>3</v>
      </c>
      <c r="B272" s="46">
        <v>7</v>
      </c>
      <c r="C272" s="46">
        <v>0</v>
      </c>
      <c r="D272" s="47">
        <v>535220261</v>
      </c>
      <c r="E272" s="47" t="s">
        <v>143</v>
      </c>
      <c r="F272" s="45" t="s">
        <v>169</v>
      </c>
      <c r="G272" s="59">
        <v>1</v>
      </c>
      <c r="H272" s="24">
        <v>5</v>
      </c>
      <c r="I272" s="24">
        <v>0</v>
      </c>
      <c r="J272" s="24" t="s">
        <v>1161</v>
      </c>
      <c r="K272" s="24" t="s">
        <v>451</v>
      </c>
      <c r="L272" s="24" t="s">
        <v>142</v>
      </c>
      <c r="M272" s="24" t="s">
        <v>172</v>
      </c>
      <c r="N272" s="48">
        <v>999</v>
      </c>
      <c r="V272" s="24"/>
      <c r="W272" s="31"/>
    </row>
    <row r="273" spans="1:23" ht="15" x14ac:dyDescent="0.2">
      <c r="A273" s="46">
        <v>4</v>
      </c>
      <c r="B273" s="46">
        <v>7</v>
      </c>
      <c r="C273" s="46">
        <v>0</v>
      </c>
      <c r="D273" s="47">
        <v>825220141</v>
      </c>
      <c r="E273" s="47" t="s">
        <v>142</v>
      </c>
      <c r="F273" s="45" t="s">
        <v>174</v>
      </c>
      <c r="G273" s="59">
        <v>1</v>
      </c>
      <c r="H273" s="24">
        <v>5</v>
      </c>
      <c r="I273" s="24">
        <v>0</v>
      </c>
      <c r="J273" s="24" t="s">
        <v>1162</v>
      </c>
      <c r="K273" s="24" t="s">
        <v>452</v>
      </c>
      <c r="L273" s="24" t="s">
        <v>142</v>
      </c>
      <c r="M273" s="24" t="s">
        <v>172</v>
      </c>
      <c r="N273" s="48">
        <v>999</v>
      </c>
      <c r="V273" s="24"/>
      <c r="W273" s="31"/>
    </row>
    <row r="274" spans="1:23" ht="15" x14ac:dyDescent="0.2">
      <c r="A274" s="46">
        <v>4</v>
      </c>
      <c r="B274" s="46">
        <v>7</v>
      </c>
      <c r="C274" s="46">
        <v>0</v>
      </c>
      <c r="D274" s="47">
        <v>825220143</v>
      </c>
      <c r="E274" s="47" t="s">
        <v>142</v>
      </c>
      <c r="F274" s="45" t="s">
        <v>174</v>
      </c>
      <c r="G274" s="59">
        <v>2</v>
      </c>
      <c r="H274" s="24">
        <v>5</v>
      </c>
      <c r="I274" s="24">
        <v>0</v>
      </c>
      <c r="J274" s="24" t="s">
        <v>1168</v>
      </c>
      <c r="K274" s="24" t="s">
        <v>458</v>
      </c>
      <c r="L274" s="24" t="s">
        <v>142</v>
      </c>
      <c r="M274" s="24" t="s">
        <v>172</v>
      </c>
      <c r="N274" s="48">
        <v>999</v>
      </c>
      <c r="V274" s="24"/>
      <c r="W274" s="31"/>
    </row>
    <row r="275" spans="1:23" ht="15" x14ac:dyDescent="0.2">
      <c r="A275" s="46">
        <v>4</v>
      </c>
      <c r="B275" s="46">
        <v>7</v>
      </c>
      <c r="C275" s="46">
        <v>0</v>
      </c>
      <c r="D275" s="47">
        <v>825220156</v>
      </c>
      <c r="E275" s="47" t="s">
        <v>142</v>
      </c>
      <c r="F275" s="45" t="s">
        <v>174</v>
      </c>
      <c r="G275" s="59">
        <v>2</v>
      </c>
      <c r="H275" s="24">
        <v>5</v>
      </c>
      <c r="I275" s="24">
        <v>0</v>
      </c>
      <c r="J275" s="24" t="s">
        <v>1169</v>
      </c>
      <c r="K275" s="24" t="s">
        <v>459</v>
      </c>
      <c r="L275" s="24" t="s">
        <v>142</v>
      </c>
      <c r="M275" s="24" t="s">
        <v>172</v>
      </c>
      <c r="N275" s="48">
        <v>999</v>
      </c>
      <c r="V275" s="24"/>
      <c r="W275" s="31"/>
    </row>
    <row r="276" spans="1:23" ht="15" x14ac:dyDescent="0.2">
      <c r="A276" s="46">
        <v>4</v>
      </c>
      <c r="B276" s="46">
        <v>7</v>
      </c>
      <c r="C276" s="46">
        <v>0</v>
      </c>
      <c r="D276" s="47">
        <v>825220172</v>
      </c>
      <c r="E276" s="47" t="s">
        <v>142</v>
      </c>
      <c r="F276" s="45" t="s">
        <v>174</v>
      </c>
      <c r="G276" s="59">
        <v>2</v>
      </c>
      <c r="H276" s="24">
        <v>5</v>
      </c>
      <c r="I276" s="24">
        <v>0</v>
      </c>
      <c r="J276" s="24" t="s">
        <v>1170</v>
      </c>
      <c r="K276" s="24" t="s">
        <v>460</v>
      </c>
      <c r="L276" s="24" t="s">
        <v>142</v>
      </c>
      <c r="M276" s="24" t="s">
        <v>172</v>
      </c>
      <c r="N276" s="48">
        <v>999</v>
      </c>
      <c r="V276" s="24"/>
      <c r="W276" s="31"/>
    </row>
    <row r="277" spans="1:23" ht="15" x14ac:dyDescent="0.2">
      <c r="A277" s="46">
        <v>4</v>
      </c>
      <c r="B277" s="46">
        <v>7</v>
      </c>
      <c r="C277" s="46">
        <v>0</v>
      </c>
      <c r="D277" s="47">
        <v>825220173</v>
      </c>
      <c r="E277" s="47" t="s">
        <v>142</v>
      </c>
      <c r="F277" s="45" t="s">
        <v>174</v>
      </c>
      <c r="G277" s="59">
        <v>2</v>
      </c>
      <c r="H277" s="24">
        <v>5</v>
      </c>
      <c r="I277" s="24">
        <v>0</v>
      </c>
      <c r="J277" s="24" t="s">
        <v>1171</v>
      </c>
      <c r="K277" s="24" t="s">
        <v>461</v>
      </c>
      <c r="L277" s="24" t="s">
        <v>142</v>
      </c>
      <c r="M277" s="24" t="s">
        <v>172</v>
      </c>
      <c r="N277" s="48">
        <v>999</v>
      </c>
      <c r="V277" s="24"/>
      <c r="W277" s="31"/>
    </row>
    <row r="278" spans="1:23" ht="15" x14ac:dyDescent="0.2">
      <c r="A278" s="50">
        <v>5</v>
      </c>
      <c r="B278" s="46">
        <v>7</v>
      </c>
      <c r="C278" s="46">
        <v>0</v>
      </c>
      <c r="D278" s="49">
        <v>825220070</v>
      </c>
      <c r="E278" s="47" t="s">
        <v>142</v>
      </c>
      <c r="F278" s="45" t="s">
        <v>174</v>
      </c>
      <c r="G278" s="59">
        <v>2</v>
      </c>
      <c r="H278" s="24">
        <v>5</v>
      </c>
      <c r="I278" s="24">
        <v>0</v>
      </c>
      <c r="J278" s="24" t="s">
        <v>1172</v>
      </c>
      <c r="K278" s="24" t="s">
        <v>462</v>
      </c>
      <c r="L278" s="24" t="s">
        <v>142</v>
      </c>
      <c r="M278" s="24" t="s">
        <v>172</v>
      </c>
      <c r="N278" s="48">
        <v>999</v>
      </c>
      <c r="V278" s="24"/>
      <c r="W278" s="31"/>
    </row>
    <row r="279" spans="1:23" ht="15" x14ac:dyDescent="0.2">
      <c r="A279" s="50">
        <v>5</v>
      </c>
      <c r="B279" s="46">
        <v>7</v>
      </c>
      <c r="C279" s="46">
        <v>0</v>
      </c>
      <c r="D279" s="47">
        <v>825220090</v>
      </c>
      <c r="E279" s="47" t="s">
        <v>142</v>
      </c>
      <c r="F279" s="45" t="s">
        <v>172</v>
      </c>
      <c r="G279" s="59">
        <v>3</v>
      </c>
      <c r="H279" s="24">
        <v>5</v>
      </c>
      <c r="I279" s="24">
        <v>0</v>
      </c>
      <c r="J279" s="24" t="s">
        <v>1174</v>
      </c>
      <c r="K279" s="24" t="s">
        <v>464</v>
      </c>
      <c r="L279" s="24" t="s">
        <v>142</v>
      </c>
      <c r="M279" s="24" t="s">
        <v>172</v>
      </c>
      <c r="N279" s="48">
        <v>999</v>
      </c>
      <c r="V279" s="24"/>
      <c r="W279" s="31"/>
    </row>
    <row r="280" spans="1:23" ht="15" x14ac:dyDescent="0.2">
      <c r="A280" s="50">
        <v>5</v>
      </c>
      <c r="B280" s="46">
        <v>7</v>
      </c>
      <c r="C280" s="46">
        <v>0</v>
      </c>
      <c r="D280" s="47">
        <v>825220091</v>
      </c>
      <c r="E280" s="47" t="s">
        <v>142</v>
      </c>
      <c r="F280" s="45" t="s">
        <v>172</v>
      </c>
      <c r="G280" s="59">
        <v>0</v>
      </c>
      <c r="H280" s="24">
        <v>5</v>
      </c>
      <c r="I280" s="24">
        <v>1</v>
      </c>
      <c r="J280" s="24" t="s">
        <v>1153</v>
      </c>
      <c r="K280" s="24" t="s">
        <v>443</v>
      </c>
      <c r="L280" s="24" t="s">
        <v>142</v>
      </c>
      <c r="M280" s="24" t="s">
        <v>158</v>
      </c>
      <c r="N280" s="48">
        <v>999</v>
      </c>
      <c r="V280" s="24"/>
      <c r="W280" s="31"/>
    </row>
    <row r="281" spans="1:23" ht="15" x14ac:dyDescent="0.2">
      <c r="A281" s="50">
        <v>5</v>
      </c>
      <c r="B281" s="46">
        <v>7</v>
      </c>
      <c r="C281" s="46">
        <v>0</v>
      </c>
      <c r="D281" s="47">
        <v>825220092</v>
      </c>
      <c r="E281" s="47" t="s">
        <v>142</v>
      </c>
      <c r="F281" s="45" t="s">
        <v>172</v>
      </c>
      <c r="G281" s="59">
        <v>0</v>
      </c>
      <c r="H281" s="24">
        <v>5</v>
      </c>
      <c r="I281" s="24">
        <v>1</v>
      </c>
      <c r="J281" s="24" t="s">
        <v>1154</v>
      </c>
      <c r="K281" s="24" t="s">
        <v>444</v>
      </c>
      <c r="L281" s="24" t="s">
        <v>142</v>
      </c>
      <c r="M281" s="24" t="s">
        <v>158</v>
      </c>
      <c r="N281" s="48">
        <v>999</v>
      </c>
      <c r="V281" s="24"/>
      <c r="W281" s="31"/>
    </row>
    <row r="282" spans="1:23" ht="15" x14ac:dyDescent="0.2">
      <c r="A282" s="50">
        <v>5</v>
      </c>
      <c r="B282" s="46">
        <v>7</v>
      </c>
      <c r="C282" s="46">
        <v>0</v>
      </c>
      <c r="D282" s="47">
        <v>825220097</v>
      </c>
      <c r="E282" s="47" t="s">
        <v>142</v>
      </c>
      <c r="F282" s="45" t="s">
        <v>172</v>
      </c>
      <c r="G282" s="59">
        <v>0</v>
      </c>
      <c r="H282" s="24">
        <v>5</v>
      </c>
      <c r="I282" s="24">
        <v>1</v>
      </c>
      <c r="J282" s="24" t="s">
        <v>1155</v>
      </c>
      <c r="K282" s="24" t="s">
        <v>445</v>
      </c>
      <c r="L282" s="24" t="s">
        <v>142</v>
      </c>
      <c r="M282" s="24" t="s">
        <v>158</v>
      </c>
      <c r="N282" s="48">
        <v>999</v>
      </c>
      <c r="V282" s="24"/>
      <c r="W282" s="31"/>
    </row>
    <row r="283" spans="1:23" ht="15" x14ac:dyDescent="0.2">
      <c r="A283" s="46">
        <v>6</v>
      </c>
      <c r="B283" s="46">
        <v>7</v>
      </c>
      <c r="C283" s="46">
        <v>0</v>
      </c>
      <c r="D283" s="47">
        <v>535220094</v>
      </c>
      <c r="E283" s="47" t="s">
        <v>142</v>
      </c>
      <c r="F283" s="45" t="s">
        <v>158</v>
      </c>
      <c r="G283" s="59">
        <v>0</v>
      </c>
      <c r="H283" s="24">
        <v>5</v>
      </c>
      <c r="I283" s="24">
        <v>1</v>
      </c>
      <c r="J283" s="24" t="s">
        <v>1156</v>
      </c>
      <c r="K283" s="24" t="s">
        <v>446</v>
      </c>
      <c r="L283" s="24" t="s">
        <v>142</v>
      </c>
      <c r="M283" s="24" t="s">
        <v>158</v>
      </c>
      <c r="N283" s="48">
        <v>999</v>
      </c>
      <c r="V283" s="24"/>
      <c r="W283" s="31"/>
    </row>
    <row r="284" spans="1:23" ht="15" x14ac:dyDescent="0.2">
      <c r="A284" s="46">
        <v>6</v>
      </c>
      <c r="B284" s="46">
        <v>7</v>
      </c>
      <c r="C284" s="46">
        <v>0</v>
      </c>
      <c r="D284" s="47">
        <v>535220098</v>
      </c>
      <c r="E284" s="47" t="s">
        <v>142</v>
      </c>
      <c r="F284" s="45" t="s">
        <v>158</v>
      </c>
      <c r="G284" s="59">
        <v>0</v>
      </c>
      <c r="H284" s="24">
        <v>5</v>
      </c>
      <c r="I284" s="24">
        <v>1</v>
      </c>
      <c r="J284" s="24" t="s">
        <v>1157</v>
      </c>
      <c r="K284" s="24" t="s">
        <v>447</v>
      </c>
      <c r="L284" s="24" t="s">
        <v>142</v>
      </c>
      <c r="M284" s="24" t="s">
        <v>158</v>
      </c>
      <c r="N284" s="48">
        <v>999</v>
      </c>
      <c r="V284" s="24"/>
      <c r="W284" s="31"/>
    </row>
    <row r="285" spans="1:23" ht="15" x14ac:dyDescent="0.2">
      <c r="A285" s="46">
        <v>6</v>
      </c>
      <c r="B285" s="46">
        <v>7</v>
      </c>
      <c r="C285" s="46">
        <v>0</v>
      </c>
      <c r="D285" s="47">
        <v>535220102</v>
      </c>
      <c r="E285" s="47" t="s">
        <v>142</v>
      </c>
      <c r="F285" s="45" t="s">
        <v>158</v>
      </c>
      <c r="G285" s="59">
        <v>1</v>
      </c>
      <c r="H285" s="24">
        <v>5</v>
      </c>
      <c r="I285" s="24">
        <v>1</v>
      </c>
      <c r="J285" s="24" t="s">
        <v>1163</v>
      </c>
      <c r="K285" s="24" t="s">
        <v>453</v>
      </c>
      <c r="L285" s="24" t="s">
        <v>142</v>
      </c>
      <c r="M285" s="24" t="s">
        <v>158</v>
      </c>
      <c r="N285" s="48">
        <v>999</v>
      </c>
      <c r="V285" s="24"/>
      <c r="W285" s="31"/>
    </row>
    <row r="286" spans="1:23" ht="15" x14ac:dyDescent="0.2">
      <c r="A286" s="46">
        <v>6</v>
      </c>
      <c r="B286" s="46">
        <v>7</v>
      </c>
      <c r="C286" s="46">
        <v>0</v>
      </c>
      <c r="D286" s="47">
        <v>535220155</v>
      </c>
      <c r="E286" s="47" t="s">
        <v>142</v>
      </c>
      <c r="F286" s="45" t="s">
        <v>158</v>
      </c>
      <c r="G286" s="59">
        <v>1</v>
      </c>
      <c r="H286" s="24">
        <v>5</v>
      </c>
      <c r="I286" s="24">
        <v>1</v>
      </c>
      <c r="J286" s="24" t="s">
        <v>1164</v>
      </c>
      <c r="K286" s="24" t="s">
        <v>454</v>
      </c>
      <c r="L286" s="24" t="s">
        <v>142</v>
      </c>
      <c r="M286" s="24" t="s">
        <v>158</v>
      </c>
      <c r="N286" s="48">
        <v>999</v>
      </c>
      <c r="V286" s="24"/>
      <c r="W286" s="31"/>
    </row>
    <row r="287" spans="1:23" ht="15" x14ac:dyDescent="0.2">
      <c r="A287" s="46">
        <v>6</v>
      </c>
      <c r="B287" s="46">
        <v>7</v>
      </c>
      <c r="C287" s="46">
        <v>0</v>
      </c>
      <c r="D287" s="47">
        <v>535220156</v>
      </c>
      <c r="E287" s="47" t="s">
        <v>142</v>
      </c>
      <c r="F287" s="45" t="s">
        <v>158</v>
      </c>
      <c r="G287" s="59">
        <v>1</v>
      </c>
      <c r="H287" s="24">
        <v>5</v>
      </c>
      <c r="I287" s="24">
        <v>1</v>
      </c>
      <c r="J287" s="24" t="s">
        <v>1165</v>
      </c>
      <c r="K287" s="24" t="s">
        <v>455</v>
      </c>
      <c r="L287" s="24" t="s">
        <v>142</v>
      </c>
      <c r="M287" s="24" t="s">
        <v>158</v>
      </c>
      <c r="N287" s="48">
        <v>999</v>
      </c>
      <c r="V287" s="24"/>
      <c r="W287" s="31"/>
    </row>
    <row r="288" spans="1:23" ht="15" x14ac:dyDescent="0.2">
      <c r="A288" s="46">
        <v>0</v>
      </c>
      <c r="B288" s="46">
        <v>7</v>
      </c>
      <c r="C288" s="46">
        <v>1</v>
      </c>
      <c r="D288" s="47">
        <v>825220098</v>
      </c>
      <c r="E288" s="47" t="s">
        <v>142</v>
      </c>
      <c r="F288" s="45" t="s">
        <v>172</v>
      </c>
      <c r="G288" s="59">
        <v>1</v>
      </c>
      <c r="H288" s="24">
        <v>5</v>
      </c>
      <c r="I288" s="24">
        <v>1</v>
      </c>
      <c r="J288" s="24" t="s">
        <v>1166</v>
      </c>
      <c r="K288" s="24" t="s">
        <v>456</v>
      </c>
      <c r="L288" s="24" t="s">
        <v>142</v>
      </c>
      <c r="M288" s="24" t="s">
        <v>158</v>
      </c>
      <c r="N288" s="48">
        <v>999</v>
      </c>
      <c r="V288" s="24"/>
      <c r="W288" s="31"/>
    </row>
    <row r="289" spans="1:23" ht="15" x14ac:dyDescent="0.2">
      <c r="A289" s="46">
        <v>0</v>
      </c>
      <c r="B289" s="46">
        <v>7</v>
      </c>
      <c r="C289" s="46">
        <v>1</v>
      </c>
      <c r="D289" s="47">
        <v>825220099</v>
      </c>
      <c r="E289" s="47" t="s">
        <v>142</v>
      </c>
      <c r="F289" s="45" t="s">
        <v>172</v>
      </c>
      <c r="G289" s="59">
        <v>1</v>
      </c>
      <c r="H289" s="24">
        <v>5</v>
      </c>
      <c r="I289" s="24">
        <v>1</v>
      </c>
      <c r="J289" s="24" t="s">
        <v>1167</v>
      </c>
      <c r="K289" s="24" t="s">
        <v>457</v>
      </c>
      <c r="L289" s="24" t="s">
        <v>142</v>
      </c>
      <c r="M289" s="24" t="s">
        <v>158</v>
      </c>
      <c r="N289" s="48">
        <v>999</v>
      </c>
      <c r="V289" s="24"/>
      <c r="W289" s="31"/>
    </row>
    <row r="290" spans="1:23" ht="15" x14ac:dyDescent="0.2">
      <c r="A290" s="46">
        <v>0</v>
      </c>
      <c r="B290" s="46">
        <v>7</v>
      </c>
      <c r="C290" s="46">
        <v>1</v>
      </c>
      <c r="D290" s="47">
        <v>825220102</v>
      </c>
      <c r="E290" s="47" t="s">
        <v>142</v>
      </c>
      <c r="F290" s="45" t="s">
        <v>172</v>
      </c>
      <c r="G290" s="59">
        <v>2</v>
      </c>
      <c r="H290" s="24">
        <v>5</v>
      </c>
      <c r="I290" s="24">
        <v>1</v>
      </c>
      <c r="J290" s="24" t="s">
        <v>1173</v>
      </c>
      <c r="K290" s="24" t="s">
        <v>463</v>
      </c>
      <c r="L290" s="24" t="s">
        <v>142</v>
      </c>
      <c r="M290" s="24" t="s">
        <v>158</v>
      </c>
      <c r="N290" s="48">
        <v>999</v>
      </c>
      <c r="V290" s="24"/>
      <c r="W290" s="31"/>
    </row>
    <row r="291" spans="1:23" ht="15" x14ac:dyDescent="0.2">
      <c r="A291" s="46">
        <v>0</v>
      </c>
      <c r="B291" s="46">
        <v>7</v>
      </c>
      <c r="C291" s="46">
        <v>1</v>
      </c>
      <c r="D291" s="47">
        <v>825220103</v>
      </c>
      <c r="E291" s="47" t="s">
        <v>142</v>
      </c>
      <c r="F291" s="45" t="s">
        <v>172</v>
      </c>
      <c r="G291" s="59">
        <v>0</v>
      </c>
      <c r="H291" s="24">
        <v>6</v>
      </c>
      <c r="I291" s="24">
        <v>0</v>
      </c>
      <c r="J291" s="24" t="s">
        <v>1175</v>
      </c>
      <c r="K291" s="24" t="s">
        <v>465</v>
      </c>
      <c r="L291" s="24" t="s">
        <v>143</v>
      </c>
      <c r="M291" s="24" t="s">
        <v>173</v>
      </c>
      <c r="N291" s="48">
        <v>999</v>
      </c>
      <c r="V291" s="24"/>
      <c r="W291" s="31"/>
    </row>
    <row r="292" spans="1:23" ht="15" x14ac:dyDescent="0.2">
      <c r="A292" s="46">
        <v>0</v>
      </c>
      <c r="B292" s="46">
        <v>7</v>
      </c>
      <c r="C292" s="46">
        <v>1</v>
      </c>
      <c r="D292" s="47">
        <v>825220110</v>
      </c>
      <c r="E292" s="47" t="s">
        <v>142</v>
      </c>
      <c r="F292" s="45" t="s">
        <v>172</v>
      </c>
      <c r="G292" s="59">
        <v>0</v>
      </c>
      <c r="H292" s="24">
        <v>6</v>
      </c>
      <c r="I292" s="24">
        <v>0</v>
      </c>
      <c r="J292" s="24" t="s">
        <v>1176</v>
      </c>
      <c r="K292" s="24" t="s">
        <v>466</v>
      </c>
      <c r="L292" s="24" t="s">
        <v>143</v>
      </c>
      <c r="M292" s="24" t="s">
        <v>173</v>
      </c>
      <c r="N292" s="48">
        <v>999</v>
      </c>
      <c r="V292" s="24"/>
      <c r="W292" s="31"/>
    </row>
    <row r="293" spans="1:23" ht="15" x14ac:dyDescent="0.2">
      <c r="A293" s="46">
        <v>1</v>
      </c>
      <c r="B293" s="46">
        <v>7</v>
      </c>
      <c r="C293" s="46">
        <v>1</v>
      </c>
      <c r="D293" s="47">
        <v>825220111</v>
      </c>
      <c r="E293" s="47" t="s">
        <v>142</v>
      </c>
      <c r="F293" s="45" t="s">
        <v>172</v>
      </c>
      <c r="G293" s="59">
        <v>0</v>
      </c>
      <c r="H293" s="24">
        <v>6</v>
      </c>
      <c r="I293" s="24">
        <v>0</v>
      </c>
      <c r="J293" s="24" t="s">
        <v>1177</v>
      </c>
      <c r="K293" s="24" t="s">
        <v>467</v>
      </c>
      <c r="L293" s="24" t="s">
        <v>143</v>
      </c>
      <c r="M293" s="24" t="s">
        <v>173</v>
      </c>
      <c r="N293" s="48">
        <v>999</v>
      </c>
      <c r="V293" s="24"/>
      <c r="W293" s="31"/>
    </row>
    <row r="294" spans="1:23" ht="15" x14ac:dyDescent="0.2">
      <c r="A294" s="46">
        <v>1</v>
      </c>
      <c r="B294" s="46">
        <v>7</v>
      </c>
      <c r="C294" s="46">
        <v>1</v>
      </c>
      <c r="D294" s="47">
        <v>825220117</v>
      </c>
      <c r="E294" s="47" t="s">
        <v>142</v>
      </c>
      <c r="F294" s="45" t="s">
        <v>172</v>
      </c>
      <c r="G294" s="59">
        <v>0</v>
      </c>
      <c r="H294" s="24">
        <v>6</v>
      </c>
      <c r="I294" s="24">
        <v>0</v>
      </c>
      <c r="J294" s="24" t="s">
        <v>1178</v>
      </c>
      <c r="K294" s="24" t="s">
        <v>468</v>
      </c>
      <c r="L294" s="24" t="s">
        <v>143</v>
      </c>
      <c r="M294" s="24" t="s">
        <v>173</v>
      </c>
      <c r="N294" s="48">
        <v>999</v>
      </c>
      <c r="V294" s="24"/>
      <c r="W294" s="31"/>
    </row>
    <row r="295" spans="1:23" ht="15" x14ac:dyDescent="0.2">
      <c r="A295" s="46">
        <v>1</v>
      </c>
      <c r="B295" s="46">
        <v>7</v>
      </c>
      <c r="C295" s="46">
        <v>1</v>
      </c>
      <c r="D295" s="47">
        <v>535220157</v>
      </c>
      <c r="E295" s="47" t="s">
        <v>142</v>
      </c>
      <c r="F295" s="45" t="s">
        <v>158</v>
      </c>
      <c r="G295" s="59">
        <v>0</v>
      </c>
      <c r="H295" s="24">
        <v>6</v>
      </c>
      <c r="I295" s="24">
        <v>0</v>
      </c>
      <c r="J295" s="24" t="s">
        <v>1179</v>
      </c>
      <c r="K295" s="24" t="s">
        <v>469</v>
      </c>
      <c r="L295" s="24" t="s">
        <v>143</v>
      </c>
      <c r="M295" s="24" t="s">
        <v>173</v>
      </c>
      <c r="N295" s="48">
        <v>999</v>
      </c>
      <c r="V295" s="24"/>
      <c r="W295" s="31"/>
    </row>
    <row r="296" spans="1:23" ht="15" x14ac:dyDescent="0.2">
      <c r="A296" s="46">
        <v>1</v>
      </c>
      <c r="B296" s="46">
        <v>7</v>
      </c>
      <c r="C296" s="46">
        <v>1</v>
      </c>
      <c r="D296" s="47">
        <v>535220159</v>
      </c>
      <c r="E296" s="47" t="s">
        <v>142</v>
      </c>
      <c r="F296" s="45" t="s">
        <v>158</v>
      </c>
      <c r="G296" s="59">
        <v>1</v>
      </c>
      <c r="H296" s="24">
        <v>6</v>
      </c>
      <c r="I296" s="24">
        <v>0</v>
      </c>
      <c r="J296" s="24" t="s">
        <v>1190</v>
      </c>
      <c r="K296" s="24" t="s">
        <v>480</v>
      </c>
      <c r="L296" s="24" t="s">
        <v>143</v>
      </c>
      <c r="M296" s="24" t="s">
        <v>173</v>
      </c>
      <c r="N296" s="48">
        <v>999</v>
      </c>
      <c r="V296" s="24"/>
      <c r="W296" s="31"/>
    </row>
    <row r="297" spans="1:23" ht="15" x14ac:dyDescent="0.2">
      <c r="A297" s="46">
        <v>1</v>
      </c>
      <c r="B297" s="46">
        <v>7</v>
      </c>
      <c r="C297" s="46">
        <v>1</v>
      </c>
      <c r="D297" s="47">
        <v>535220220</v>
      </c>
      <c r="E297" s="47" t="s">
        <v>142</v>
      </c>
      <c r="F297" s="45" t="s">
        <v>158</v>
      </c>
      <c r="G297" s="59">
        <v>1</v>
      </c>
      <c r="H297" s="24">
        <v>6</v>
      </c>
      <c r="I297" s="24">
        <v>0</v>
      </c>
      <c r="J297" s="24" t="s">
        <v>1191</v>
      </c>
      <c r="K297" s="24" t="s">
        <v>481</v>
      </c>
      <c r="L297" s="24" t="s">
        <v>143</v>
      </c>
      <c r="M297" s="24" t="s">
        <v>173</v>
      </c>
      <c r="N297" s="48">
        <v>999</v>
      </c>
      <c r="V297" s="24"/>
      <c r="W297" s="31"/>
    </row>
    <row r="298" spans="1:23" ht="15" x14ac:dyDescent="0.2">
      <c r="A298" s="50">
        <v>2</v>
      </c>
      <c r="B298" s="46">
        <v>7</v>
      </c>
      <c r="C298" s="46">
        <v>1</v>
      </c>
      <c r="D298" s="49">
        <v>535220225</v>
      </c>
      <c r="E298" s="47" t="s">
        <v>142</v>
      </c>
      <c r="F298" s="45" t="s">
        <v>158</v>
      </c>
      <c r="G298" s="59">
        <v>1</v>
      </c>
      <c r="H298" s="24">
        <v>6</v>
      </c>
      <c r="I298" s="24">
        <v>0</v>
      </c>
      <c r="J298" s="24" t="s">
        <v>1192</v>
      </c>
      <c r="K298" s="24" t="s">
        <v>482</v>
      </c>
      <c r="L298" s="24" t="s">
        <v>143</v>
      </c>
      <c r="M298" s="24" t="s">
        <v>173</v>
      </c>
      <c r="N298" s="48">
        <v>999</v>
      </c>
      <c r="V298" s="24"/>
      <c r="W298" s="31"/>
    </row>
    <row r="299" spans="1:23" ht="15" x14ac:dyDescent="0.2">
      <c r="A299" s="50">
        <v>2</v>
      </c>
      <c r="B299" s="46">
        <v>7</v>
      </c>
      <c r="C299" s="46">
        <v>1</v>
      </c>
      <c r="D299" s="47">
        <v>535220246</v>
      </c>
      <c r="E299" s="47" t="s">
        <v>142</v>
      </c>
      <c r="F299" s="45" t="s">
        <v>158</v>
      </c>
      <c r="G299" s="59">
        <v>1</v>
      </c>
      <c r="H299" s="24">
        <v>6</v>
      </c>
      <c r="I299" s="24">
        <v>0</v>
      </c>
      <c r="J299" s="24" t="s">
        <v>1193</v>
      </c>
      <c r="K299" s="24" t="s">
        <v>483</v>
      </c>
      <c r="L299" s="24" t="s">
        <v>143</v>
      </c>
      <c r="M299" s="24" t="s">
        <v>173</v>
      </c>
      <c r="N299" s="48">
        <v>999</v>
      </c>
      <c r="V299" s="24"/>
      <c r="W299" s="31"/>
    </row>
    <row r="300" spans="1:23" ht="15" x14ac:dyDescent="0.2">
      <c r="A300" s="50">
        <v>2</v>
      </c>
      <c r="B300" s="46">
        <v>7</v>
      </c>
      <c r="C300" s="46">
        <v>1</v>
      </c>
      <c r="D300" s="47">
        <v>535220258</v>
      </c>
      <c r="E300" s="47" t="s">
        <v>142</v>
      </c>
      <c r="F300" s="45" t="s">
        <v>158</v>
      </c>
      <c r="G300" s="59">
        <v>1</v>
      </c>
      <c r="H300" s="24">
        <v>6</v>
      </c>
      <c r="I300" s="24">
        <v>0</v>
      </c>
      <c r="J300" s="24" t="s">
        <v>1194</v>
      </c>
      <c r="K300" s="24" t="s">
        <v>484</v>
      </c>
      <c r="L300" s="24" t="s">
        <v>143</v>
      </c>
      <c r="M300" s="24" t="s">
        <v>173</v>
      </c>
      <c r="N300" s="48">
        <v>999</v>
      </c>
      <c r="V300" s="24"/>
      <c r="W300" s="31"/>
    </row>
    <row r="301" spans="1:23" ht="15" x14ac:dyDescent="0.2">
      <c r="A301" s="50">
        <v>2</v>
      </c>
      <c r="B301" s="46">
        <v>7</v>
      </c>
      <c r="C301" s="46">
        <v>1</v>
      </c>
      <c r="D301" s="47">
        <v>535220042</v>
      </c>
      <c r="E301" s="47" t="s">
        <v>142</v>
      </c>
      <c r="F301" s="45" t="s">
        <v>164</v>
      </c>
      <c r="G301" s="59">
        <v>2</v>
      </c>
      <c r="H301" s="24">
        <v>6</v>
      </c>
      <c r="I301" s="24">
        <v>0</v>
      </c>
      <c r="J301" s="24" t="s">
        <v>1205</v>
      </c>
      <c r="K301" s="24" t="s">
        <v>495</v>
      </c>
      <c r="L301" s="24" t="s">
        <v>143</v>
      </c>
      <c r="M301" s="24" t="s">
        <v>173</v>
      </c>
      <c r="N301" s="48">
        <v>999</v>
      </c>
      <c r="V301" s="24"/>
      <c r="W301" s="31"/>
    </row>
    <row r="302" spans="1:23" ht="15" x14ac:dyDescent="0.2">
      <c r="A302" s="50">
        <v>2</v>
      </c>
      <c r="B302" s="46">
        <v>7</v>
      </c>
      <c r="C302" s="46">
        <v>1</v>
      </c>
      <c r="D302" s="47">
        <v>535220043</v>
      </c>
      <c r="E302" s="47" t="s">
        <v>142</v>
      </c>
      <c r="F302" s="45" t="s">
        <v>164</v>
      </c>
      <c r="G302" s="59">
        <v>2</v>
      </c>
      <c r="H302" s="24">
        <v>6</v>
      </c>
      <c r="I302" s="24">
        <v>0</v>
      </c>
      <c r="J302" s="24" t="s">
        <v>1206</v>
      </c>
      <c r="K302" s="24" t="s">
        <v>496</v>
      </c>
      <c r="L302" s="24" t="s">
        <v>143</v>
      </c>
      <c r="M302" s="24" t="s">
        <v>173</v>
      </c>
      <c r="N302" s="48">
        <v>999</v>
      </c>
      <c r="V302" s="24"/>
      <c r="W302" s="31"/>
    </row>
    <row r="303" spans="1:23" ht="15" x14ac:dyDescent="0.2">
      <c r="A303" s="46">
        <v>3</v>
      </c>
      <c r="B303" s="46">
        <v>7</v>
      </c>
      <c r="C303" s="46">
        <v>1</v>
      </c>
      <c r="D303" s="47">
        <v>535220048</v>
      </c>
      <c r="E303" s="47" t="s">
        <v>142</v>
      </c>
      <c r="F303" s="45" t="s">
        <v>164</v>
      </c>
      <c r="G303" s="59">
        <v>2</v>
      </c>
      <c r="H303" s="24">
        <v>6</v>
      </c>
      <c r="I303" s="24">
        <v>0</v>
      </c>
      <c r="J303" s="24" t="s">
        <v>1207</v>
      </c>
      <c r="K303" s="24" t="s">
        <v>497</v>
      </c>
      <c r="L303" s="24" t="s">
        <v>143</v>
      </c>
      <c r="M303" s="24" t="s">
        <v>173</v>
      </c>
      <c r="N303" s="48">
        <v>999</v>
      </c>
      <c r="V303" s="24"/>
      <c r="W303" s="31"/>
    </row>
    <row r="304" spans="1:23" ht="15" x14ac:dyDescent="0.2">
      <c r="A304" s="46">
        <v>3</v>
      </c>
      <c r="B304" s="46">
        <v>7</v>
      </c>
      <c r="C304" s="46">
        <v>1</v>
      </c>
      <c r="D304" s="47">
        <v>535220049</v>
      </c>
      <c r="E304" s="47" t="s">
        <v>142</v>
      </c>
      <c r="F304" s="45" t="s">
        <v>164</v>
      </c>
      <c r="G304" s="59">
        <v>2</v>
      </c>
      <c r="H304" s="24">
        <v>6</v>
      </c>
      <c r="I304" s="24">
        <v>0</v>
      </c>
      <c r="J304" s="24" t="s">
        <v>1208</v>
      </c>
      <c r="K304" s="24" t="s">
        <v>498</v>
      </c>
      <c r="L304" s="24" t="s">
        <v>143</v>
      </c>
      <c r="M304" s="24" t="s">
        <v>173</v>
      </c>
      <c r="N304" s="48">
        <v>999</v>
      </c>
      <c r="V304" s="24"/>
      <c r="W304" s="31"/>
    </row>
    <row r="305" spans="1:23" ht="15" x14ac:dyDescent="0.2">
      <c r="A305" s="46">
        <v>3</v>
      </c>
      <c r="B305" s="46">
        <v>7</v>
      </c>
      <c r="C305" s="46">
        <v>1</v>
      </c>
      <c r="D305" s="47">
        <v>535220073</v>
      </c>
      <c r="E305" s="47" t="s">
        <v>142</v>
      </c>
      <c r="F305" s="45" t="s">
        <v>164</v>
      </c>
      <c r="G305" s="59">
        <v>2</v>
      </c>
      <c r="H305" s="24">
        <v>6</v>
      </c>
      <c r="I305" s="24">
        <v>0</v>
      </c>
      <c r="J305" s="24" t="s">
        <v>1209</v>
      </c>
      <c r="K305" s="24" t="s">
        <v>499</v>
      </c>
      <c r="L305" s="24" t="s">
        <v>146</v>
      </c>
      <c r="M305" s="24" t="s">
        <v>173</v>
      </c>
      <c r="N305" s="48">
        <v>999</v>
      </c>
      <c r="V305" s="24"/>
      <c r="W305" s="31"/>
    </row>
    <row r="306" spans="1:23" ht="15" x14ac:dyDescent="0.2">
      <c r="A306" s="46">
        <v>3</v>
      </c>
      <c r="B306" s="46">
        <v>7</v>
      </c>
      <c r="C306" s="46">
        <v>1</v>
      </c>
      <c r="D306" s="47">
        <v>535220074</v>
      </c>
      <c r="E306" s="47" t="s">
        <v>142</v>
      </c>
      <c r="F306" s="45" t="s">
        <v>164</v>
      </c>
      <c r="G306" s="59">
        <v>3</v>
      </c>
      <c r="H306" s="24">
        <v>6</v>
      </c>
      <c r="I306" s="24">
        <v>0</v>
      </c>
      <c r="J306" s="24" t="s">
        <v>1220</v>
      </c>
      <c r="K306" s="24" t="s">
        <v>510</v>
      </c>
      <c r="L306" s="24" t="s">
        <v>146</v>
      </c>
      <c r="M306" s="24" t="s">
        <v>173</v>
      </c>
      <c r="N306" s="48">
        <v>999</v>
      </c>
      <c r="V306" s="24"/>
      <c r="W306" s="31"/>
    </row>
    <row r="307" spans="1:23" ht="15" x14ac:dyDescent="0.2">
      <c r="A307" s="46">
        <v>3</v>
      </c>
      <c r="B307" s="46">
        <v>7</v>
      </c>
      <c r="C307" s="46">
        <v>1</v>
      </c>
      <c r="D307" s="47">
        <v>535220081</v>
      </c>
      <c r="E307" s="47" t="s">
        <v>142</v>
      </c>
      <c r="F307" s="45" t="s">
        <v>164</v>
      </c>
      <c r="G307" s="59">
        <v>3</v>
      </c>
      <c r="H307" s="24">
        <v>6</v>
      </c>
      <c r="I307" s="24">
        <v>0</v>
      </c>
      <c r="J307" s="24" t="s">
        <v>1221</v>
      </c>
      <c r="K307" s="24" t="s">
        <v>511</v>
      </c>
      <c r="L307" s="24" t="s">
        <v>142</v>
      </c>
      <c r="M307" s="24" t="s">
        <v>174</v>
      </c>
      <c r="N307" s="48">
        <v>999</v>
      </c>
      <c r="V307" s="24"/>
      <c r="W307" s="31"/>
    </row>
    <row r="308" spans="1:23" ht="15" x14ac:dyDescent="0.2">
      <c r="A308" s="46">
        <v>0</v>
      </c>
      <c r="B308" s="46">
        <v>8</v>
      </c>
      <c r="C308" s="46">
        <v>0</v>
      </c>
      <c r="D308" s="47">
        <v>825220094</v>
      </c>
      <c r="E308" s="47" t="s">
        <v>143</v>
      </c>
      <c r="F308" s="45" t="s">
        <v>162</v>
      </c>
      <c r="G308" s="59">
        <v>0</v>
      </c>
      <c r="H308" s="24">
        <v>6</v>
      </c>
      <c r="I308" s="24">
        <v>1</v>
      </c>
      <c r="J308" s="24" t="s">
        <v>1180</v>
      </c>
      <c r="K308" s="24" t="s">
        <v>470</v>
      </c>
      <c r="L308" s="24" t="s">
        <v>142</v>
      </c>
      <c r="M308" s="24" t="s">
        <v>174</v>
      </c>
      <c r="N308" s="48">
        <v>999</v>
      </c>
      <c r="V308" s="24"/>
      <c r="W308" s="31"/>
    </row>
    <row r="309" spans="1:23" ht="15" x14ac:dyDescent="0.2">
      <c r="A309" s="46">
        <v>0</v>
      </c>
      <c r="B309" s="46">
        <v>8</v>
      </c>
      <c r="C309" s="46">
        <v>0</v>
      </c>
      <c r="D309" s="47">
        <v>825220095</v>
      </c>
      <c r="E309" s="47" t="s">
        <v>143</v>
      </c>
      <c r="F309" s="45" t="s">
        <v>162</v>
      </c>
      <c r="G309" s="59">
        <v>0</v>
      </c>
      <c r="H309" s="24">
        <v>6</v>
      </c>
      <c r="I309" s="24">
        <v>1</v>
      </c>
      <c r="J309" s="24" t="s">
        <v>1181</v>
      </c>
      <c r="K309" s="24" t="s">
        <v>471</v>
      </c>
      <c r="L309" s="24" t="s">
        <v>142</v>
      </c>
      <c r="M309" s="24" t="s">
        <v>174</v>
      </c>
      <c r="N309" s="48">
        <v>999</v>
      </c>
      <c r="V309" s="24"/>
      <c r="W309" s="31"/>
    </row>
    <row r="310" spans="1:23" ht="15" x14ac:dyDescent="0.2">
      <c r="A310" s="46">
        <v>0</v>
      </c>
      <c r="B310" s="46">
        <v>8</v>
      </c>
      <c r="C310" s="46">
        <v>0</v>
      </c>
      <c r="D310" s="47">
        <v>825220105</v>
      </c>
      <c r="E310" s="47" t="s">
        <v>143</v>
      </c>
      <c r="F310" s="45" t="s">
        <v>162</v>
      </c>
      <c r="G310" s="59">
        <v>0</v>
      </c>
      <c r="H310" s="24">
        <v>6</v>
      </c>
      <c r="I310" s="24">
        <v>1</v>
      </c>
      <c r="J310" s="24" t="s">
        <v>1182</v>
      </c>
      <c r="K310" s="24" t="s">
        <v>472</v>
      </c>
      <c r="L310" s="24" t="s">
        <v>142</v>
      </c>
      <c r="M310" s="24" t="s">
        <v>174</v>
      </c>
      <c r="N310" s="48">
        <v>999</v>
      </c>
      <c r="V310" s="24"/>
      <c r="W310" s="31"/>
    </row>
    <row r="311" spans="1:23" ht="15" x14ac:dyDescent="0.2">
      <c r="A311" s="46">
        <v>0</v>
      </c>
      <c r="B311" s="46">
        <v>8</v>
      </c>
      <c r="C311" s="46">
        <v>0</v>
      </c>
      <c r="D311" s="47">
        <v>825220113</v>
      </c>
      <c r="E311" s="47" t="s">
        <v>143</v>
      </c>
      <c r="F311" s="45" t="s">
        <v>162</v>
      </c>
      <c r="G311" s="59">
        <v>0</v>
      </c>
      <c r="H311" s="24">
        <v>6</v>
      </c>
      <c r="I311" s="24">
        <v>1</v>
      </c>
      <c r="J311" s="24" t="s">
        <v>1183</v>
      </c>
      <c r="K311" s="24" t="s">
        <v>473</v>
      </c>
      <c r="L311" s="24" t="s">
        <v>142</v>
      </c>
      <c r="M311" s="24" t="s">
        <v>174</v>
      </c>
      <c r="N311" s="48">
        <v>999</v>
      </c>
      <c r="V311" s="24"/>
      <c r="W311" s="31"/>
    </row>
    <row r="312" spans="1:23" ht="15" x14ac:dyDescent="0.2">
      <c r="A312" s="46">
        <v>0</v>
      </c>
      <c r="B312" s="46">
        <v>8</v>
      </c>
      <c r="C312" s="46">
        <v>0</v>
      </c>
      <c r="D312" s="47">
        <v>825220114</v>
      </c>
      <c r="E312" s="47" t="s">
        <v>143</v>
      </c>
      <c r="F312" s="45" t="s">
        <v>162</v>
      </c>
      <c r="G312" s="59">
        <v>0</v>
      </c>
      <c r="H312" s="24">
        <v>6</v>
      </c>
      <c r="I312" s="24">
        <v>1</v>
      </c>
      <c r="J312" s="24" t="s">
        <v>1184</v>
      </c>
      <c r="K312" s="24" t="s">
        <v>474</v>
      </c>
      <c r="L312" s="24" t="s">
        <v>142</v>
      </c>
      <c r="M312" s="24" t="s">
        <v>174</v>
      </c>
      <c r="N312" s="48">
        <v>999</v>
      </c>
      <c r="V312" s="24"/>
      <c r="W312" s="31"/>
    </row>
    <row r="313" spans="1:23" ht="15" x14ac:dyDescent="0.2">
      <c r="A313" s="46">
        <v>1</v>
      </c>
      <c r="B313" s="46">
        <v>8</v>
      </c>
      <c r="C313" s="46">
        <v>0</v>
      </c>
      <c r="D313" s="47">
        <v>825220115</v>
      </c>
      <c r="E313" s="47" t="s">
        <v>143</v>
      </c>
      <c r="F313" s="45" t="s">
        <v>162</v>
      </c>
      <c r="G313" s="59">
        <v>1</v>
      </c>
      <c r="H313" s="24">
        <v>6</v>
      </c>
      <c r="I313" s="24">
        <v>1</v>
      </c>
      <c r="J313" s="24" t="s">
        <v>1195</v>
      </c>
      <c r="K313" s="24" t="s">
        <v>485</v>
      </c>
      <c r="L313" s="24" t="s">
        <v>142</v>
      </c>
      <c r="M313" s="24" t="s">
        <v>174</v>
      </c>
      <c r="N313" s="48">
        <v>999</v>
      </c>
      <c r="V313" s="24"/>
      <c r="W313" s="31"/>
    </row>
    <row r="314" spans="1:23" ht="15" x14ac:dyDescent="0.2">
      <c r="A314" s="46">
        <v>1</v>
      </c>
      <c r="B314" s="46">
        <v>8</v>
      </c>
      <c r="C314" s="46">
        <v>0</v>
      </c>
      <c r="D314" s="47">
        <v>825220121</v>
      </c>
      <c r="E314" s="47" t="s">
        <v>143</v>
      </c>
      <c r="F314" s="45" t="s">
        <v>162</v>
      </c>
      <c r="G314" s="59">
        <v>1</v>
      </c>
      <c r="H314" s="24">
        <v>6</v>
      </c>
      <c r="I314" s="24">
        <v>1</v>
      </c>
      <c r="J314" s="24" t="s">
        <v>1196</v>
      </c>
      <c r="K314" s="24" t="s">
        <v>486</v>
      </c>
      <c r="L314" s="24" t="s">
        <v>142</v>
      </c>
      <c r="M314" s="24" t="s">
        <v>174</v>
      </c>
      <c r="N314" s="48">
        <v>999</v>
      </c>
      <c r="V314" s="24"/>
      <c r="W314" s="31"/>
    </row>
    <row r="315" spans="1:23" ht="15" x14ac:dyDescent="0.2">
      <c r="A315" s="46">
        <v>1</v>
      </c>
      <c r="B315" s="46">
        <v>8</v>
      </c>
      <c r="C315" s="46">
        <v>0</v>
      </c>
      <c r="D315" s="47">
        <v>825220124</v>
      </c>
      <c r="E315" s="47" t="s">
        <v>143</v>
      </c>
      <c r="F315" s="45" t="s">
        <v>162</v>
      </c>
      <c r="G315" s="59">
        <v>1</v>
      </c>
      <c r="H315" s="24">
        <v>6</v>
      </c>
      <c r="I315" s="24">
        <v>1</v>
      </c>
      <c r="J315" s="24" t="s">
        <v>1197</v>
      </c>
      <c r="K315" s="24" t="s">
        <v>487</v>
      </c>
      <c r="L315" s="24" t="s">
        <v>142</v>
      </c>
      <c r="M315" s="24" t="s">
        <v>174</v>
      </c>
      <c r="N315" s="48">
        <v>999</v>
      </c>
      <c r="V315" s="24"/>
      <c r="W315" s="31"/>
    </row>
    <row r="316" spans="1:23" ht="15" x14ac:dyDescent="0.2">
      <c r="A316" s="46">
        <v>1</v>
      </c>
      <c r="B316" s="46">
        <v>8</v>
      </c>
      <c r="C316" s="46">
        <v>0</v>
      </c>
      <c r="D316" s="47">
        <v>825220131</v>
      </c>
      <c r="E316" s="47" t="s">
        <v>143</v>
      </c>
      <c r="F316" s="45" t="s">
        <v>162</v>
      </c>
      <c r="G316" s="59">
        <v>1</v>
      </c>
      <c r="H316" s="24">
        <v>6</v>
      </c>
      <c r="I316" s="24">
        <v>1</v>
      </c>
      <c r="J316" s="24" t="s">
        <v>1198</v>
      </c>
      <c r="K316" s="24" t="s">
        <v>488</v>
      </c>
      <c r="L316" s="24" t="s">
        <v>142</v>
      </c>
      <c r="M316" s="24" t="s">
        <v>174</v>
      </c>
      <c r="N316" s="48">
        <v>999</v>
      </c>
      <c r="V316" s="24"/>
      <c r="W316" s="31"/>
    </row>
    <row r="317" spans="1:23" ht="15" x14ac:dyDescent="0.2">
      <c r="A317" s="46">
        <v>1</v>
      </c>
      <c r="B317" s="46">
        <v>8</v>
      </c>
      <c r="C317" s="46">
        <v>0</v>
      </c>
      <c r="D317" s="47">
        <v>825220133</v>
      </c>
      <c r="E317" s="47" t="s">
        <v>143</v>
      </c>
      <c r="F317" s="45" t="s">
        <v>162</v>
      </c>
      <c r="G317" s="59">
        <v>1</v>
      </c>
      <c r="H317" s="24">
        <v>6</v>
      </c>
      <c r="I317" s="24">
        <v>1</v>
      </c>
      <c r="J317" s="24" t="s">
        <v>1199</v>
      </c>
      <c r="K317" s="24" t="s">
        <v>489</v>
      </c>
      <c r="L317" s="24" t="s">
        <v>142</v>
      </c>
      <c r="M317" s="24" t="s">
        <v>174</v>
      </c>
      <c r="N317" s="48">
        <v>999</v>
      </c>
      <c r="V317" s="24"/>
      <c r="W317" s="31"/>
    </row>
    <row r="318" spans="1:23" ht="15" x14ac:dyDescent="0.2">
      <c r="A318" s="50">
        <v>2</v>
      </c>
      <c r="B318" s="46">
        <v>8</v>
      </c>
      <c r="C318" s="46">
        <v>0</v>
      </c>
      <c r="D318" s="49">
        <v>825220137</v>
      </c>
      <c r="E318" s="47" t="s">
        <v>143</v>
      </c>
      <c r="F318" s="45" t="s">
        <v>162</v>
      </c>
      <c r="G318" s="59">
        <v>2</v>
      </c>
      <c r="H318" s="24">
        <v>6</v>
      </c>
      <c r="I318" s="24">
        <v>1</v>
      </c>
      <c r="J318" s="24" t="s">
        <v>1210</v>
      </c>
      <c r="K318" s="24" t="s">
        <v>500</v>
      </c>
      <c r="L318" s="24" t="s">
        <v>142</v>
      </c>
      <c r="M318" s="24" t="s">
        <v>174</v>
      </c>
      <c r="N318" s="48">
        <v>999</v>
      </c>
      <c r="V318" s="24"/>
      <c r="W318" s="31"/>
    </row>
    <row r="319" spans="1:23" ht="15" x14ac:dyDescent="0.2">
      <c r="A319" s="50">
        <v>2</v>
      </c>
      <c r="B319" s="46">
        <v>8</v>
      </c>
      <c r="C319" s="46">
        <v>0</v>
      </c>
      <c r="D319" s="47">
        <v>825220005</v>
      </c>
      <c r="E319" s="47" t="s">
        <v>143</v>
      </c>
      <c r="F319" s="45" t="s">
        <v>173</v>
      </c>
      <c r="G319" s="59">
        <v>2</v>
      </c>
      <c r="H319" s="24">
        <v>6</v>
      </c>
      <c r="I319" s="24">
        <v>1</v>
      </c>
      <c r="J319" s="24" t="s">
        <v>1211</v>
      </c>
      <c r="K319" s="24" t="s">
        <v>501</v>
      </c>
      <c r="L319" s="24" t="s">
        <v>142</v>
      </c>
      <c r="M319" s="24" t="s">
        <v>174</v>
      </c>
      <c r="N319" s="48">
        <v>999</v>
      </c>
      <c r="V319" s="24"/>
      <c r="W319" s="31"/>
    </row>
    <row r="320" spans="1:23" ht="15" x14ac:dyDescent="0.2">
      <c r="A320" s="50">
        <v>2</v>
      </c>
      <c r="B320" s="46">
        <v>8</v>
      </c>
      <c r="C320" s="46">
        <v>0</v>
      </c>
      <c r="D320" s="47">
        <v>825220007</v>
      </c>
      <c r="E320" s="47" t="s">
        <v>143</v>
      </c>
      <c r="F320" s="45" t="s">
        <v>173</v>
      </c>
      <c r="G320" s="59">
        <v>2</v>
      </c>
      <c r="H320" s="24">
        <v>6</v>
      </c>
      <c r="I320" s="24">
        <v>1</v>
      </c>
      <c r="J320" s="24" t="s">
        <v>1212</v>
      </c>
      <c r="K320" s="24" t="s">
        <v>502</v>
      </c>
      <c r="L320" s="24" t="s">
        <v>142</v>
      </c>
      <c r="M320" s="24" t="s">
        <v>174</v>
      </c>
      <c r="N320" s="48">
        <v>999</v>
      </c>
      <c r="V320" s="24"/>
      <c r="W320" s="31"/>
    </row>
    <row r="321" spans="1:23" ht="15" x14ac:dyDescent="0.2">
      <c r="A321" s="50">
        <v>2</v>
      </c>
      <c r="B321" s="46">
        <v>8</v>
      </c>
      <c r="C321" s="46">
        <v>0</v>
      </c>
      <c r="D321" s="47">
        <v>825220015</v>
      </c>
      <c r="E321" s="47" t="s">
        <v>143</v>
      </c>
      <c r="F321" s="45" t="s">
        <v>173</v>
      </c>
      <c r="G321" s="59">
        <v>2</v>
      </c>
      <c r="H321" s="24">
        <v>6</v>
      </c>
      <c r="I321" s="24">
        <v>1</v>
      </c>
      <c r="J321" s="24" t="s">
        <v>1213</v>
      </c>
      <c r="K321" s="24" t="s">
        <v>503</v>
      </c>
      <c r="L321" s="24" t="s">
        <v>142</v>
      </c>
      <c r="M321" s="24" t="s">
        <v>174</v>
      </c>
      <c r="N321" s="48">
        <v>999</v>
      </c>
      <c r="V321" s="24"/>
      <c r="W321" s="31"/>
    </row>
    <row r="322" spans="1:23" ht="15" x14ac:dyDescent="0.2">
      <c r="A322" s="50">
        <v>2</v>
      </c>
      <c r="B322" s="46">
        <v>8</v>
      </c>
      <c r="C322" s="46">
        <v>0</v>
      </c>
      <c r="D322" s="47">
        <v>825220017</v>
      </c>
      <c r="E322" s="47" t="s">
        <v>143</v>
      </c>
      <c r="F322" s="45" t="s">
        <v>173</v>
      </c>
      <c r="G322" s="59">
        <v>2</v>
      </c>
      <c r="H322" s="24">
        <v>6</v>
      </c>
      <c r="I322" s="24">
        <v>1</v>
      </c>
      <c r="J322" s="24" t="s">
        <v>1214</v>
      </c>
      <c r="K322" s="24" t="s">
        <v>504</v>
      </c>
      <c r="L322" s="24" t="s">
        <v>142</v>
      </c>
      <c r="M322" s="24" t="s">
        <v>174</v>
      </c>
      <c r="N322" s="48">
        <v>999</v>
      </c>
      <c r="V322" s="24"/>
      <c r="W322" s="31"/>
    </row>
    <row r="323" spans="1:23" ht="15" x14ac:dyDescent="0.2">
      <c r="A323" s="46">
        <v>3</v>
      </c>
      <c r="B323" s="46">
        <v>8</v>
      </c>
      <c r="C323" s="46">
        <v>0</v>
      </c>
      <c r="D323" s="47">
        <v>825220087</v>
      </c>
      <c r="E323" s="47" t="s">
        <v>143</v>
      </c>
      <c r="F323" s="45" t="s">
        <v>162</v>
      </c>
      <c r="G323" s="59">
        <v>0</v>
      </c>
      <c r="H323" s="24">
        <v>6</v>
      </c>
      <c r="I323" s="24">
        <v>2</v>
      </c>
      <c r="J323" s="24" t="s">
        <v>1185</v>
      </c>
      <c r="K323" s="24" t="s">
        <v>475</v>
      </c>
      <c r="L323" s="24" t="s">
        <v>143</v>
      </c>
      <c r="M323" s="24" t="s">
        <v>175</v>
      </c>
      <c r="N323" s="48">
        <v>999</v>
      </c>
      <c r="V323" s="24"/>
      <c r="W323" s="31"/>
    </row>
    <row r="324" spans="1:23" ht="15" x14ac:dyDescent="0.2">
      <c r="A324" s="46">
        <v>3</v>
      </c>
      <c r="B324" s="46">
        <v>8</v>
      </c>
      <c r="C324" s="46">
        <v>0</v>
      </c>
      <c r="D324" s="47">
        <v>825220088</v>
      </c>
      <c r="E324" s="47" t="s">
        <v>143</v>
      </c>
      <c r="F324" s="45" t="s">
        <v>162</v>
      </c>
      <c r="G324" s="59">
        <v>0</v>
      </c>
      <c r="H324" s="24">
        <v>6</v>
      </c>
      <c r="I324" s="24">
        <v>2</v>
      </c>
      <c r="J324" s="24" t="s">
        <v>1186</v>
      </c>
      <c r="K324" s="24" t="s">
        <v>476</v>
      </c>
      <c r="L324" s="24" t="s">
        <v>143</v>
      </c>
      <c r="M324" s="24" t="s">
        <v>175</v>
      </c>
      <c r="N324" s="48">
        <v>999</v>
      </c>
      <c r="V324" s="24"/>
      <c r="W324" s="31"/>
    </row>
    <row r="325" spans="1:23" ht="15" x14ac:dyDescent="0.2">
      <c r="A325" s="46">
        <v>3</v>
      </c>
      <c r="B325" s="46">
        <v>8</v>
      </c>
      <c r="C325" s="46">
        <v>0</v>
      </c>
      <c r="D325" s="47">
        <v>825220093</v>
      </c>
      <c r="E325" s="47" t="s">
        <v>143</v>
      </c>
      <c r="F325" s="45" t="s">
        <v>162</v>
      </c>
      <c r="G325" s="59">
        <v>0</v>
      </c>
      <c r="H325" s="24">
        <v>6</v>
      </c>
      <c r="I325" s="24">
        <v>2</v>
      </c>
      <c r="J325" s="24" t="s">
        <v>1187</v>
      </c>
      <c r="K325" s="24" t="s">
        <v>477</v>
      </c>
      <c r="L325" s="24" t="s">
        <v>143</v>
      </c>
      <c r="M325" s="24" t="s">
        <v>175</v>
      </c>
      <c r="N325" s="48">
        <v>999</v>
      </c>
      <c r="V325" s="24"/>
      <c r="W325" s="31"/>
    </row>
    <row r="326" spans="1:23" ht="15" x14ac:dyDescent="0.2">
      <c r="A326" s="46">
        <v>3</v>
      </c>
      <c r="B326" s="46">
        <v>8</v>
      </c>
      <c r="C326" s="46">
        <v>0</v>
      </c>
      <c r="D326" s="47">
        <v>825220075</v>
      </c>
      <c r="E326" s="47" t="s">
        <v>142</v>
      </c>
      <c r="F326" s="45" t="s">
        <v>162</v>
      </c>
      <c r="G326" s="59">
        <v>0</v>
      </c>
      <c r="H326" s="24">
        <v>6</v>
      </c>
      <c r="I326" s="24">
        <v>2</v>
      </c>
      <c r="J326" s="24" t="s">
        <v>1188</v>
      </c>
      <c r="K326" s="24" t="s">
        <v>478</v>
      </c>
      <c r="L326" s="24" t="s">
        <v>143</v>
      </c>
      <c r="M326" s="24" t="s">
        <v>175</v>
      </c>
      <c r="N326" s="48">
        <v>999</v>
      </c>
      <c r="V326" s="24"/>
      <c r="W326" s="31"/>
    </row>
    <row r="327" spans="1:23" ht="15" x14ac:dyDescent="0.2">
      <c r="A327" s="46">
        <v>3</v>
      </c>
      <c r="B327" s="46">
        <v>8</v>
      </c>
      <c r="C327" s="46">
        <v>0</v>
      </c>
      <c r="D327" s="47">
        <v>825220084</v>
      </c>
      <c r="E327" s="47" t="s">
        <v>142</v>
      </c>
      <c r="F327" s="45" t="s">
        <v>162</v>
      </c>
      <c r="G327" s="59">
        <v>0</v>
      </c>
      <c r="H327" s="24">
        <v>6</v>
      </c>
      <c r="I327" s="24">
        <v>2</v>
      </c>
      <c r="J327" s="24" t="s">
        <v>1189</v>
      </c>
      <c r="K327" s="24" t="s">
        <v>479</v>
      </c>
      <c r="L327" s="24" t="s">
        <v>143</v>
      </c>
      <c r="M327" s="24" t="s">
        <v>175</v>
      </c>
      <c r="N327" s="48">
        <v>999</v>
      </c>
      <c r="V327" s="24"/>
      <c r="W327" s="31"/>
    </row>
    <row r="328" spans="1:23" ht="15" x14ac:dyDescent="0.2">
      <c r="A328" s="46">
        <v>4</v>
      </c>
      <c r="B328" s="46">
        <v>8</v>
      </c>
      <c r="C328" s="46">
        <v>0</v>
      </c>
      <c r="D328" s="47">
        <v>535220092</v>
      </c>
      <c r="E328" s="47" t="s">
        <v>143</v>
      </c>
      <c r="F328" s="45" t="s">
        <v>175</v>
      </c>
      <c r="G328" s="59">
        <v>1</v>
      </c>
      <c r="H328" s="24">
        <v>6</v>
      </c>
      <c r="I328" s="24">
        <v>2</v>
      </c>
      <c r="J328" s="24" t="s">
        <v>1200</v>
      </c>
      <c r="K328" s="24" t="s">
        <v>490</v>
      </c>
      <c r="L328" s="24" t="s">
        <v>143</v>
      </c>
      <c r="M328" s="24" t="s">
        <v>175</v>
      </c>
      <c r="N328" s="48">
        <v>999</v>
      </c>
      <c r="V328" s="24"/>
      <c r="W328" s="31"/>
    </row>
    <row r="329" spans="1:23" ht="15" x14ac:dyDescent="0.2">
      <c r="A329" s="46">
        <v>4</v>
      </c>
      <c r="B329" s="46">
        <v>8</v>
      </c>
      <c r="C329" s="46">
        <v>0</v>
      </c>
      <c r="D329" s="47">
        <v>535220136</v>
      </c>
      <c r="E329" s="47" t="s">
        <v>143</v>
      </c>
      <c r="F329" s="45" t="s">
        <v>175</v>
      </c>
      <c r="G329" s="59">
        <v>1</v>
      </c>
      <c r="H329" s="24">
        <v>6</v>
      </c>
      <c r="I329" s="24">
        <v>2</v>
      </c>
      <c r="J329" s="24" t="s">
        <v>1201</v>
      </c>
      <c r="K329" s="24" t="s">
        <v>491</v>
      </c>
      <c r="L329" s="24" t="s">
        <v>143</v>
      </c>
      <c r="M329" s="24" t="s">
        <v>175</v>
      </c>
      <c r="N329" s="48">
        <v>999</v>
      </c>
      <c r="V329" s="24"/>
      <c r="W329" s="31"/>
    </row>
    <row r="330" spans="1:23" ht="15" x14ac:dyDescent="0.2">
      <c r="A330" s="46">
        <v>4</v>
      </c>
      <c r="B330" s="46">
        <v>8</v>
      </c>
      <c r="C330" s="46">
        <v>0</v>
      </c>
      <c r="D330" s="47">
        <v>535220139</v>
      </c>
      <c r="E330" s="47" t="s">
        <v>143</v>
      </c>
      <c r="F330" s="45" t="s">
        <v>175</v>
      </c>
      <c r="G330" s="59">
        <v>1</v>
      </c>
      <c r="H330" s="24">
        <v>6</v>
      </c>
      <c r="I330" s="24">
        <v>2</v>
      </c>
      <c r="J330" s="24" t="s">
        <v>1202</v>
      </c>
      <c r="K330" s="24" t="s">
        <v>492</v>
      </c>
      <c r="L330" s="24" t="s">
        <v>143</v>
      </c>
      <c r="M330" s="24" t="s">
        <v>175</v>
      </c>
      <c r="N330" s="48">
        <v>999</v>
      </c>
      <c r="V330" s="24"/>
      <c r="W330" s="31"/>
    </row>
    <row r="331" spans="1:23" ht="15" x14ac:dyDescent="0.2">
      <c r="A331" s="46">
        <v>4</v>
      </c>
      <c r="B331" s="46">
        <v>8</v>
      </c>
      <c r="C331" s="46">
        <v>0</v>
      </c>
      <c r="D331" s="47">
        <v>535220142</v>
      </c>
      <c r="E331" s="47" t="s">
        <v>143</v>
      </c>
      <c r="F331" s="45" t="s">
        <v>175</v>
      </c>
      <c r="G331" s="59">
        <v>1</v>
      </c>
      <c r="H331" s="24">
        <v>6</v>
      </c>
      <c r="I331" s="24">
        <v>2</v>
      </c>
      <c r="J331" s="24" t="s">
        <v>1203</v>
      </c>
      <c r="K331" s="24" t="s">
        <v>493</v>
      </c>
      <c r="L331" s="24" t="s">
        <v>143</v>
      </c>
      <c r="M331" s="24" t="s">
        <v>175</v>
      </c>
      <c r="N331" s="48">
        <v>999</v>
      </c>
      <c r="V331" s="24"/>
      <c r="W331" s="31"/>
    </row>
    <row r="332" spans="1:23" ht="15" x14ac:dyDescent="0.2">
      <c r="A332" s="46">
        <v>4</v>
      </c>
      <c r="B332" s="46">
        <v>8</v>
      </c>
      <c r="C332" s="46">
        <v>0</v>
      </c>
      <c r="D332" s="47">
        <v>535220143</v>
      </c>
      <c r="E332" s="47" t="s">
        <v>143</v>
      </c>
      <c r="F332" s="45" t="s">
        <v>175</v>
      </c>
      <c r="G332" s="59">
        <v>1</v>
      </c>
      <c r="H332" s="24">
        <v>6</v>
      </c>
      <c r="I332" s="24">
        <v>2</v>
      </c>
      <c r="J332" s="24" t="s">
        <v>1204</v>
      </c>
      <c r="K332" s="24" t="s">
        <v>494</v>
      </c>
      <c r="L332" s="24" t="s">
        <v>143</v>
      </c>
      <c r="M332" s="24" t="s">
        <v>175</v>
      </c>
      <c r="N332" s="48">
        <v>999</v>
      </c>
      <c r="V332" s="24"/>
      <c r="W332" s="31"/>
    </row>
    <row r="333" spans="1:23" ht="15" x14ac:dyDescent="0.2">
      <c r="A333" s="46">
        <v>5</v>
      </c>
      <c r="B333" s="46">
        <v>8</v>
      </c>
      <c r="C333" s="46">
        <v>0</v>
      </c>
      <c r="D333" s="47">
        <v>825220054</v>
      </c>
      <c r="E333" s="47" t="s">
        <v>142</v>
      </c>
      <c r="F333" s="45" t="s">
        <v>168</v>
      </c>
      <c r="G333" s="59">
        <v>2</v>
      </c>
      <c r="H333" s="24">
        <v>6</v>
      </c>
      <c r="I333" s="24">
        <v>2</v>
      </c>
      <c r="J333" s="24" t="s">
        <v>1215</v>
      </c>
      <c r="K333" s="24" t="s">
        <v>505</v>
      </c>
      <c r="L333" s="24" t="s">
        <v>143</v>
      </c>
      <c r="M333" s="24" t="s">
        <v>175</v>
      </c>
      <c r="N333" s="48">
        <v>999</v>
      </c>
      <c r="V333" s="24"/>
      <c r="W333" s="31"/>
    </row>
    <row r="334" spans="1:23" ht="15" x14ac:dyDescent="0.2">
      <c r="A334" s="46">
        <v>5</v>
      </c>
      <c r="B334" s="46">
        <v>8</v>
      </c>
      <c r="C334" s="46">
        <v>0</v>
      </c>
      <c r="D334" s="47">
        <v>825220129</v>
      </c>
      <c r="E334" s="47" t="s">
        <v>142</v>
      </c>
      <c r="F334" s="45" t="s">
        <v>168</v>
      </c>
      <c r="G334" s="59">
        <v>2</v>
      </c>
      <c r="H334" s="24">
        <v>6</v>
      </c>
      <c r="I334" s="24">
        <v>2</v>
      </c>
      <c r="J334" s="24" t="s">
        <v>1216</v>
      </c>
      <c r="K334" s="24" t="s">
        <v>506</v>
      </c>
      <c r="L334" s="24" t="s">
        <v>143</v>
      </c>
      <c r="M334" s="24" t="s">
        <v>175</v>
      </c>
      <c r="N334" s="48">
        <v>999</v>
      </c>
      <c r="V334" s="24"/>
      <c r="W334" s="31"/>
    </row>
    <row r="335" spans="1:23" ht="15" x14ac:dyDescent="0.2">
      <c r="A335" s="46">
        <v>5</v>
      </c>
      <c r="B335" s="46">
        <v>8</v>
      </c>
      <c r="C335" s="46">
        <v>0</v>
      </c>
      <c r="D335" s="47">
        <v>825220147</v>
      </c>
      <c r="E335" s="47" t="s">
        <v>142</v>
      </c>
      <c r="F335" s="45" t="s">
        <v>168</v>
      </c>
      <c r="G335" s="59">
        <v>2</v>
      </c>
      <c r="H335" s="24">
        <v>6</v>
      </c>
      <c r="I335" s="24">
        <v>2</v>
      </c>
      <c r="J335" s="24" t="s">
        <v>1217</v>
      </c>
      <c r="K335" s="24" t="s">
        <v>507</v>
      </c>
      <c r="L335" s="24" t="s">
        <v>143</v>
      </c>
      <c r="M335" s="24" t="s">
        <v>175</v>
      </c>
      <c r="N335" s="48">
        <v>999</v>
      </c>
      <c r="V335" s="24"/>
      <c r="W335" s="31"/>
    </row>
    <row r="336" spans="1:23" ht="15" x14ac:dyDescent="0.2">
      <c r="A336" s="46">
        <v>5</v>
      </c>
      <c r="B336" s="46">
        <v>8</v>
      </c>
      <c r="C336" s="46">
        <v>0</v>
      </c>
      <c r="D336" s="47">
        <v>825220153</v>
      </c>
      <c r="E336" s="47" t="s">
        <v>142</v>
      </c>
      <c r="F336" s="45" t="s">
        <v>168</v>
      </c>
      <c r="G336" s="59">
        <v>2</v>
      </c>
      <c r="H336" s="24">
        <v>6</v>
      </c>
      <c r="I336" s="24">
        <v>2</v>
      </c>
      <c r="J336" s="24" t="s">
        <v>1218</v>
      </c>
      <c r="K336" s="24" t="s">
        <v>508</v>
      </c>
      <c r="L336" s="24" t="s">
        <v>143</v>
      </c>
      <c r="M336" s="24" t="s">
        <v>175</v>
      </c>
      <c r="N336" s="48">
        <v>999</v>
      </c>
      <c r="V336" s="24"/>
      <c r="W336" s="31"/>
    </row>
    <row r="337" spans="1:23" ht="15" x14ac:dyDescent="0.2">
      <c r="A337" s="46">
        <v>5</v>
      </c>
      <c r="B337" s="46">
        <v>8</v>
      </c>
      <c r="C337" s="46">
        <v>0</v>
      </c>
      <c r="D337" s="47">
        <v>825220168</v>
      </c>
      <c r="E337" s="47" t="s">
        <v>142</v>
      </c>
      <c r="F337" s="55" t="s">
        <v>168</v>
      </c>
      <c r="G337" s="61">
        <v>2</v>
      </c>
      <c r="H337" s="42">
        <v>6</v>
      </c>
      <c r="I337" s="42">
        <v>2</v>
      </c>
      <c r="J337" s="42" t="s">
        <v>1219</v>
      </c>
      <c r="K337" s="42" t="s">
        <v>509</v>
      </c>
      <c r="L337" s="42" t="s">
        <v>143</v>
      </c>
      <c r="M337" s="42" t="s">
        <v>175</v>
      </c>
      <c r="N337" s="48">
        <v>999</v>
      </c>
      <c r="V337" s="42"/>
      <c r="W337" s="43"/>
    </row>
    <row r="338" spans="1:23" x14ac:dyDescent="0.2">
      <c r="F338" s="45" t="s">
        <v>1228</v>
      </c>
      <c r="N338" s="45">
        <f>SUMIF(N1:N337,1)</f>
        <v>48</v>
      </c>
    </row>
  </sheetData>
  <mergeCells count="3">
    <mergeCell ref="A1:F1"/>
    <mergeCell ref="G1:M1"/>
    <mergeCell ref="N1:N2"/>
  </mergeCells>
  <conditionalFormatting sqref="A2:A337 A473:A104857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337 B473:B104857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337 C473:C104857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" priority="11" operator="equal">
      <formula>2</formula>
    </cfRule>
    <cfRule type="cellIs" dxfId="4" priority="12" operator="equal">
      <formula>1</formula>
    </cfRule>
    <cfRule type="cellIs" dxfId="3" priority="13" operator="equal">
      <formula>0</formula>
    </cfRule>
  </conditionalFormatting>
  <conditionalFormatting sqref="G1:G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" priority="5" operator="equal">
      <formula>2</formula>
    </cfRule>
    <cfRule type="cellIs" dxfId="1" priority="6" operator="equal">
      <formula>1</formula>
    </cfRule>
    <cfRule type="cellIs" dxfId="0" priority="7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Manual</vt:lpstr>
      <vt:lpstr>greedy</vt:lpstr>
      <vt:lpstr>backup</vt:lpstr>
      <vt:lpstr>backup2</vt:lpstr>
      <vt:lpstr>Manual backup</vt:lpstr>
      <vt:lpstr>Manual_warna backup</vt:lpstr>
      <vt:lpstr>Manual warna backup (2)</vt:lpstr>
      <vt:lpstr>Manual Backup Final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Jadwal_Sidang_MBKM_GN2425 versi_18062025.xlsx</dc:title>
  <cp:lastModifiedBy>RANDY CENSON</cp:lastModifiedBy>
  <dcterms:created xsi:type="dcterms:W3CDTF">2025-12-17T18:41:37Z</dcterms:created>
  <dcterms:modified xsi:type="dcterms:W3CDTF">2025-12-19T19:42:12Z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2025-06-26T00:00:00Z</vt:filetime>
  </property>
  <property fmtid="{D5CDD505-2E9C-101B-9397-08002B2CF9AE}" pid="3" name="LastSaved">
    <vt:filetime>2025-12-17T00:00:00Z</vt:filetime>
  </property>
  <property fmtid="{D5CDD505-2E9C-101B-9397-08002B2CF9AE}" pid="4" name="Producer">
    <vt:lpwstr>Microsoft: Print To PDF</vt:lpwstr>
  </property>
</Properties>
</file>