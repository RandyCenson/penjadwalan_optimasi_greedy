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PUTER WISA\Desktop\skripsi\code\test-data\"/>
    </mc:Choice>
  </mc:AlternateContent>
  <xr:revisionPtr revIDLastSave="0" documentId="13_ncr:1_{D0A62D26-2A49-44CD-ACFA-D498D2B498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2" r:id="rId1"/>
    <sheet name="JADWAL KP DS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4" i="1" l="1"/>
  <c r="R26" i="1"/>
  <c r="S26" i="1"/>
  <c r="R25" i="1"/>
  <c r="S25" i="1"/>
  <c r="R24" i="1"/>
  <c r="S24" i="1"/>
  <c r="R23" i="1"/>
  <c r="S23" i="1"/>
  <c r="R22" i="1"/>
  <c r="S22" i="1"/>
  <c r="R21" i="1"/>
  <c r="S21" i="1"/>
  <c r="R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S27" i="1" l="1"/>
  <c r="R27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M115" i="1" l="1" a="1"/>
  <c r="M115" i="1" s="1"/>
  <c r="M112" i="1" l="1" a="1"/>
  <c r="M112" i="1" s="1"/>
  <c r="M113" i="1" a="1"/>
  <c r="M113" i="1" s="1"/>
  <c r="M114" i="1" a="1"/>
  <c r="M114" i="1" s="1"/>
  <c r="M111" i="1" a="1"/>
  <c r="M11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01" i="1" a="1"/>
  <c r="M101" i="1" s="1"/>
  <c r="M91" i="1" a="1"/>
  <c r="M91" i="1" s="1"/>
  <c r="M92" i="1" a="1"/>
  <c r="M92" i="1" s="1"/>
  <c r="M90" i="1" a="1"/>
  <c r="M90" i="1" s="1"/>
  <c r="M87" i="1" a="1"/>
  <c r="M87" i="1" s="1"/>
  <c r="M88" i="1" a="1"/>
  <c r="M88" i="1" s="1"/>
  <c r="M89" i="1" a="1"/>
  <c r="M89" i="1" s="1"/>
  <c r="M86" i="1" a="1"/>
  <c r="M86" i="1" s="1"/>
  <c r="M83" i="1" a="1"/>
  <c r="M83" i="1" s="1"/>
  <c r="M84" i="1" a="1"/>
  <c r="M84" i="1" s="1"/>
  <c r="M85" i="1" a="1"/>
  <c r="M85" i="1" s="1"/>
  <c r="M82" i="1" a="1"/>
  <c r="M82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70" i="1" a="1"/>
  <c r="M70" i="1" s="1"/>
  <c r="M67" i="1" a="1"/>
  <c r="M67" i="1" s="1"/>
  <c r="M68" i="1" a="1"/>
  <c r="M68" i="1" s="1"/>
  <c r="M69" i="1" a="1"/>
  <c r="M69" i="1" s="1"/>
  <c r="M66" i="1" a="1"/>
  <c r="M66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30" i="1" a="1"/>
  <c r="M30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3" i="1" a="1"/>
  <c r="M3" i="1" s="1"/>
  <c r="M19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<sst xmlns="http://schemas.openxmlformats.org/spreadsheetml/2006/main" count="736" uniqueCount="48">
  <si>
    <t>NPM</t>
  </si>
  <si>
    <t>PEMBIMBING/PENGUJI</t>
  </si>
  <si>
    <t>Dr. Dedi Trisnawarman, S.Si., M.Kom.</t>
  </si>
  <si>
    <t>Tri Sutrisno, S.Si., M.Sc.</t>
  </si>
  <si>
    <t>Ir. Jeanny Pragantha, M.Eng.</t>
  </si>
  <si>
    <t>Dra. Chairisni Lubis, M.Kom.</t>
  </si>
  <si>
    <t>Dr. Wasino, S.Kom., M.Kom.</t>
  </si>
  <si>
    <t>Herman Tusiadi, S.Kom., MM</t>
  </si>
  <si>
    <t>slot</t>
  </si>
  <si>
    <t>hari</t>
  </si>
  <si>
    <t>Ruang</t>
  </si>
  <si>
    <t>MBKM</t>
  </si>
  <si>
    <t>NIM</t>
  </si>
  <si>
    <t>PEMBIMBING</t>
  </si>
  <si>
    <t>Stupen</t>
  </si>
  <si>
    <t>Prof. Lina, ST, M.Kom., Ph.D.</t>
  </si>
  <si>
    <t>Novario Jaya Perdana, S.Kom., MT</t>
  </si>
  <si>
    <t>Dr. Ing. Agus Budi Dharmawan, S.Kom., MT, M.Sc.</t>
  </si>
  <si>
    <t>Magang</t>
  </si>
  <si>
    <t>Dra. Ery Dewayani, MMSI</t>
  </si>
  <si>
    <t>Darius Andana Haris, S.Kom., MTI</t>
  </si>
  <si>
    <t>Irvan Lewenusa, S.Kom., M.Kom.</t>
  </si>
  <si>
    <t>Mengajar</t>
  </si>
  <si>
    <t>Asdos</t>
  </si>
  <si>
    <t>Viny Christanti Mawardi, S.Kom., M.Kom.</t>
  </si>
  <si>
    <t>Manatap Dolok Lauro, S.Kom., MMSI</t>
  </si>
  <si>
    <t>Bagus Mulyawan, S.Kom., MM</t>
  </si>
  <si>
    <t>Prof. Dr. Ir. Dyah Erny Herwindiati, M.Si.</t>
  </si>
  <si>
    <t>Lely Hiryanto, ST, M.Sc., Ph.D</t>
  </si>
  <si>
    <t>Janson Hendryli, S.Kom., M.Kom.</t>
  </si>
  <si>
    <t>Tony, S.Kom., M.Kom., Ph.D.</t>
  </si>
  <si>
    <t>Wirausaha</t>
  </si>
  <si>
    <t>Penelitian</t>
  </si>
  <si>
    <t>Ir. Jap Tji Beng, MMSI, M.Psi., Ph.D., PE, M.ASCE</t>
  </si>
  <si>
    <t>Teny Handhayani, S.Kom., M.Kom., Ph.D.</t>
  </si>
  <si>
    <t>hari ke-</t>
  </si>
  <si>
    <t>slot ke-</t>
  </si>
  <si>
    <t>ruangan ke-</t>
  </si>
  <si>
    <t>is_matched</t>
  </si>
  <si>
    <t>.</t>
  </si>
  <si>
    <t>Sum slot dosen sama</t>
  </si>
  <si>
    <t>h</t>
  </si>
  <si>
    <t>r</t>
  </si>
  <si>
    <t>Manual</t>
  </si>
  <si>
    <t>Greedy</t>
  </si>
  <si>
    <t xml:space="preserve">sum slot dosen tidak sama </t>
  </si>
  <si>
    <t>Manual (2023/2024)</t>
  </si>
  <si>
    <t>Greedy (2023/2024)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</si>
</sst>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9">
    <xf numFmtId="0" fontId="0" fillId="0" borderId="0" xfId="0"/>
    <xf numFmtId="0" fontId="4" fillId="0" borderId="1" xfId="2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5" fillId="0" borderId="1" xfId="0" applyFont="1" applyBorder="1"/>
    <xf numFmtId="0" fontId="3" fillId="0" borderId="1" xfId="0" applyFont="1" applyBorder="1"/>
    <xf numFmtId="0" fontId="7" fillId="2" borderId="1" xfId="0" applyFont="1" applyFill="1" applyBorder="1"/>
    <xf numFmtId="0" fontId="8" fillId="2" borderId="1" xfId="2" applyFont="1" applyFill="1" applyBorder="1"/>
    <xf numFmtId="0" fontId="3" fillId="0" borderId="0" xfId="0" applyFont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</cellXfs>
  <cellStyles count="3">
    <cellStyle name="Normal" xfId="0" builtinId="0"/>
    <cellStyle name="Normal 2" xfId="1" xr:uid="{D033B2E0-64A5-447C-8461-815C8CC312A8}"/>
    <cellStyle name="Normal 3" xfId="2" xr:uid="{CEAE6625-DF73-4EC8-9831-F40E448414D5}"/>
  </cellStyles>
  <dxfs count="1">
    <dxf>
      <fill>
        <patternFill>
          <bgColor theme="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D8F11-6EF1-4664-B152-75DE9A77F4AA}">
  <dimension ref="A1:H22"/>
  <sheetViews>
    <sheetView workbookViewId="0">
      <selection activeCell="I14" sqref="I14"/>
    </sheetView>
  </sheetViews>
  <sheetFormatPr defaultRowHeight="15" x14ac:dyDescent="0.25"/>
  <sheetData>
    <row r="1" spans="1:8" x14ac:dyDescent="0.25">
      <c r="A1" t="s">
        <v>41</v>
      </c>
      <c r="B1" t="s">
        <v>42</v>
      </c>
      <c r="C1" t="s">
        <v>43</v>
      </c>
      <c r="D1" t="s">
        <v>44</v>
      </c>
    </row>
    <row r="2" spans="1:8" x14ac:dyDescent="0.25">
      <c r="A2">
        <v>1</v>
      </c>
      <c r="B2">
        <v>1</v>
      </c>
      <c r="C2">
        <v>15</v>
      </c>
      <c r="D2">
        <v>27</v>
      </c>
    </row>
    <row r="3" spans="1:8" x14ac:dyDescent="0.25">
      <c r="A3">
        <v>1</v>
      </c>
      <c r="B3">
        <v>2</v>
      </c>
      <c r="C3">
        <v>16</v>
      </c>
      <c r="D3">
        <v>24</v>
      </c>
      <c r="H3">
        <v>1</v>
      </c>
    </row>
    <row r="4" spans="1:8" x14ac:dyDescent="0.25">
      <c r="A4">
        <v>1</v>
      </c>
      <c r="B4">
        <v>3</v>
      </c>
      <c r="C4">
        <v>16</v>
      </c>
      <c r="D4">
        <v>16</v>
      </c>
    </row>
    <row r="5" spans="1:8" x14ac:dyDescent="0.25">
      <c r="A5">
        <v>2</v>
      </c>
      <c r="B5">
        <v>1</v>
      </c>
      <c r="C5">
        <v>17</v>
      </c>
      <c r="D5">
        <v>12</v>
      </c>
    </row>
    <row r="6" spans="1:8" x14ac:dyDescent="0.25">
      <c r="A6">
        <v>2</v>
      </c>
      <c r="B6">
        <v>2</v>
      </c>
      <c r="C6">
        <v>16</v>
      </c>
      <c r="D6">
        <v>11</v>
      </c>
    </row>
    <row r="7" spans="1:8" x14ac:dyDescent="0.25">
      <c r="A7">
        <v>2</v>
      </c>
      <c r="B7">
        <v>3</v>
      </c>
      <c r="C7">
        <v>0</v>
      </c>
      <c r="D7">
        <v>8</v>
      </c>
    </row>
    <row r="8" spans="1:8" x14ac:dyDescent="0.25">
      <c r="A8">
        <v>3</v>
      </c>
      <c r="B8">
        <v>1</v>
      </c>
      <c r="C8">
        <v>28</v>
      </c>
      <c r="D8">
        <v>14</v>
      </c>
    </row>
    <row r="9" spans="1:8" x14ac:dyDescent="0.25">
      <c r="A9">
        <v>3</v>
      </c>
      <c r="B9">
        <v>2</v>
      </c>
      <c r="C9">
        <v>7</v>
      </c>
      <c r="D9">
        <v>9</v>
      </c>
    </row>
    <row r="10" spans="1:8" x14ac:dyDescent="0.25">
      <c r="A10">
        <v>3</v>
      </c>
      <c r="B10">
        <v>3</v>
      </c>
      <c r="C10">
        <v>0</v>
      </c>
      <c r="D10">
        <v>7</v>
      </c>
    </row>
    <row r="11" spans="1:8" x14ac:dyDescent="0.25">
      <c r="A11">
        <v>4</v>
      </c>
      <c r="B11">
        <v>1</v>
      </c>
      <c r="C11">
        <v>0</v>
      </c>
      <c r="D11">
        <v>23</v>
      </c>
    </row>
    <row r="12" spans="1:8" x14ac:dyDescent="0.25">
      <c r="A12">
        <v>4</v>
      </c>
      <c r="B12">
        <v>2</v>
      </c>
      <c r="C12">
        <v>0</v>
      </c>
      <c r="D12">
        <v>16</v>
      </c>
    </row>
    <row r="13" spans="1:8" x14ac:dyDescent="0.25">
      <c r="A13">
        <v>4</v>
      </c>
      <c r="B13">
        <v>3</v>
      </c>
      <c r="C13">
        <v>0</v>
      </c>
      <c r="D13">
        <v>8</v>
      </c>
    </row>
    <row r="14" spans="1:8" x14ac:dyDescent="0.25">
      <c r="A14">
        <v>5</v>
      </c>
      <c r="B14">
        <v>1</v>
      </c>
      <c r="C14">
        <v>14</v>
      </c>
      <c r="D14">
        <v>12</v>
      </c>
    </row>
    <row r="15" spans="1:8" x14ac:dyDescent="0.25">
      <c r="A15">
        <v>5</v>
      </c>
      <c r="B15">
        <v>2</v>
      </c>
      <c r="C15">
        <v>16</v>
      </c>
      <c r="D15">
        <v>8</v>
      </c>
    </row>
    <row r="16" spans="1:8" x14ac:dyDescent="0.25">
      <c r="A16">
        <v>5</v>
      </c>
      <c r="B16">
        <v>3</v>
      </c>
      <c r="C16">
        <v>0</v>
      </c>
      <c r="D16">
        <v>1</v>
      </c>
    </row>
    <row r="17" spans="1:4" x14ac:dyDescent="0.25">
      <c r="A17">
        <v>6</v>
      </c>
      <c r="B17">
        <v>1</v>
      </c>
      <c r="C17">
        <v>0</v>
      </c>
      <c r="D17">
        <v>0</v>
      </c>
    </row>
    <row r="18" spans="1:4" x14ac:dyDescent="0.25">
      <c r="A18">
        <v>6</v>
      </c>
      <c r="B18">
        <v>2</v>
      </c>
      <c r="C18">
        <v>0</v>
      </c>
      <c r="D18">
        <v>0</v>
      </c>
    </row>
    <row r="19" spans="1:4" x14ac:dyDescent="0.25">
      <c r="A19">
        <v>6</v>
      </c>
      <c r="B19">
        <v>3</v>
      </c>
      <c r="C19">
        <v>0</v>
      </c>
      <c r="D19">
        <v>0</v>
      </c>
    </row>
    <row r="20" spans="1:4" x14ac:dyDescent="0.25">
      <c r="A20">
        <v>7</v>
      </c>
      <c r="B20">
        <v>1</v>
      </c>
      <c r="C20">
        <v>28</v>
      </c>
      <c r="D20">
        <v>0</v>
      </c>
    </row>
    <row r="21" spans="1:4" x14ac:dyDescent="0.25">
      <c r="A21">
        <v>7</v>
      </c>
      <c r="B21">
        <v>2</v>
      </c>
      <c r="C21">
        <v>23</v>
      </c>
      <c r="D21">
        <v>0</v>
      </c>
    </row>
    <row r="22" spans="1:4" x14ac:dyDescent="0.25">
      <c r="A22">
        <v>7</v>
      </c>
      <c r="B22">
        <v>3</v>
      </c>
      <c r="C22">
        <v>0</v>
      </c>
      <c r="D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4"/>
  <sheetViews>
    <sheetView tabSelected="1" workbookViewId="0">
      <pane ySplit="2" topLeftCell="A176" activePane="bottomLeft" state="frozen"/>
      <selection pane="bottomLeft" activeCell="N187" sqref="N187"/>
    </sheetView>
  </sheetViews>
  <sheetFormatPr defaultRowHeight="15" x14ac:dyDescent="0.25"/>
  <cols>
    <col min="1" max="1" width="4" style="2" bestFit="1" customWidth="1"/>
    <col min="2" max="2" width="5.7109375" style="2" bestFit="1" customWidth="1"/>
    <col min="3" max="3" width="4.140625" style="2" customWidth="1"/>
    <col min="4" max="4" width="10" style="2" bestFit="1" customWidth="1"/>
    <col min="5" max="5" width="15.28515625" style="2" customWidth="1"/>
    <col min="6" max="6" width="18.140625" style="2" customWidth="1"/>
    <col min="7" max="9" width="9.140625" style="2"/>
    <col min="10" max="10" width="10" style="2" bestFit="1" customWidth="1"/>
    <col min="11" max="11" width="9.140625" style="2"/>
    <col min="12" max="12" width="16.7109375" style="2" customWidth="1"/>
    <col min="13" max="13" width="9.140625" style="2"/>
    <col min="15" max="16" width="9.140625" customWidth="1"/>
  </cols>
  <sheetData>
    <row r="1" spans="1:19" x14ac:dyDescent="0.25">
      <c r="A1" s="14" t="s">
        <v>46</v>
      </c>
      <c r="B1" s="15"/>
      <c r="C1" s="15"/>
      <c r="D1" s="15"/>
      <c r="E1" s="15"/>
      <c r="F1" s="16"/>
      <c r="G1" s="14" t="s">
        <v>47</v>
      </c>
      <c r="H1" s="15"/>
      <c r="I1" s="15"/>
      <c r="J1" s="15"/>
      <c r="K1" s="15"/>
      <c r="L1" s="16"/>
      <c r="M1" s="17" t="s">
        <v>38</v>
      </c>
    </row>
    <row r="2" spans="1:19" ht="15.75" x14ac:dyDescent="0.25">
      <c r="A2" s="3" t="s">
        <v>9</v>
      </c>
      <c r="B2" s="3" t="s">
        <v>10</v>
      </c>
      <c r="C2" s="4" t="s">
        <v>8</v>
      </c>
      <c r="D2" s="4" t="s">
        <v>0</v>
      </c>
      <c r="E2" s="3" t="s">
        <v>11</v>
      </c>
      <c r="F2" s="4" t="s">
        <v>1</v>
      </c>
      <c r="G2" s="1" t="s">
        <v>35</v>
      </c>
      <c r="H2" s="1" t="s">
        <v>37</v>
      </c>
      <c r="I2" s="1" t="s">
        <v>36</v>
      </c>
      <c r="J2" s="2" t="s">
        <v>12</v>
      </c>
      <c r="K2" s="1" t="s">
        <v>11</v>
      </c>
      <c r="L2" s="1" t="s">
        <v>13</v>
      </c>
      <c r="M2" s="18"/>
    </row>
    <row r="3" spans="1:19" ht="15.75" x14ac:dyDescent="0.25">
      <c r="A3" s="5">
        <v>0</v>
      </c>
      <c r="B3" s="5">
        <v>0</v>
      </c>
      <c r="C3" s="5">
        <v>0</v>
      </c>
      <c r="D3" s="5">
        <v>825210085</v>
      </c>
      <c r="E3" s="6" t="s">
        <v>14</v>
      </c>
      <c r="F3" s="5" t="str">
        <f>VLOOKUP(D3,J:L,3,FALSE)</f>
        <v>Prof. Lina, ST, M.Kom., Ph.D.</v>
      </c>
      <c r="G3" s="1">
        <v>0</v>
      </c>
      <c r="H3" s="1">
        <v>0</v>
      </c>
      <c r="I3" s="1">
        <v>0</v>
      </c>
      <c r="J3" s="2">
        <v>535210076</v>
      </c>
      <c r="K3" s="1" t="s">
        <v>14</v>
      </c>
      <c r="L3" s="1" t="s">
        <v>17</v>
      </c>
      <c r="M3" s="9" cm="1">
        <f t="array" ref="M3">IF(AND(A3:C3=G3:I3),IF((F3=L3),1,0),999)</f>
        <v>0</v>
      </c>
    </row>
    <row r="4" spans="1:19" ht="15.75" x14ac:dyDescent="0.25">
      <c r="A4" s="5">
        <v>0</v>
      </c>
      <c r="B4" s="5">
        <v>0</v>
      </c>
      <c r="C4" s="5">
        <v>0</v>
      </c>
      <c r="D4" s="5">
        <v>825210133</v>
      </c>
      <c r="E4" s="6" t="s">
        <v>14</v>
      </c>
      <c r="F4" s="5" t="str">
        <f>VLOOKUP(D4,J:L,3,FALSE)</f>
        <v>Prof. Lina, ST, M.Kom., Ph.D.</v>
      </c>
      <c r="G4" s="1">
        <v>0</v>
      </c>
      <c r="H4" s="1">
        <v>0</v>
      </c>
      <c r="I4" s="1">
        <v>0</v>
      </c>
      <c r="J4" s="2">
        <v>535210087</v>
      </c>
      <c r="K4" s="1" t="s">
        <v>14</v>
      </c>
      <c r="L4" s="1" t="s">
        <v>17</v>
      </c>
      <c r="M4" s="9" cm="1">
        <f t="array" ref="M4">IF(AND(A4:C4=G4:I4),IF((F4=L4),1,0),999)</f>
        <v>0</v>
      </c>
    </row>
    <row r="5" spans="1:19" ht="15.75" x14ac:dyDescent="0.25">
      <c r="A5" s="5">
        <v>0</v>
      </c>
      <c r="B5" s="5">
        <v>0</v>
      </c>
      <c r="C5" s="5">
        <v>0</v>
      </c>
      <c r="D5" s="5">
        <v>825210123</v>
      </c>
      <c r="E5" s="6" t="s">
        <v>14</v>
      </c>
      <c r="F5" s="5" t="str">
        <f>VLOOKUP(D5,J:L,3,FALSE)</f>
        <v>Novario Jaya Perdana, S.Kom., MT</v>
      </c>
      <c r="G5" s="1">
        <v>0</v>
      </c>
      <c r="H5" s="1">
        <v>0</v>
      </c>
      <c r="I5" s="1">
        <v>0</v>
      </c>
      <c r="J5" s="2">
        <v>535210023</v>
      </c>
      <c r="K5" s="1" t="s">
        <v>14</v>
      </c>
      <c r="L5" s="1" t="s">
        <v>17</v>
      </c>
      <c r="M5" s="9" cm="1">
        <f t="array" ref="M5">IF(AND(A5:C5=G5:I5),IF((F5=L5),1,0),999)</f>
        <v>0</v>
      </c>
      <c r="P5" s="11" t="s">
        <v>41</v>
      </c>
      <c r="Q5" s="11" t="s">
        <v>42</v>
      </c>
      <c r="R5" s="11" t="s">
        <v>43</v>
      </c>
      <c r="S5" s="11" t="s">
        <v>44</v>
      </c>
    </row>
    <row r="6" spans="1:19" ht="15.75" x14ac:dyDescent="0.25">
      <c r="A6" s="5">
        <v>0</v>
      </c>
      <c r="B6" s="5">
        <v>0</v>
      </c>
      <c r="C6" s="5">
        <v>0</v>
      </c>
      <c r="D6" s="5">
        <v>825210124</v>
      </c>
      <c r="E6" s="6" t="s">
        <v>14</v>
      </c>
      <c r="F6" s="5" t="str">
        <f>VLOOKUP(D6,J:L,3,FALSE)</f>
        <v>Prof. Lina, ST, M.Kom., Ph.D.</v>
      </c>
      <c r="G6" s="1">
        <v>0</v>
      </c>
      <c r="H6" s="1">
        <v>0</v>
      </c>
      <c r="I6" s="1">
        <v>0</v>
      </c>
      <c r="J6" s="2">
        <v>535210064</v>
      </c>
      <c r="K6" s="1" t="s">
        <v>14</v>
      </c>
      <c r="L6" s="1" t="s">
        <v>17</v>
      </c>
      <c r="M6" s="9" cm="1">
        <f t="array" ref="M6">IF(AND(A6:C6=G6:I6),IF((F6=L6),1,0),999)</f>
        <v>0</v>
      </c>
      <c r="P6">
        <v>0</v>
      </c>
      <c r="Q6">
        <v>0</v>
      </c>
      <c r="R6">
        <f>COUNTIFS(A:A,P6,B:B,Q6)</f>
        <v>15</v>
      </c>
      <c r="S6">
        <f>COUNTIFS(G:G,P6,H:H,Q6)</f>
        <v>27</v>
      </c>
    </row>
    <row r="7" spans="1:19" ht="15.75" x14ac:dyDescent="0.25">
      <c r="A7" s="5">
        <v>0</v>
      </c>
      <c r="B7" s="5">
        <v>0</v>
      </c>
      <c r="C7" s="5">
        <v>1</v>
      </c>
      <c r="D7" s="5">
        <v>535210072</v>
      </c>
      <c r="E7" s="6" t="s">
        <v>14</v>
      </c>
      <c r="F7" s="5" t="str">
        <f>VLOOKUP(D7,J:L,3,FALSE)</f>
        <v>Prof. Lina, ST, M.Kom., Ph.D.</v>
      </c>
      <c r="G7" s="1">
        <v>0</v>
      </c>
      <c r="H7" s="1">
        <v>0</v>
      </c>
      <c r="I7" s="1">
        <v>1</v>
      </c>
      <c r="J7" s="2">
        <v>535210029</v>
      </c>
      <c r="K7" s="1" t="s">
        <v>14</v>
      </c>
      <c r="L7" s="1" t="s">
        <v>17</v>
      </c>
      <c r="M7" s="9" cm="1">
        <f t="array" ref="M7">IF(AND(A7:C7=G7:I7),IF((F7=L7),1,0),999)</f>
        <v>0</v>
      </c>
      <c r="P7">
        <v>0</v>
      </c>
      <c r="Q7">
        <v>1</v>
      </c>
      <c r="R7">
        <f>COUNTIFS(A:A,P7,B:B,Q7)</f>
        <v>16</v>
      </c>
      <c r="S7">
        <f>COUNTIFS(G:G,P7,H:H,Q7)</f>
        <v>24</v>
      </c>
    </row>
    <row r="8" spans="1:19" ht="15.75" x14ac:dyDescent="0.25">
      <c r="A8" s="5">
        <v>0</v>
      </c>
      <c r="B8" s="5">
        <v>0</v>
      </c>
      <c r="C8" s="5">
        <v>1</v>
      </c>
      <c r="D8" s="5">
        <v>535210076</v>
      </c>
      <c r="E8" s="6" t="s">
        <v>14</v>
      </c>
      <c r="F8" s="5" t="str">
        <f>VLOOKUP(D8,J:L,3,FALSE)</f>
        <v>Dr. Ing. Agus Budi Dharmawan, S.Kom., MT, M.Sc.</v>
      </c>
      <c r="G8" s="1">
        <v>0</v>
      </c>
      <c r="H8" s="1">
        <v>0</v>
      </c>
      <c r="I8" s="1">
        <v>1</v>
      </c>
      <c r="J8" s="2">
        <v>535210037</v>
      </c>
      <c r="K8" s="1" t="s">
        <v>14</v>
      </c>
      <c r="L8" s="1" t="s">
        <v>17</v>
      </c>
      <c r="M8" s="9" cm="1">
        <f t="array" ref="M8">IF(AND(A8:C8=G8:I8),IF((F8=L8),1,0),999)</f>
        <v>1</v>
      </c>
      <c r="P8">
        <v>0</v>
      </c>
      <c r="Q8">
        <v>2</v>
      </c>
      <c r="R8">
        <f>COUNTIFS(A:A,P8,B:B,Q8)</f>
        <v>16</v>
      </c>
      <c r="S8">
        <f>COUNTIFS(G:G,P8,H:H,Q8)</f>
        <v>16</v>
      </c>
    </row>
    <row r="9" spans="1:19" ht="15.75" x14ac:dyDescent="0.25">
      <c r="A9" s="5">
        <v>0</v>
      </c>
      <c r="B9" s="5">
        <v>0</v>
      </c>
      <c r="C9" s="5">
        <v>1</v>
      </c>
      <c r="D9" s="5">
        <v>535210087</v>
      </c>
      <c r="E9" s="6" t="s">
        <v>14</v>
      </c>
      <c r="F9" s="5" t="str">
        <f>VLOOKUP(D9,J:L,3,FALSE)</f>
        <v>Dr. Ing. Agus Budi Dharmawan, S.Kom., MT, M.Sc.</v>
      </c>
      <c r="G9" s="1">
        <v>0</v>
      </c>
      <c r="H9" s="1">
        <v>0</v>
      </c>
      <c r="I9" s="1">
        <v>1</v>
      </c>
      <c r="J9" s="2">
        <v>825210105</v>
      </c>
      <c r="K9" s="1" t="s">
        <v>14</v>
      </c>
      <c r="L9" s="1" t="s">
        <v>17</v>
      </c>
      <c r="M9" s="9" cm="1">
        <f t="array" ref="M9">IF(AND(A9:C9=G9:I9),IF((F9=L9),1,0),999)</f>
        <v>1</v>
      </c>
      <c r="P9">
        <v>1</v>
      </c>
      <c r="Q9">
        <v>0</v>
      </c>
      <c r="R9">
        <f>COUNTIFS(A:A,P9,B:B,Q9)</f>
        <v>17</v>
      </c>
      <c r="S9">
        <f>COUNTIFS(G:G,P9,H:H,Q9)</f>
        <v>12</v>
      </c>
    </row>
    <row r="10" spans="1:19" ht="15.75" x14ac:dyDescent="0.25">
      <c r="A10" s="5">
        <v>0</v>
      </c>
      <c r="B10" s="5">
        <v>0</v>
      </c>
      <c r="C10" s="5">
        <v>1</v>
      </c>
      <c r="D10" s="5">
        <v>535210023</v>
      </c>
      <c r="E10" s="6" t="s">
        <v>14</v>
      </c>
      <c r="F10" s="5" t="str">
        <f>VLOOKUP(D10,J:L,3,FALSE)</f>
        <v>Dr. Ing. Agus Budi Dharmawan, S.Kom., MT, M.Sc.</v>
      </c>
      <c r="G10" s="1">
        <v>0</v>
      </c>
      <c r="H10" s="1">
        <v>0</v>
      </c>
      <c r="I10" s="1">
        <v>1</v>
      </c>
      <c r="J10" s="2">
        <v>825210125</v>
      </c>
      <c r="K10" s="1" t="s">
        <v>14</v>
      </c>
      <c r="L10" s="1" t="s">
        <v>17</v>
      </c>
      <c r="M10" s="9" cm="1">
        <f t="array" ref="M10">IF(AND(A10:C10=G10:I10),IF((F10=L10),1,0),999)</f>
        <v>1</v>
      </c>
      <c r="P10">
        <v>1</v>
      </c>
      <c r="Q10">
        <v>1</v>
      </c>
      <c r="R10">
        <f>COUNTIFS(A:A,P10,B:B,Q10)</f>
        <v>16</v>
      </c>
      <c r="S10">
        <f>COUNTIFS(G:G,P10,H:H,Q10)</f>
        <v>11</v>
      </c>
    </row>
    <row r="11" spans="1:19" ht="15.75" x14ac:dyDescent="0.25">
      <c r="A11" s="5">
        <v>0</v>
      </c>
      <c r="B11" s="5">
        <v>0</v>
      </c>
      <c r="C11" s="5">
        <v>2</v>
      </c>
      <c r="D11" s="5">
        <v>535210064</v>
      </c>
      <c r="E11" s="6" t="s">
        <v>14</v>
      </c>
      <c r="F11" s="5" t="str">
        <f>VLOOKUP(D11,J:L,3,FALSE)</f>
        <v>Dr. Ing. Agus Budi Dharmawan, S.Kom., MT, M.Sc.</v>
      </c>
      <c r="G11" s="1">
        <v>0</v>
      </c>
      <c r="H11" s="1">
        <v>0</v>
      </c>
      <c r="I11" s="1">
        <v>2</v>
      </c>
      <c r="J11" s="2">
        <v>535210093</v>
      </c>
      <c r="K11" s="1" t="s">
        <v>14</v>
      </c>
      <c r="L11" s="1" t="s">
        <v>17</v>
      </c>
      <c r="M11" s="9" cm="1">
        <f t="array" ref="M11">IF(AND(A11:C11=G11:I11),IF((F11=L11),1,0),999)</f>
        <v>1</v>
      </c>
      <c r="P11">
        <v>1</v>
      </c>
      <c r="Q11">
        <v>2</v>
      </c>
      <c r="R11">
        <f>COUNTIFS(A:A,P11,B:B,Q11)</f>
        <v>0</v>
      </c>
      <c r="S11">
        <f>COUNTIFS(G:G,P11,H:H,Q11)</f>
        <v>8</v>
      </c>
    </row>
    <row r="12" spans="1:19" ht="15.75" x14ac:dyDescent="0.25">
      <c r="A12" s="5">
        <v>0</v>
      </c>
      <c r="B12" s="5">
        <v>0</v>
      </c>
      <c r="C12" s="5">
        <v>2</v>
      </c>
      <c r="D12" s="5">
        <v>535210029</v>
      </c>
      <c r="E12" s="6" t="s">
        <v>14</v>
      </c>
      <c r="F12" s="5" t="str">
        <f>VLOOKUP(D12,J:L,3,FALSE)</f>
        <v>Dr. Ing. Agus Budi Dharmawan, S.Kom., MT, M.Sc.</v>
      </c>
      <c r="G12" s="1">
        <v>0</v>
      </c>
      <c r="H12" s="1">
        <v>0</v>
      </c>
      <c r="I12" s="1">
        <v>2</v>
      </c>
      <c r="J12" s="2">
        <v>535210103</v>
      </c>
      <c r="K12" s="1" t="s">
        <v>14</v>
      </c>
      <c r="L12" s="1" t="s">
        <v>17</v>
      </c>
      <c r="M12" s="9" cm="1">
        <f t="array" ref="M12">IF(AND(A12:C12=G12:I12),IF((F12=L12),1,0),999)</f>
        <v>1</v>
      </c>
      <c r="P12">
        <v>2</v>
      </c>
      <c r="Q12">
        <v>0</v>
      </c>
      <c r="R12">
        <f>COUNTIFS(A:A,P12,B:B,Q12)</f>
        <v>28</v>
      </c>
      <c r="S12">
        <f>COUNTIFS(G:G,P12,H:H,Q12)</f>
        <v>14</v>
      </c>
    </row>
    <row r="13" spans="1:19" ht="15.75" x14ac:dyDescent="0.25">
      <c r="A13" s="5">
        <v>0</v>
      </c>
      <c r="B13" s="5">
        <v>0</v>
      </c>
      <c r="C13" s="5">
        <v>2</v>
      </c>
      <c r="D13" s="5">
        <v>535210037</v>
      </c>
      <c r="E13" s="6" t="s">
        <v>14</v>
      </c>
      <c r="F13" s="5" t="str">
        <f>VLOOKUP(D13,J:L,3,FALSE)</f>
        <v>Dr. Ing. Agus Budi Dharmawan, S.Kom., MT, M.Sc.</v>
      </c>
      <c r="G13" s="1">
        <v>0</v>
      </c>
      <c r="H13" s="1">
        <v>0</v>
      </c>
      <c r="I13" s="1">
        <v>2</v>
      </c>
      <c r="J13" s="2">
        <v>825210140</v>
      </c>
      <c r="K13" s="1" t="s">
        <v>18</v>
      </c>
      <c r="L13" s="1" t="s">
        <v>19</v>
      </c>
      <c r="M13" s="9" cm="1">
        <f t="array" ref="M13">IF(AND(A13:C13=G13:I13),IF((F13=L13),1,0),999)</f>
        <v>0</v>
      </c>
      <c r="P13">
        <v>2</v>
      </c>
      <c r="Q13">
        <v>1</v>
      </c>
      <c r="R13">
        <f>COUNTIFS(A:A,P13,B:B,Q13)</f>
        <v>7</v>
      </c>
      <c r="S13">
        <f>COUNTIFS(G:G,P13,H:H,Q13)</f>
        <v>9</v>
      </c>
    </row>
    <row r="14" spans="1:19" ht="15.75" x14ac:dyDescent="0.25">
      <c r="A14" s="5">
        <v>0</v>
      </c>
      <c r="B14" s="5">
        <v>0</v>
      </c>
      <c r="C14" s="5">
        <v>2</v>
      </c>
      <c r="D14" s="5">
        <v>825210105</v>
      </c>
      <c r="E14" s="6" t="s">
        <v>14</v>
      </c>
      <c r="F14" s="5" t="str">
        <f>VLOOKUP(D14,J:L,3,FALSE)</f>
        <v>Dr. Ing. Agus Budi Dharmawan, S.Kom., MT, M.Sc.</v>
      </c>
      <c r="G14" s="1">
        <v>0</v>
      </c>
      <c r="H14" s="1">
        <v>0</v>
      </c>
      <c r="I14" s="1">
        <v>2</v>
      </c>
      <c r="J14" s="2">
        <v>825210121</v>
      </c>
      <c r="K14" s="1" t="s">
        <v>18</v>
      </c>
      <c r="L14" s="1" t="s">
        <v>19</v>
      </c>
      <c r="M14" s="9" cm="1">
        <f t="array" ref="M14">IF(AND(A14:C14=G14:I14),IF((F14=L14),1,0),999)</f>
        <v>0</v>
      </c>
      <c r="P14">
        <v>2</v>
      </c>
      <c r="Q14">
        <v>2</v>
      </c>
      <c r="R14">
        <f>COUNTIFS(A:A,P14,B:B,Q14)</f>
        <v>0</v>
      </c>
      <c r="S14">
        <f>COUNTIFS(G:G,P14,H:H,Q14)</f>
        <v>7</v>
      </c>
    </row>
    <row r="15" spans="1:19" ht="15.75" x14ac:dyDescent="0.25">
      <c r="A15" s="5">
        <v>0</v>
      </c>
      <c r="B15" s="5">
        <v>0</v>
      </c>
      <c r="C15" s="5">
        <v>3</v>
      </c>
      <c r="D15" s="5">
        <v>825210125</v>
      </c>
      <c r="E15" s="6" t="s">
        <v>14</v>
      </c>
      <c r="F15" s="5" t="str">
        <f>VLOOKUP(D15,J:L,3,FALSE)</f>
        <v>Dr. Ing. Agus Budi Dharmawan, S.Kom., MT, M.Sc.</v>
      </c>
      <c r="G15" s="1">
        <v>0</v>
      </c>
      <c r="H15" s="1">
        <v>0</v>
      </c>
      <c r="I15" s="1">
        <v>3</v>
      </c>
      <c r="J15" s="2">
        <v>535210041</v>
      </c>
      <c r="K15" s="1" t="s">
        <v>18</v>
      </c>
      <c r="L15" s="1" t="s">
        <v>15</v>
      </c>
      <c r="M15" s="9" cm="1">
        <f t="array" ref="M15">IF(AND(A15:C15=G15:I15),IF((F15=L15),1,0),999)</f>
        <v>0</v>
      </c>
      <c r="P15">
        <v>3</v>
      </c>
      <c r="Q15">
        <v>0</v>
      </c>
      <c r="R15">
        <f>COUNTIFS(A:A,P15,B:B,Q15)</f>
        <v>0</v>
      </c>
      <c r="S15">
        <f>COUNTIFS(G:G,P15,H:H,Q15)</f>
        <v>23</v>
      </c>
    </row>
    <row r="16" spans="1:19" ht="15.75" x14ac:dyDescent="0.25">
      <c r="A16" s="5">
        <v>0</v>
      </c>
      <c r="B16" s="5">
        <v>0</v>
      </c>
      <c r="C16" s="5">
        <v>3</v>
      </c>
      <c r="D16" s="5">
        <v>535210093</v>
      </c>
      <c r="E16" s="6" t="s">
        <v>14</v>
      </c>
      <c r="F16" s="5" t="str">
        <f>VLOOKUP(D16,J:L,3,FALSE)</f>
        <v>Dr. Ing. Agus Budi Dharmawan, S.Kom., MT, M.Sc.</v>
      </c>
      <c r="G16" s="1">
        <v>0</v>
      </c>
      <c r="H16" s="1">
        <v>0</v>
      </c>
      <c r="I16" s="1">
        <v>3</v>
      </c>
      <c r="J16" s="2">
        <v>535210020</v>
      </c>
      <c r="K16" s="1" t="s">
        <v>18</v>
      </c>
      <c r="L16" s="1" t="s">
        <v>15</v>
      </c>
      <c r="M16" s="9" cm="1">
        <f t="array" ref="M16">IF(AND(A16:C16=G16:I16),IF((F16=L16),1,0),999)</f>
        <v>0</v>
      </c>
      <c r="P16">
        <v>3</v>
      </c>
      <c r="Q16">
        <v>1</v>
      </c>
      <c r="R16">
        <f>COUNTIFS(A:A,P16,B:B,Q16)</f>
        <v>0</v>
      </c>
      <c r="S16">
        <f>COUNTIFS(G:G,P16,H:H,Q16)</f>
        <v>16</v>
      </c>
    </row>
    <row r="17" spans="1:19" ht="15.75" x14ac:dyDescent="0.25">
      <c r="A17" s="5">
        <v>0</v>
      </c>
      <c r="B17" s="5">
        <v>0</v>
      </c>
      <c r="C17" s="5">
        <v>3</v>
      </c>
      <c r="D17" s="5">
        <v>535210103</v>
      </c>
      <c r="E17" s="6" t="s">
        <v>14</v>
      </c>
      <c r="F17" s="5" t="str">
        <f>VLOOKUP(D17,J:L,3,FALSE)</f>
        <v>Dr. Ing. Agus Budi Dharmawan, S.Kom., MT, M.Sc.</v>
      </c>
      <c r="G17" s="1">
        <v>0</v>
      </c>
      <c r="H17" s="1">
        <v>0</v>
      </c>
      <c r="I17" s="1">
        <v>3</v>
      </c>
      <c r="J17" s="2">
        <v>535210038</v>
      </c>
      <c r="K17" s="1" t="s">
        <v>18</v>
      </c>
      <c r="L17" s="1" t="s">
        <v>15</v>
      </c>
      <c r="M17" s="9" cm="1">
        <f t="array" ref="M17">IF(AND(A17:C17=G17:I17),IF((F17=L17),1,0),999)</f>
        <v>0</v>
      </c>
      <c r="P17">
        <v>3</v>
      </c>
      <c r="Q17">
        <v>2</v>
      </c>
      <c r="R17">
        <f>COUNTIFS(A:A,P17,B:B,Q17)</f>
        <v>0</v>
      </c>
      <c r="S17">
        <f>COUNTIFS(G:G,P17,H:H,Q17)</f>
        <v>8</v>
      </c>
    </row>
    <row r="18" spans="1:19" ht="15.75" x14ac:dyDescent="0.25">
      <c r="F18" s="5"/>
      <c r="G18" s="1">
        <v>0</v>
      </c>
      <c r="H18" s="1">
        <v>0</v>
      </c>
      <c r="I18" s="1">
        <v>3</v>
      </c>
      <c r="J18" s="2">
        <v>825210085</v>
      </c>
      <c r="K18" s="1" t="s">
        <v>14</v>
      </c>
      <c r="L18" s="1" t="s">
        <v>15</v>
      </c>
      <c r="M18" s="10" t="s">
        <v>39</v>
      </c>
      <c r="P18">
        <v>4</v>
      </c>
      <c r="Q18">
        <v>0</v>
      </c>
      <c r="R18">
        <f>COUNTIFS(A:A,P18,B:B,Q18)</f>
        <v>14</v>
      </c>
      <c r="S18">
        <f>COUNTIFS(G:G,P18,H:H,Q18)</f>
        <v>12</v>
      </c>
    </row>
    <row r="19" spans="1:19" ht="15.75" x14ac:dyDescent="0.25">
      <c r="F19" s="5"/>
      <c r="G19" s="1">
        <v>0</v>
      </c>
      <c r="H19" s="1">
        <v>0</v>
      </c>
      <c r="I19" s="1">
        <v>4</v>
      </c>
      <c r="J19" s="2">
        <v>535210003</v>
      </c>
      <c r="K19" s="1" t="s">
        <v>18</v>
      </c>
      <c r="L19" s="1" t="s">
        <v>4</v>
      </c>
      <c r="M19" s="10" t="s">
        <v>39</v>
      </c>
      <c r="P19">
        <v>4</v>
      </c>
      <c r="Q19">
        <v>1</v>
      </c>
      <c r="R19">
        <f>COUNTIFS(A:A,P19,B:B,Q19)</f>
        <v>16</v>
      </c>
      <c r="S19">
        <f>COUNTIFS(G:G,P19,H:H,Q19)</f>
        <v>8</v>
      </c>
    </row>
    <row r="20" spans="1:19" ht="15.75" x14ac:dyDescent="0.25">
      <c r="F20" s="5"/>
      <c r="G20" s="1">
        <v>0</v>
      </c>
      <c r="H20" s="1">
        <v>0</v>
      </c>
      <c r="I20" s="1">
        <v>4</v>
      </c>
      <c r="J20" s="2">
        <v>535210005</v>
      </c>
      <c r="K20" s="1" t="s">
        <v>18</v>
      </c>
      <c r="L20" s="1" t="s">
        <v>4</v>
      </c>
      <c r="M20" s="10" t="s">
        <v>39</v>
      </c>
      <c r="P20">
        <v>4</v>
      </c>
      <c r="Q20">
        <v>2</v>
      </c>
      <c r="R20">
        <f>COUNTIFS(A:A,P20,B:B,Q20)</f>
        <v>0</v>
      </c>
      <c r="S20">
        <f>COUNTIFS(G:G,P20,H:H,Q20)</f>
        <v>1</v>
      </c>
    </row>
    <row r="21" spans="1:19" ht="15.75" x14ac:dyDescent="0.25">
      <c r="F21" s="5"/>
      <c r="G21" s="1">
        <v>0</v>
      </c>
      <c r="H21" s="1">
        <v>0</v>
      </c>
      <c r="I21" s="1">
        <v>4</v>
      </c>
      <c r="J21" s="2">
        <v>535210056</v>
      </c>
      <c r="K21" s="1" t="s">
        <v>18</v>
      </c>
      <c r="L21" s="1" t="s">
        <v>4</v>
      </c>
      <c r="M21" s="10" t="s">
        <v>39</v>
      </c>
      <c r="P21">
        <v>5</v>
      </c>
      <c r="Q21">
        <v>0</v>
      </c>
      <c r="R21">
        <f>COUNTIFS(A:A,P21,B:B,Q21)</f>
        <v>0</v>
      </c>
      <c r="S21">
        <f>COUNTIFS(G:G,P21,H:H,Q21)</f>
        <v>0</v>
      </c>
    </row>
    <row r="22" spans="1:19" ht="15.75" x14ac:dyDescent="0.25">
      <c r="F22" s="5"/>
      <c r="G22" s="1">
        <v>0</v>
      </c>
      <c r="H22" s="1">
        <v>0</v>
      </c>
      <c r="I22" s="1">
        <v>4</v>
      </c>
      <c r="J22" s="2">
        <v>535210045</v>
      </c>
      <c r="K22" s="1" t="s">
        <v>18</v>
      </c>
      <c r="L22" s="1" t="s">
        <v>4</v>
      </c>
      <c r="M22" s="10" t="s">
        <v>39</v>
      </c>
      <c r="P22">
        <v>5</v>
      </c>
      <c r="Q22">
        <v>1</v>
      </c>
      <c r="R22">
        <f>COUNTIFS(A:A,P22,B:B,Q22)</f>
        <v>0</v>
      </c>
      <c r="S22">
        <f>COUNTIFS(G:G,P22,H:H,Q22)</f>
        <v>0</v>
      </c>
    </row>
    <row r="23" spans="1:19" ht="15.75" x14ac:dyDescent="0.25">
      <c r="F23" s="5"/>
      <c r="G23" s="1">
        <v>0</v>
      </c>
      <c r="H23" s="1">
        <v>0</v>
      </c>
      <c r="I23" s="1">
        <v>5</v>
      </c>
      <c r="J23" s="2">
        <v>535210007</v>
      </c>
      <c r="K23" s="1" t="s">
        <v>18</v>
      </c>
      <c r="L23" s="1" t="s">
        <v>4</v>
      </c>
      <c r="M23" s="10" t="s">
        <v>39</v>
      </c>
      <c r="P23">
        <v>5</v>
      </c>
      <c r="Q23">
        <v>2</v>
      </c>
      <c r="R23">
        <f>COUNTIFS(A:A,P23,B:B,Q23)</f>
        <v>0</v>
      </c>
      <c r="S23">
        <f>COUNTIFS(G:G,P23,H:H,Q23)</f>
        <v>0</v>
      </c>
    </row>
    <row r="24" spans="1:19" ht="15.75" x14ac:dyDescent="0.25">
      <c r="F24" s="5"/>
      <c r="G24" s="1">
        <v>0</v>
      </c>
      <c r="H24" s="1">
        <v>0</v>
      </c>
      <c r="I24" s="1">
        <v>5</v>
      </c>
      <c r="J24" s="2">
        <v>535210027</v>
      </c>
      <c r="K24" s="1" t="s">
        <v>18</v>
      </c>
      <c r="L24" s="1" t="s">
        <v>4</v>
      </c>
      <c r="M24" s="10" t="s">
        <v>39</v>
      </c>
      <c r="P24">
        <v>6</v>
      </c>
      <c r="Q24">
        <v>0</v>
      </c>
      <c r="R24">
        <f>COUNTIFS(A:A,P24,B:B,Q24)</f>
        <v>28</v>
      </c>
      <c r="S24">
        <f>COUNTIFS(G:G,P24,H:H,Q24)</f>
        <v>0</v>
      </c>
    </row>
    <row r="25" spans="1:19" ht="15.75" x14ac:dyDescent="0.25">
      <c r="F25" s="5"/>
      <c r="G25" s="1">
        <v>0</v>
      </c>
      <c r="H25" s="1">
        <v>0</v>
      </c>
      <c r="I25" s="1">
        <v>5</v>
      </c>
      <c r="J25" s="2">
        <v>535210001</v>
      </c>
      <c r="K25" s="1" t="s">
        <v>18</v>
      </c>
      <c r="L25" s="1" t="s">
        <v>4</v>
      </c>
      <c r="M25" s="10" t="s">
        <v>39</v>
      </c>
      <c r="P25">
        <v>6</v>
      </c>
      <c r="Q25">
        <v>1</v>
      </c>
      <c r="R25">
        <f>COUNTIFS(A:A,P25,B:B,Q25)</f>
        <v>23</v>
      </c>
      <c r="S25">
        <f>COUNTIFS(G:G,P25,H:H,Q25)</f>
        <v>0</v>
      </c>
    </row>
    <row r="26" spans="1:19" ht="15.75" x14ac:dyDescent="0.25">
      <c r="F26" s="5"/>
      <c r="G26" s="1">
        <v>0</v>
      </c>
      <c r="H26" s="1">
        <v>0</v>
      </c>
      <c r="I26" s="1">
        <v>5</v>
      </c>
      <c r="J26" s="2">
        <v>535210048</v>
      </c>
      <c r="K26" s="1" t="s">
        <v>18</v>
      </c>
      <c r="L26" s="1" t="s">
        <v>4</v>
      </c>
      <c r="M26" s="10" t="s">
        <v>39</v>
      </c>
      <c r="P26">
        <v>6</v>
      </c>
      <c r="Q26">
        <v>2</v>
      </c>
      <c r="R26">
        <f>COUNTIFS(A:A,P26,B:B,Q26)</f>
        <v>0</v>
      </c>
      <c r="S26">
        <f>COUNTIFS(G:G,P26,H:H,Q26)</f>
        <v>0</v>
      </c>
    </row>
    <row r="27" spans="1:19" ht="15.75" x14ac:dyDescent="0.25">
      <c r="F27" s="5"/>
      <c r="G27" s="1">
        <v>0</v>
      </c>
      <c r="H27" s="1">
        <v>0</v>
      </c>
      <c r="I27" s="1">
        <v>6</v>
      </c>
      <c r="J27" s="2">
        <v>535210013</v>
      </c>
      <c r="K27" s="1" t="s">
        <v>18</v>
      </c>
      <c r="L27" s="1" t="s">
        <v>4</v>
      </c>
      <c r="M27" s="10" t="s">
        <v>39</v>
      </c>
      <c r="R27">
        <f>SUM(R6:R26)</f>
        <v>196</v>
      </c>
      <c r="S27">
        <f>SUM(S6:S26)</f>
        <v>196</v>
      </c>
    </row>
    <row r="28" spans="1:19" ht="15.75" x14ac:dyDescent="0.25">
      <c r="F28" s="5"/>
      <c r="G28" s="1">
        <v>0</v>
      </c>
      <c r="H28" s="1">
        <v>0</v>
      </c>
      <c r="I28" s="1">
        <v>6</v>
      </c>
      <c r="J28" s="2">
        <v>535210107</v>
      </c>
      <c r="K28" s="1" t="s">
        <v>22</v>
      </c>
      <c r="L28" s="1" t="s">
        <v>20</v>
      </c>
      <c r="M28" s="10" t="s">
        <v>39</v>
      </c>
    </row>
    <row r="29" spans="1:19" ht="15.75" x14ac:dyDescent="0.25">
      <c r="F29" s="5"/>
      <c r="G29" s="1">
        <v>0</v>
      </c>
      <c r="H29" s="1">
        <v>0</v>
      </c>
      <c r="I29" s="1">
        <v>6</v>
      </c>
      <c r="J29" s="2">
        <v>825210065</v>
      </c>
      <c r="K29" s="1" t="s">
        <v>22</v>
      </c>
      <c r="L29" s="1" t="s">
        <v>20</v>
      </c>
      <c r="M29" s="10" t="s">
        <v>39</v>
      </c>
    </row>
    <row r="30" spans="1:19" ht="15.75" x14ac:dyDescent="0.25">
      <c r="A30" s="5">
        <v>0</v>
      </c>
      <c r="B30" s="5">
        <v>1</v>
      </c>
      <c r="C30" s="5">
        <v>0</v>
      </c>
      <c r="D30" s="5">
        <v>825210052</v>
      </c>
      <c r="E30" s="6" t="s">
        <v>18</v>
      </c>
      <c r="F30" s="5" t="str">
        <f>VLOOKUP(D30,J:L,3,FALSE)</f>
        <v>Dra. Ery Dewayani, MMSI</v>
      </c>
      <c r="G30" s="1">
        <v>0</v>
      </c>
      <c r="H30" s="1">
        <v>1</v>
      </c>
      <c r="I30" s="1">
        <v>0</v>
      </c>
      <c r="J30" s="2">
        <v>825210052</v>
      </c>
      <c r="K30" s="1" t="s">
        <v>18</v>
      </c>
      <c r="L30" s="1" t="s">
        <v>19</v>
      </c>
      <c r="M30" s="9" cm="1">
        <f t="array" ref="M30">IF(AND(A30:C30=G30:I30),IF((F30=L30),1,0),999)</f>
        <v>1</v>
      </c>
    </row>
    <row r="31" spans="1:19" ht="15.75" x14ac:dyDescent="0.25">
      <c r="A31" s="5">
        <v>0</v>
      </c>
      <c r="B31" s="5">
        <v>1</v>
      </c>
      <c r="C31" s="5">
        <v>0</v>
      </c>
      <c r="D31" s="5">
        <v>825210055</v>
      </c>
      <c r="E31" s="6" t="s">
        <v>18</v>
      </c>
      <c r="F31" s="5" t="str">
        <f>VLOOKUP(D31,J:L,3,FALSE)</f>
        <v>Dra. Ery Dewayani, MMSI</v>
      </c>
      <c r="G31" s="1">
        <v>0</v>
      </c>
      <c r="H31" s="1">
        <v>1</v>
      </c>
      <c r="I31" s="1">
        <v>0</v>
      </c>
      <c r="J31" s="2">
        <v>825210055</v>
      </c>
      <c r="K31" s="1" t="s">
        <v>18</v>
      </c>
      <c r="L31" s="1" t="s">
        <v>19</v>
      </c>
      <c r="M31" s="9" cm="1">
        <f t="array" ref="M31">IF(AND(A31:C31=G31:I31),IF((F31=L31),1,0),999)</f>
        <v>1</v>
      </c>
    </row>
    <row r="32" spans="1:19" ht="15.75" x14ac:dyDescent="0.25">
      <c r="A32" s="5">
        <v>0</v>
      </c>
      <c r="B32" s="5">
        <v>1</v>
      </c>
      <c r="C32" s="5">
        <v>0</v>
      </c>
      <c r="D32" s="5">
        <v>825210122</v>
      </c>
      <c r="E32" s="6" t="s">
        <v>18</v>
      </c>
      <c r="F32" s="5" t="str">
        <f>VLOOKUP(D32,J:L,3,FALSE)</f>
        <v>Dra. Ery Dewayani, MMSI</v>
      </c>
      <c r="G32" s="1">
        <v>0</v>
      </c>
      <c r="H32" s="1">
        <v>1</v>
      </c>
      <c r="I32" s="1">
        <v>0</v>
      </c>
      <c r="J32" s="2">
        <v>825210122</v>
      </c>
      <c r="K32" s="1" t="s">
        <v>18</v>
      </c>
      <c r="L32" s="1" t="s">
        <v>19</v>
      </c>
      <c r="M32" s="9" cm="1">
        <f t="array" ref="M32">IF(AND(A32:C32=G32:I32),IF((F32=L32),1,0),999)</f>
        <v>1</v>
      </c>
    </row>
    <row r="33" spans="1:13" ht="15.75" x14ac:dyDescent="0.25">
      <c r="A33" s="5">
        <v>0</v>
      </c>
      <c r="B33" s="5">
        <v>1</v>
      </c>
      <c r="C33" s="5">
        <v>0</v>
      </c>
      <c r="D33" s="5">
        <v>825210015</v>
      </c>
      <c r="E33" s="6" t="s">
        <v>18</v>
      </c>
      <c r="F33" s="5" t="str">
        <f>VLOOKUP(D33,J:L,3,FALSE)</f>
        <v>Dra. Ery Dewayani, MMSI</v>
      </c>
      <c r="G33" s="1">
        <v>0</v>
      </c>
      <c r="H33" s="1">
        <v>1</v>
      </c>
      <c r="I33" s="1">
        <v>0</v>
      </c>
      <c r="J33" s="2">
        <v>825210015</v>
      </c>
      <c r="K33" s="1" t="s">
        <v>18</v>
      </c>
      <c r="L33" s="1" t="s">
        <v>19</v>
      </c>
      <c r="M33" s="9" cm="1">
        <f t="array" ref="M33">IF(AND(A33:C33=G33:I33),IF((F33=L33),1,0),999)</f>
        <v>1</v>
      </c>
    </row>
    <row r="34" spans="1:13" ht="15.75" x14ac:dyDescent="0.25">
      <c r="A34" s="5">
        <v>0</v>
      </c>
      <c r="B34" s="5">
        <v>1</v>
      </c>
      <c r="C34" s="5">
        <v>1</v>
      </c>
      <c r="D34" s="5">
        <v>825210028</v>
      </c>
      <c r="E34" s="6" t="s">
        <v>18</v>
      </c>
      <c r="F34" s="5" t="str">
        <f>VLOOKUP(D34,J:L,3,FALSE)</f>
        <v>Dra. Ery Dewayani, MMSI</v>
      </c>
      <c r="G34" s="1">
        <v>0</v>
      </c>
      <c r="H34" s="1">
        <v>1</v>
      </c>
      <c r="I34" s="1">
        <v>1</v>
      </c>
      <c r="J34" s="2">
        <v>825210028</v>
      </c>
      <c r="K34" s="1" t="s">
        <v>18</v>
      </c>
      <c r="L34" s="1" t="s">
        <v>19</v>
      </c>
      <c r="M34" s="9" cm="1">
        <f t="array" ref="M34">IF(AND(A34:C34=G34:I34),IF((F34=L34),1,0),999)</f>
        <v>1</v>
      </c>
    </row>
    <row r="35" spans="1:13" ht="15.75" x14ac:dyDescent="0.25">
      <c r="A35" s="5">
        <v>0</v>
      </c>
      <c r="B35" s="5">
        <v>1</v>
      </c>
      <c r="C35" s="5">
        <v>1</v>
      </c>
      <c r="D35" s="5">
        <v>825210043</v>
      </c>
      <c r="E35" s="6" t="s">
        <v>18</v>
      </c>
      <c r="F35" s="5" t="str">
        <f>VLOOKUP(D35,J:L,3,FALSE)</f>
        <v>Dra. Ery Dewayani, MMSI</v>
      </c>
      <c r="G35" s="1">
        <v>0</v>
      </c>
      <c r="H35" s="1">
        <v>1</v>
      </c>
      <c r="I35" s="1">
        <v>1</v>
      </c>
      <c r="J35" s="2">
        <v>825210043</v>
      </c>
      <c r="K35" s="1" t="s">
        <v>18</v>
      </c>
      <c r="L35" s="1" t="s">
        <v>19</v>
      </c>
      <c r="M35" s="9" cm="1">
        <f t="array" ref="M35">IF(AND(A35:C35=G35:I35),IF((F35=L35),1,0),999)</f>
        <v>1</v>
      </c>
    </row>
    <row r="36" spans="1:13" ht="15.75" x14ac:dyDescent="0.25">
      <c r="A36" s="5">
        <v>0</v>
      </c>
      <c r="B36" s="5">
        <v>1</v>
      </c>
      <c r="C36" s="5">
        <v>1</v>
      </c>
      <c r="D36" s="5">
        <v>825210053</v>
      </c>
      <c r="E36" s="6" t="s">
        <v>18</v>
      </c>
      <c r="F36" s="5" t="str">
        <f>VLOOKUP(D36,J:L,3,FALSE)</f>
        <v>Dra. Ery Dewayani, MMSI</v>
      </c>
      <c r="G36" s="1">
        <v>0</v>
      </c>
      <c r="H36" s="1">
        <v>1</v>
      </c>
      <c r="I36" s="1">
        <v>1</v>
      </c>
      <c r="J36" s="2">
        <v>825210053</v>
      </c>
      <c r="K36" s="1" t="s">
        <v>18</v>
      </c>
      <c r="L36" s="1" t="s">
        <v>19</v>
      </c>
      <c r="M36" s="9" cm="1">
        <f t="array" ref="M36">IF(AND(A36:C36=G36:I36),IF((F36=L36),1,0),999)</f>
        <v>1</v>
      </c>
    </row>
    <row r="37" spans="1:13" ht="15.75" x14ac:dyDescent="0.25">
      <c r="A37" s="5">
        <v>0</v>
      </c>
      <c r="B37" s="5">
        <v>1</v>
      </c>
      <c r="C37" s="5">
        <v>1</v>
      </c>
      <c r="D37" s="5">
        <v>825210115</v>
      </c>
      <c r="E37" s="6" t="s">
        <v>18</v>
      </c>
      <c r="F37" s="5" t="str">
        <f>VLOOKUP(D37,J:L,3,FALSE)</f>
        <v>Dra. Ery Dewayani, MMSI</v>
      </c>
      <c r="G37" s="1">
        <v>0</v>
      </c>
      <c r="H37" s="1">
        <v>1</v>
      </c>
      <c r="I37" s="1">
        <v>1</v>
      </c>
      <c r="J37" s="2">
        <v>825210115</v>
      </c>
      <c r="K37" s="1" t="s">
        <v>18</v>
      </c>
      <c r="L37" s="1" t="s">
        <v>19</v>
      </c>
      <c r="M37" s="9" cm="1">
        <f t="array" ref="M37">IF(AND(A37:C37=G37:I37),IF((F37=L37),1,0),999)</f>
        <v>1</v>
      </c>
    </row>
    <row r="38" spans="1:13" ht="15.75" x14ac:dyDescent="0.25">
      <c r="A38" s="5">
        <v>0</v>
      </c>
      <c r="B38" s="5">
        <v>1</v>
      </c>
      <c r="C38" s="5">
        <v>2</v>
      </c>
      <c r="D38" s="5">
        <v>825210140</v>
      </c>
      <c r="E38" s="6" t="s">
        <v>18</v>
      </c>
      <c r="F38" s="5" t="str">
        <f>VLOOKUP(D38,J:L,3,FALSE)</f>
        <v>Dra. Ery Dewayani, MMSI</v>
      </c>
      <c r="G38" s="1">
        <v>0</v>
      </c>
      <c r="H38" s="1">
        <v>1</v>
      </c>
      <c r="I38" s="1">
        <v>2</v>
      </c>
      <c r="J38" s="2">
        <v>535210024</v>
      </c>
      <c r="K38" s="1" t="s">
        <v>18</v>
      </c>
      <c r="L38" s="1" t="s">
        <v>15</v>
      </c>
      <c r="M38" s="9" cm="1">
        <f t="array" ref="M38">IF(AND(A38:C38=G38:I38),IF((F38=L38),1,0),999)</f>
        <v>0</v>
      </c>
    </row>
    <row r="39" spans="1:13" ht="15.75" x14ac:dyDescent="0.25">
      <c r="A39" s="5">
        <v>0</v>
      </c>
      <c r="B39" s="5">
        <v>1</v>
      </c>
      <c r="C39" s="5">
        <v>2</v>
      </c>
      <c r="D39" s="5">
        <v>825210121</v>
      </c>
      <c r="E39" s="6" t="s">
        <v>18</v>
      </c>
      <c r="F39" s="5" t="str">
        <f>VLOOKUP(D39,J:L,3,FALSE)</f>
        <v>Dra. Ery Dewayani, MMSI</v>
      </c>
      <c r="G39" s="1">
        <v>0</v>
      </c>
      <c r="H39" s="1">
        <v>1</v>
      </c>
      <c r="I39" s="1">
        <v>2</v>
      </c>
      <c r="J39" s="2">
        <v>535210012</v>
      </c>
      <c r="K39" s="1" t="s">
        <v>18</v>
      </c>
      <c r="L39" s="1" t="s">
        <v>15</v>
      </c>
      <c r="M39" s="9" cm="1">
        <f t="array" ref="M39">IF(AND(A39:C39=G39:I39),IF((F39=L39),1,0),999)</f>
        <v>0</v>
      </c>
    </row>
    <row r="40" spans="1:13" ht="15.75" x14ac:dyDescent="0.25">
      <c r="A40" s="5">
        <v>0</v>
      </c>
      <c r="B40" s="5">
        <v>1</v>
      </c>
      <c r="C40" s="5">
        <v>2</v>
      </c>
      <c r="D40" s="5">
        <v>825210150</v>
      </c>
      <c r="E40" s="6" t="s">
        <v>18</v>
      </c>
      <c r="F40" s="5" t="str">
        <f>VLOOKUP(D40,J:L,3,FALSE)</f>
        <v>Dr. Dedi Trisnawarman, S.Si., M.Kom.</v>
      </c>
      <c r="G40" s="1">
        <v>0</v>
      </c>
      <c r="H40" s="1">
        <v>1</v>
      </c>
      <c r="I40" s="1">
        <v>2</v>
      </c>
      <c r="J40" s="2">
        <v>535210035</v>
      </c>
      <c r="K40" s="1" t="s">
        <v>18</v>
      </c>
      <c r="L40" s="1" t="s">
        <v>15</v>
      </c>
      <c r="M40" s="9" cm="1">
        <f t="array" ref="M40">IF(AND(A40:C40=G40:I40),IF((F40=L40),1,0),999)</f>
        <v>0</v>
      </c>
    </row>
    <row r="41" spans="1:13" ht="15.75" x14ac:dyDescent="0.25">
      <c r="A41" s="5">
        <v>0</v>
      </c>
      <c r="B41" s="5">
        <v>1</v>
      </c>
      <c r="C41" s="5">
        <v>2</v>
      </c>
      <c r="D41" s="5">
        <v>825210087</v>
      </c>
      <c r="E41" s="6" t="s">
        <v>18</v>
      </c>
      <c r="F41" s="5" t="str">
        <f>VLOOKUP(D41,J:L,3,FALSE)</f>
        <v>Dr. Dedi Trisnawarman, S.Si., M.Kom.</v>
      </c>
      <c r="G41" s="1">
        <v>0</v>
      </c>
      <c r="H41" s="1">
        <v>1</v>
      </c>
      <c r="I41" s="1">
        <v>2</v>
      </c>
      <c r="J41" s="2">
        <v>535210021</v>
      </c>
      <c r="K41" s="1" t="s">
        <v>18</v>
      </c>
      <c r="L41" s="1" t="s">
        <v>15</v>
      </c>
      <c r="M41" s="9" cm="1">
        <f t="array" ref="M41">IF(AND(A41:C41=G41:I41),IF((F41=L41),1,0),999)</f>
        <v>0</v>
      </c>
    </row>
    <row r="42" spans="1:13" ht="15.75" x14ac:dyDescent="0.25">
      <c r="A42" s="5">
        <v>0</v>
      </c>
      <c r="B42" s="5">
        <v>1</v>
      </c>
      <c r="C42" s="5">
        <v>3</v>
      </c>
      <c r="D42" s="5">
        <v>825210061</v>
      </c>
      <c r="E42" s="6" t="s">
        <v>18</v>
      </c>
      <c r="F42" s="5" t="str">
        <f>VLOOKUP(D42,J:L,3,FALSE)</f>
        <v>Dr. Dedi Trisnawarman, S.Si., M.Kom.</v>
      </c>
      <c r="G42" s="1">
        <v>0</v>
      </c>
      <c r="H42" s="1">
        <v>1</v>
      </c>
      <c r="I42" s="1">
        <v>3</v>
      </c>
      <c r="J42" s="2">
        <v>535210112</v>
      </c>
      <c r="K42" s="1" t="s">
        <v>18</v>
      </c>
      <c r="L42" s="1" t="s">
        <v>3</v>
      </c>
      <c r="M42" s="9" cm="1">
        <f t="array" ref="M42">IF(AND(A42:C42=G42:I42),IF((F42=L42),1,0),999)</f>
        <v>0</v>
      </c>
    </row>
    <row r="43" spans="1:13" ht="15.75" x14ac:dyDescent="0.25">
      <c r="A43" s="5">
        <v>0</v>
      </c>
      <c r="B43" s="5">
        <v>1</v>
      </c>
      <c r="C43" s="5">
        <v>3</v>
      </c>
      <c r="D43" s="5">
        <v>825210007</v>
      </c>
      <c r="E43" s="6" t="s">
        <v>18</v>
      </c>
      <c r="F43" s="5" t="str">
        <f>VLOOKUP(D43,J:L,3,FALSE)</f>
        <v>Dr. Dedi Trisnawarman, S.Si., M.Kom.</v>
      </c>
      <c r="G43" s="1">
        <v>0</v>
      </c>
      <c r="H43" s="1">
        <v>1</v>
      </c>
      <c r="I43" s="1">
        <v>3</v>
      </c>
      <c r="J43" s="2">
        <v>825210023</v>
      </c>
      <c r="K43" s="1" t="s">
        <v>18</v>
      </c>
      <c r="L43" s="1" t="s">
        <v>3</v>
      </c>
      <c r="M43" s="9" cm="1">
        <f t="array" ref="M43">IF(AND(A43:C43=G43:I43),IF((F43=L43),1,0),999)</f>
        <v>0</v>
      </c>
    </row>
    <row r="44" spans="1:13" ht="15.75" x14ac:dyDescent="0.25">
      <c r="A44" s="5">
        <v>0</v>
      </c>
      <c r="B44" s="5">
        <v>1</v>
      </c>
      <c r="C44" s="5">
        <v>3</v>
      </c>
      <c r="D44" s="5">
        <v>825210056</v>
      </c>
      <c r="E44" s="6" t="s">
        <v>18</v>
      </c>
      <c r="F44" s="5" t="str">
        <f>VLOOKUP(D44,J:L,3,FALSE)</f>
        <v>Dr. Dedi Trisnawarman, S.Si., M.Kom.</v>
      </c>
      <c r="G44" s="1">
        <v>0</v>
      </c>
      <c r="H44" s="1">
        <v>1</v>
      </c>
      <c r="I44" s="1">
        <v>3</v>
      </c>
      <c r="J44" s="2">
        <v>825210050</v>
      </c>
      <c r="K44" s="1" t="s">
        <v>18</v>
      </c>
      <c r="L44" s="1" t="s">
        <v>3</v>
      </c>
      <c r="M44" s="9" cm="1">
        <f t="array" ref="M44">IF(AND(A44:C44=G44:I44),IF((F44=L44),1,0),999)</f>
        <v>0</v>
      </c>
    </row>
    <row r="45" spans="1:13" ht="15.75" x14ac:dyDescent="0.25">
      <c r="A45" s="5">
        <v>0</v>
      </c>
      <c r="B45" s="5">
        <v>1</v>
      </c>
      <c r="C45" s="5">
        <v>3</v>
      </c>
      <c r="D45" s="5">
        <v>825210090</v>
      </c>
      <c r="E45" s="6" t="s">
        <v>18</v>
      </c>
      <c r="F45" s="5" t="str">
        <f>VLOOKUP(D45,J:L,3,FALSE)</f>
        <v>Dr. Dedi Trisnawarman, S.Si., M.Kom.</v>
      </c>
      <c r="G45" s="1">
        <v>0</v>
      </c>
      <c r="H45" s="1">
        <v>1</v>
      </c>
      <c r="I45" s="1">
        <v>3</v>
      </c>
      <c r="J45" s="2">
        <v>825210074</v>
      </c>
      <c r="K45" s="1" t="s">
        <v>18</v>
      </c>
      <c r="L45" s="1" t="s">
        <v>3</v>
      </c>
      <c r="M45" s="9" cm="1">
        <f t="array" ref="M45">IF(AND(A45:C45=G45:I45),IF((F45=L45),1,0),999)</f>
        <v>0</v>
      </c>
    </row>
    <row r="46" spans="1:13" ht="15.75" x14ac:dyDescent="0.25">
      <c r="F46" s="5"/>
      <c r="G46" s="1">
        <v>0</v>
      </c>
      <c r="H46" s="1">
        <v>1</v>
      </c>
      <c r="I46" s="1">
        <v>4</v>
      </c>
      <c r="J46" s="2">
        <v>535210018</v>
      </c>
      <c r="K46" s="1" t="s">
        <v>23</v>
      </c>
      <c r="L46" s="1" t="s">
        <v>20</v>
      </c>
      <c r="M46" s="10" t="s">
        <v>39</v>
      </c>
    </row>
    <row r="47" spans="1:13" ht="15.75" x14ac:dyDescent="0.25">
      <c r="F47" s="5"/>
      <c r="G47" s="1">
        <v>0</v>
      </c>
      <c r="H47" s="1">
        <v>1</v>
      </c>
      <c r="I47" s="1">
        <v>4</v>
      </c>
      <c r="J47" s="2">
        <v>535210050</v>
      </c>
      <c r="K47" s="1" t="s">
        <v>18</v>
      </c>
      <c r="L47" s="1" t="s">
        <v>20</v>
      </c>
      <c r="M47" s="10" t="s">
        <v>39</v>
      </c>
    </row>
    <row r="48" spans="1:13" ht="15.75" x14ac:dyDescent="0.25">
      <c r="F48" s="5"/>
      <c r="G48" s="1">
        <v>0</v>
      </c>
      <c r="H48" s="1">
        <v>1</v>
      </c>
      <c r="I48" s="1">
        <v>4</v>
      </c>
      <c r="J48" s="2">
        <v>535210046</v>
      </c>
      <c r="K48" s="1" t="s">
        <v>18</v>
      </c>
      <c r="L48" s="1" t="s">
        <v>20</v>
      </c>
      <c r="M48" s="10" t="s">
        <v>39</v>
      </c>
    </row>
    <row r="49" spans="6:13" ht="15.75" x14ac:dyDescent="0.25">
      <c r="F49" s="5"/>
      <c r="G49" s="1">
        <v>0</v>
      </c>
      <c r="H49" s="1">
        <v>1</v>
      </c>
      <c r="I49" s="1">
        <v>4</v>
      </c>
      <c r="J49" s="2">
        <v>535210114</v>
      </c>
      <c r="K49" s="1" t="s">
        <v>22</v>
      </c>
      <c r="L49" s="1" t="s">
        <v>20</v>
      </c>
      <c r="M49" s="10" t="s">
        <v>39</v>
      </c>
    </row>
    <row r="50" spans="6:13" ht="15.75" x14ac:dyDescent="0.25">
      <c r="F50" s="5"/>
      <c r="G50" s="1">
        <v>0</v>
      </c>
      <c r="H50" s="1">
        <v>1</v>
      </c>
      <c r="I50" s="1">
        <v>5</v>
      </c>
      <c r="J50" s="2">
        <v>535210016</v>
      </c>
      <c r="K50" s="1" t="s">
        <v>22</v>
      </c>
      <c r="L50" s="1" t="s">
        <v>20</v>
      </c>
      <c r="M50" s="10" t="s">
        <v>39</v>
      </c>
    </row>
    <row r="51" spans="6:13" ht="15.75" x14ac:dyDescent="0.25">
      <c r="F51" s="5"/>
      <c r="G51" s="1">
        <v>0</v>
      </c>
      <c r="H51" s="1">
        <v>1</v>
      </c>
      <c r="I51" s="1">
        <v>5</v>
      </c>
      <c r="J51" s="2">
        <v>535210067</v>
      </c>
      <c r="K51" s="1" t="s">
        <v>22</v>
      </c>
      <c r="L51" s="1" t="s">
        <v>20</v>
      </c>
      <c r="M51" s="10" t="s">
        <v>39</v>
      </c>
    </row>
    <row r="52" spans="6:13" ht="15.75" x14ac:dyDescent="0.25">
      <c r="F52" s="5"/>
      <c r="G52" s="1">
        <v>0</v>
      </c>
      <c r="H52" s="1">
        <v>1</v>
      </c>
      <c r="I52" s="1">
        <v>5</v>
      </c>
      <c r="J52" s="2">
        <v>535210059</v>
      </c>
      <c r="K52" s="1" t="s">
        <v>22</v>
      </c>
      <c r="L52" s="1" t="s">
        <v>20</v>
      </c>
      <c r="M52" s="10" t="s">
        <v>39</v>
      </c>
    </row>
    <row r="53" spans="6:13" ht="15.75" x14ac:dyDescent="0.25">
      <c r="F53" s="5"/>
      <c r="G53" s="1">
        <v>0</v>
      </c>
      <c r="H53" s="1">
        <v>1</v>
      </c>
      <c r="I53" s="1">
        <v>5</v>
      </c>
      <c r="J53" s="2">
        <v>535210096</v>
      </c>
      <c r="K53" s="1" t="s">
        <v>22</v>
      </c>
      <c r="L53" s="1" t="s">
        <v>20</v>
      </c>
      <c r="M53" s="10" t="s">
        <v>39</v>
      </c>
    </row>
    <row r="54" spans="6:13" ht="15.75" x14ac:dyDescent="0.25">
      <c r="F54" s="5"/>
      <c r="G54" s="1">
        <v>0</v>
      </c>
      <c r="H54" s="1">
        <v>2</v>
      </c>
      <c r="I54" s="1">
        <v>0</v>
      </c>
      <c r="J54" s="2">
        <v>825210150</v>
      </c>
      <c r="K54" s="1" t="s">
        <v>18</v>
      </c>
      <c r="L54" s="1" t="s">
        <v>2</v>
      </c>
      <c r="M54" s="10" t="s">
        <v>39</v>
      </c>
    </row>
    <row r="55" spans="6:13" ht="15.75" x14ac:dyDescent="0.25">
      <c r="F55" s="5"/>
      <c r="G55" s="1">
        <v>0</v>
      </c>
      <c r="H55" s="1">
        <v>2</v>
      </c>
      <c r="I55" s="1">
        <v>0</v>
      </c>
      <c r="J55" s="2">
        <v>825210087</v>
      </c>
      <c r="K55" s="1" t="s">
        <v>18</v>
      </c>
      <c r="L55" s="1" t="s">
        <v>2</v>
      </c>
      <c r="M55" s="10" t="s">
        <v>39</v>
      </c>
    </row>
    <row r="56" spans="6:13" ht="15.75" x14ac:dyDescent="0.25">
      <c r="F56" s="5"/>
      <c r="G56" s="1">
        <v>0</v>
      </c>
      <c r="H56" s="1">
        <v>2</v>
      </c>
      <c r="I56" s="1">
        <v>0</v>
      </c>
      <c r="J56" s="2">
        <v>825210061</v>
      </c>
      <c r="K56" s="1" t="s">
        <v>18</v>
      </c>
      <c r="L56" s="1" t="s">
        <v>2</v>
      </c>
      <c r="M56" s="10" t="s">
        <v>39</v>
      </c>
    </row>
    <row r="57" spans="6:13" ht="15.75" x14ac:dyDescent="0.25">
      <c r="F57" s="5"/>
      <c r="G57" s="1">
        <v>0</v>
      </c>
      <c r="H57" s="1">
        <v>2</v>
      </c>
      <c r="I57" s="1">
        <v>0</v>
      </c>
      <c r="J57" s="2">
        <v>825210007</v>
      </c>
      <c r="K57" s="1" t="s">
        <v>18</v>
      </c>
      <c r="L57" s="1" t="s">
        <v>2</v>
      </c>
      <c r="M57" s="10" t="s">
        <v>39</v>
      </c>
    </row>
    <row r="58" spans="6:13" ht="15.75" x14ac:dyDescent="0.25">
      <c r="F58" s="5"/>
      <c r="G58" s="1">
        <v>0</v>
      </c>
      <c r="H58" s="1">
        <v>2</v>
      </c>
      <c r="I58" s="1">
        <v>1</v>
      </c>
      <c r="J58" s="2">
        <v>825210056</v>
      </c>
      <c r="K58" s="1" t="s">
        <v>18</v>
      </c>
      <c r="L58" s="1" t="s">
        <v>2</v>
      </c>
      <c r="M58" s="10" t="s">
        <v>39</v>
      </c>
    </row>
    <row r="59" spans="6:13" ht="15.75" x14ac:dyDescent="0.25">
      <c r="F59" s="5"/>
      <c r="G59" s="1">
        <v>0</v>
      </c>
      <c r="H59" s="1">
        <v>2</v>
      </c>
      <c r="I59" s="1">
        <v>1</v>
      </c>
      <c r="J59" s="2">
        <v>825210090</v>
      </c>
      <c r="K59" s="1" t="s">
        <v>18</v>
      </c>
      <c r="L59" s="1" t="s">
        <v>2</v>
      </c>
      <c r="M59" s="10" t="s">
        <v>39</v>
      </c>
    </row>
    <row r="60" spans="6:13" ht="15.75" x14ac:dyDescent="0.25">
      <c r="F60" s="5"/>
      <c r="G60" s="1">
        <v>0</v>
      </c>
      <c r="H60" s="1">
        <v>2</v>
      </c>
      <c r="I60" s="1">
        <v>1</v>
      </c>
      <c r="J60" s="2">
        <v>825210144</v>
      </c>
      <c r="K60" s="1" t="s">
        <v>18</v>
      </c>
      <c r="L60" s="1" t="s">
        <v>2</v>
      </c>
      <c r="M60" s="10" t="s">
        <v>39</v>
      </c>
    </row>
    <row r="61" spans="6:13" ht="15.75" x14ac:dyDescent="0.25">
      <c r="F61" s="5"/>
      <c r="G61" s="1">
        <v>0</v>
      </c>
      <c r="H61" s="1">
        <v>2</v>
      </c>
      <c r="I61" s="1">
        <v>1</v>
      </c>
      <c r="J61" s="2">
        <v>825210118</v>
      </c>
      <c r="K61" s="1" t="s">
        <v>18</v>
      </c>
      <c r="L61" s="1" t="s">
        <v>2</v>
      </c>
      <c r="M61" s="10" t="s">
        <v>39</v>
      </c>
    </row>
    <row r="62" spans="6:13" ht="15.75" x14ac:dyDescent="0.25">
      <c r="F62" s="5"/>
      <c r="G62" s="1">
        <v>0</v>
      </c>
      <c r="H62" s="1">
        <v>2</v>
      </c>
      <c r="I62" s="1">
        <v>2</v>
      </c>
      <c r="J62" s="2">
        <v>535210111</v>
      </c>
      <c r="K62" s="1" t="s">
        <v>18</v>
      </c>
      <c r="L62" s="1" t="s">
        <v>3</v>
      </c>
      <c r="M62" s="10" t="s">
        <v>39</v>
      </c>
    </row>
    <row r="63" spans="6:13" ht="15.75" x14ac:dyDescent="0.25">
      <c r="F63" s="5"/>
      <c r="G63" s="1">
        <v>0</v>
      </c>
      <c r="H63" s="1">
        <v>2</v>
      </c>
      <c r="I63" s="1">
        <v>2</v>
      </c>
      <c r="J63" s="2">
        <v>535210060</v>
      </c>
      <c r="K63" s="1" t="s">
        <v>18</v>
      </c>
      <c r="L63" s="1" t="s">
        <v>3</v>
      </c>
      <c r="M63" s="10" t="s">
        <v>39</v>
      </c>
    </row>
    <row r="64" spans="6:13" ht="15.75" x14ac:dyDescent="0.25">
      <c r="F64" s="5"/>
      <c r="G64" s="1">
        <v>0</v>
      </c>
      <c r="H64" s="1">
        <v>2</v>
      </c>
      <c r="I64" s="1">
        <v>2</v>
      </c>
      <c r="J64" s="2">
        <v>535210101</v>
      </c>
      <c r="K64" s="1" t="s">
        <v>18</v>
      </c>
      <c r="L64" s="1" t="s">
        <v>3</v>
      </c>
      <c r="M64" s="10" t="s">
        <v>39</v>
      </c>
    </row>
    <row r="65" spans="1:13" ht="15.75" x14ac:dyDescent="0.25">
      <c r="F65" s="5"/>
      <c r="G65" s="1">
        <v>0</v>
      </c>
      <c r="H65" s="1">
        <v>2</v>
      </c>
      <c r="I65" s="1">
        <v>2</v>
      </c>
      <c r="J65" s="2">
        <v>535210015</v>
      </c>
      <c r="K65" s="1" t="s">
        <v>18</v>
      </c>
      <c r="L65" s="1" t="s">
        <v>3</v>
      </c>
      <c r="M65" s="10" t="s">
        <v>39</v>
      </c>
    </row>
    <row r="66" spans="1:13" ht="15.75" x14ac:dyDescent="0.25">
      <c r="A66" s="5">
        <v>0</v>
      </c>
      <c r="B66" s="5">
        <v>2</v>
      </c>
      <c r="C66" s="5">
        <v>4</v>
      </c>
      <c r="D66" s="5">
        <v>535210003</v>
      </c>
      <c r="E66" s="6" t="s">
        <v>18</v>
      </c>
      <c r="F66" s="5" t="str">
        <f>VLOOKUP(D66,J:L,3,FALSE)</f>
        <v>Ir. Jeanny Pragantha, M.Eng.</v>
      </c>
      <c r="G66" s="1">
        <v>0</v>
      </c>
      <c r="H66" s="1">
        <v>2</v>
      </c>
      <c r="I66" s="1">
        <v>4</v>
      </c>
      <c r="J66" s="2">
        <v>535210042</v>
      </c>
      <c r="K66" s="1" t="s">
        <v>18</v>
      </c>
      <c r="L66" s="1" t="s">
        <v>3</v>
      </c>
      <c r="M66" s="9" cm="1">
        <f t="array" ref="M66">IF(AND(A66:C66=G66:I66),IF((F66=L66),1,0),999)</f>
        <v>0</v>
      </c>
    </row>
    <row r="67" spans="1:13" ht="15.75" x14ac:dyDescent="0.25">
      <c r="A67" s="5">
        <v>0</v>
      </c>
      <c r="B67" s="5">
        <v>2</v>
      </c>
      <c r="C67" s="5">
        <v>4</v>
      </c>
      <c r="D67" s="5">
        <v>535210005</v>
      </c>
      <c r="E67" s="6" t="s">
        <v>18</v>
      </c>
      <c r="F67" s="5" t="str">
        <f>VLOOKUP(D67,J:L,3,FALSE)</f>
        <v>Ir. Jeanny Pragantha, M.Eng.</v>
      </c>
      <c r="G67" s="1">
        <v>0</v>
      </c>
      <c r="H67" s="1">
        <v>2</v>
      </c>
      <c r="I67" s="1">
        <v>4</v>
      </c>
      <c r="J67" s="2">
        <v>825210066</v>
      </c>
      <c r="K67" s="1" t="s">
        <v>18</v>
      </c>
      <c r="L67" s="1" t="s">
        <v>3</v>
      </c>
      <c r="M67" s="9" cm="1">
        <f t="array" ref="M67">IF(AND(A67:C67=G67:I67),IF((F67=L67),1,0),999)</f>
        <v>0</v>
      </c>
    </row>
    <row r="68" spans="1:13" ht="15.75" x14ac:dyDescent="0.25">
      <c r="A68" s="5">
        <v>0</v>
      </c>
      <c r="B68" s="5">
        <v>2</v>
      </c>
      <c r="C68" s="5">
        <v>4</v>
      </c>
      <c r="D68" s="5">
        <v>535210056</v>
      </c>
      <c r="E68" s="6" t="s">
        <v>18</v>
      </c>
      <c r="F68" s="5" t="str">
        <f>VLOOKUP(D68,J:L,3,FALSE)</f>
        <v>Ir. Jeanny Pragantha, M.Eng.</v>
      </c>
      <c r="G68" s="1">
        <v>0</v>
      </c>
      <c r="H68" s="1">
        <v>2</v>
      </c>
      <c r="I68" s="1">
        <v>4</v>
      </c>
      <c r="J68" s="2">
        <v>825210002</v>
      </c>
      <c r="K68" s="1" t="s">
        <v>18</v>
      </c>
      <c r="L68" s="1" t="s">
        <v>30</v>
      </c>
      <c r="M68" s="9" cm="1">
        <f t="array" ref="M68">IF(AND(A68:C68=G68:I68),IF((F68=L68),1,0),999)</f>
        <v>0</v>
      </c>
    </row>
    <row r="69" spans="1:13" ht="15.75" x14ac:dyDescent="0.25">
      <c r="A69" s="5">
        <v>0</v>
      </c>
      <c r="B69" s="5">
        <v>2</v>
      </c>
      <c r="C69" s="5">
        <v>4</v>
      </c>
      <c r="D69" s="5">
        <v>535210045</v>
      </c>
      <c r="E69" s="6" t="s">
        <v>18</v>
      </c>
      <c r="F69" s="5" t="str">
        <f>VLOOKUP(D69,J:L,3,FALSE)</f>
        <v>Ir. Jeanny Pragantha, M.Eng.</v>
      </c>
      <c r="G69" s="1">
        <v>0</v>
      </c>
      <c r="H69" s="1">
        <v>2</v>
      </c>
      <c r="I69" s="1">
        <v>4</v>
      </c>
      <c r="J69" s="2">
        <v>825210051</v>
      </c>
      <c r="K69" s="1" t="s">
        <v>18</v>
      </c>
      <c r="L69" s="1" t="s">
        <v>30</v>
      </c>
      <c r="M69" s="9" cm="1">
        <f t="array" ref="M69">IF(AND(A69:C69=G69:I69),IF((F69=L69),1,0),999)</f>
        <v>0</v>
      </c>
    </row>
    <row r="70" spans="1:13" ht="15.75" x14ac:dyDescent="0.25">
      <c r="A70" s="5">
        <v>1</v>
      </c>
      <c r="B70" s="5">
        <v>0</v>
      </c>
      <c r="C70" s="5">
        <v>1</v>
      </c>
      <c r="D70" s="5">
        <v>825210066</v>
      </c>
      <c r="E70" s="6" t="s">
        <v>18</v>
      </c>
      <c r="F70" s="5" t="str">
        <f>VLOOKUP(D70,J:L,3,FALSE)</f>
        <v>Tri Sutrisno, S.Si., M.Sc.</v>
      </c>
      <c r="G70" s="1">
        <v>1</v>
      </c>
      <c r="H70" s="1">
        <v>0</v>
      </c>
      <c r="I70" s="1">
        <v>1</v>
      </c>
      <c r="J70" s="2">
        <v>825200038</v>
      </c>
      <c r="K70" s="1" t="s">
        <v>18</v>
      </c>
      <c r="L70" s="1" t="s">
        <v>21</v>
      </c>
      <c r="M70" s="9" cm="1">
        <f t="array" ref="M70">IF(AND(A70:C70=G70:I70),IF((F70=L70),1,0),999)</f>
        <v>0</v>
      </c>
    </row>
    <row r="71" spans="1:13" ht="15.75" x14ac:dyDescent="0.25">
      <c r="A71" s="5">
        <v>1</v>
      </c>
      <c r="B71" s="5">
        <v>0</v>
      </c>
      <c r="C71" s="5">
        <v>1</v>
      </c>
      <c r="D71" s="5">
        <v>825210144</v>
      </c>
      <c r="E71" s="6" t="s">
        <v>18</v>
      </c>
      <c r="F71" s="5" t="str">
        <f>VLOOKUP(D71,J:L,3,FALSE)</f>
        <v>Dr. Dedi Trisnawarman, S.Si., M.Kom.</v>
      </c>
      <c r="G71" s="1">
        <v>1</v>
      </c>
      <c r="H71" s="1">
        <v>0</v>
      </c>
      <c r="I71" s="1">
        <v>1</v>
      </c>
      <c r="J71" s="2">
        <v>825210020</v>
      </c>
      <c r="K71" s="1" t="s">
        <v>18</v>
      </c>
      <c r="L71" s="1" t="s">
        <v>21</v>
      </c>
      <c r="M71" s="9" cm="1">
        <f t="array" ref="M71">IF(AND(A71:C71=G71:I71),IF((F71=L71),1,0),999)</f>
        <v>0</v>
      </c>
    </row>
    <row r="72" spans="1:13" ht="15.75" x14ac:dyDescent="0.25">
      <c r="A72" s="5">
        <v>1</v>
      </c>
      <c r="B72" s="5">
        <v>0</v>
      </c>
      <c r="C72" s="5">
        <v>1</v>
      </c>
      <c r="D72" s="5">
        <v>825210118</v>
      </c>
      <c r="E72" s="6" t="s">
        <v>18</v>
      </c>
      <c r="F72" s="5" t="str">
        <f>VLOOKUP(D72,J:L,3,FALSE)</f>
        <v>Dr. Dedi Trisnawarman, S.Si., M.Kom.</v>
      </c>
      <c r="G72" s="1">
        <v>1</v>
      </c>
      <c r="H72" s="1">
        <v>0</v>
      </c>
      <c r="I72" s="1">
        <v>1</v>
      </c>
      <c r="J72" s="2">
        <v>825210045</v>
      </c>
      <c r="K72" s="1" t="s">
        <v>18</v>
      </c>
      <c r="L72" s="1" t="s">
        <v>21</v>
      </c>
      <c r="M72" s="9" cm="1">
        <f t="array" ref="M72">IF(AND(A72:C72=G72:I72),IF((F72=L72),1,0),999)</f>
        <v>0</v>
      </c>
    </row>
    <row r="73" spans="1:13" ht="15.75" x14ac:dyDescent="0.25">
      <c r="A73" s="5">
        <v>1</v>
      </c>
      <c r="B73" s="5">
        <v>0</v>
      </c>
      <c r="C73" s="5">
        <v>1</v>
      </c>
      <c r="D73" s="5">
        <v>825200038</v>
      </c>
      <c r="E73" s="6" t="s">
        <v>18</v>
      </c>
      <c r="F73" s="5" t="str">
        <f>VLOOKUP(D73,J:L,3,FALSE)</f>
        <v>Irvan Lewenusa, S.Kom., M.Kom.</v>
      </c>
      <c r="G73" s="1">
        <v>1</v>
      </c>
      <c r="H73" s="1">
        <v>0</v>
      </c>
      <c r="I73" s="1">
        <v>1</v>
      </c>
      <c r="J73" s="2">
        <v>825210049</v>
      </c>
      <c r="K73" s="1" t="s">
        <v>18</v>
      </c>
      <c r="L73" s="1" t="s">
        <v>21</v>
      </c>
      <c r="M73" s="9" cm="1">
        <f t="array" ref="M73">IF(AND(A73:C73=G73:I73),IF((F73=L73),1,0),999)</f>
        <v>1</v>
      </c>
    </row>
    <row r="74" spans="1:13" ht="15.75" x14ac:dyDescent="0.25">
      <c r="A74" s="5">
        <v>1</v>
      </c>
      <c r="B74" s="5">
        <v>0</v>
      </c>
      <c r="C74" s="5">
        <v>2</v>
      </c>
      <c r="D74" s="5">
        <v>825210020</v>
      </c>
      <c r="E74" s="6" t="s">
        <v>18</v>
      </c>
      <c r="F74" s="5" t="str">
        <f>VLOOKUP(D74,J:L,3,FALSE)</f>
        <v>Irvan Lewenusa, S.Kom., M.Kom.</v>
      </c>
      <c r="G74" s="1">
        <v>1</v>
      </c>
      <c r="H74" s="1">
        <v>0</v>
      </c>
      <c r="I74" s="1">
        <v>2</v>
      </c>
      <c r="J74" s="2">
        <v>825210077</v>
      </c>
      <c r="K74" s="1" t="s">
        <v>18</v>
      </c>
      <c r="L74" s="1" t="s">
        <v>21</v>
      </c>
      <c r="M74" s="9" cm="1">
        <f t="array" ref="M74">IF(AND(A74:C74=G74:I74),IF((F74=L74),1,0),999)</f>
        <v>1</v>
      </c>
    </row>
    <row r="75" spans="1:13" ht="15.75" x14ac:dyDescent="0.25">
      <c r="A75" s="5">
        <v>1</v>
      </c>
      <c r="B75" s="5">
        <v>0</v>
      </c>
      <c r="C75" s="5">
        <v>2</v>
      </c>
      <c r="D75" s="5">
        <v>825210045</v>
      </c>
      <c r="E75" s="6" t="s">
        <v>18</v>
      </c>
      <c r="F75" s="5" t="str">
        <f>VLOOKUP(D75,J:L,3,FALSE)</f>
        <v>Irvan Lewenusa, S.Kom., M.Kom.</v>
      </c>
      <c r="G75" s="1">
        <v>1</v>
      </c>
      <c r="H75" s="1">
        <v>0</v>
      </c>
      <c r="I75" s="1">
        <v>2</v>
      </c>
      <c r="J75" s="2">
        <v>825210099</v>
      </c>
      <c r="K75" s="1" t="s">
        <v>18</v>
      </c>
      <c r="L75" s="1" t="s">
        <v>21</v>
      </c>
      <c r="M75" s="9" cm="1">
        <f t="array" ref="M75">IF(AND(A75:C75=G75:I75),IF((F75=L75),1,0),999)</f>
        <v>1</v>
      </c>
    </row>
    <row r="76" spans="1:13" ht="15.75" x14ac:dyDescent="0.25">
      <c r="A76" s="5">
        <v>1</v>
      </c>
      <c r="B76" s="5">
        <v>0</v>
      </c>
      <c r="C76" s="5">
        <v>2</v>
      </c>
      <c r="D76" s="5">
        <v>825210049</v>
      </c>
      <c r="E76" s="6" t="s">
        <v>18</v>
      </c>
      <c r="F76" s="5" t="str">
        <f>VLOOKUP(D76,J:L,3,FALSE)</f>
        <v>Irvan Lewenusa, S.Kom., M.Kom.</v>
      </c>
      <c r="G76" s="1">
        <v>1</v>
      </c>
      <c r="H76" s="1">
        <v>0</v>
      </c>
      <c r="I76" s="1">
        <v>2</v>
      </c>
      <c r="J76" s="2">
        <v>825210127</v>
      </c>
      <c r="K76" s="1" t="s">
        <v>18</v>
      </c>
      <c r="L76" s="1" t="s">
        <v>21</v>
      </c>
      <c r="M76" s="9" cm="1">
        <f t="array" ref="M76">IF(AND(A76:C76=G76:I76),IF((F76=L76),1,0),999)</f>
        <v>1</v>
      </c>
    </row>
    <row r="77" spans="1:13" ht="15.75" x14ac:dyDescent="0.25">
      <c r="A77" s="5">
        <v>1</v>
      </c>
      <c r="B77" s="5">
        <v>0</v>
      </c>
      <c r="C77" s="5">
        <v>2</v>
      </c>
      <c r="D77" s="5">
        <v>825210077</v>
      </c>
      <c r="E77" s="6" t="s">
        <v>18</v>
      </c>
      <c r="F77" s="5" t="str">
        <f>VLOOKUP(D77,J:L,3,FALSE)</f>
        <v>Irvan Lewenusa, S.Kom., M.Kom.</v>
      </c>
      <c r="G77" s="1">
        <v>1</v>
      </c>
      <c r="H77" s="1">
        <v>0</v>
      </c>
      <c r="I77" s="1">
        <v>2</v>
      </c>
      <c r="J77" s="2">
        <v>825210120</v>
      </c>
      <c r="K77" s="1" t="s">
        <v>18</v>
      </c>
      <c r="L77" s="1" t="s">
        <v>21</v>
      </c>
      <c r="M77" s="9" cm="1">
        <f t="array" ref="M77">IF(AND(A77:C77=G77:I77),IF((F77=L77),1,0),999)</f>
        <v>1</v>
      </c>
    </row>
    <row r="78" spans="1:13" ht="15.75" x14ac:dyDescent="0.25">
      <c r="A78" s="5">
        <v>1</v>
      </c>
      <c r="B78" s="5">
        <v>0</v>
      </c>
      <c r="C78" s="5">
        <v>3</v>
      </c>
      <c r="D78" s="5">
        <v>825210099</v>
      </c>
      <c r="E78" s="6" t="s">
        <v>18</v>
      </c>
      <c r="F78" s="5" t="str">
        <f>VLOOKUP(D78,J:L,3,FALSE)</f>
        <v>Irvan Lewenusa, S.Kom., M.Kom.</v>
      </c>
      <c r="G78" s="1">
        <v>1</v>
      </c>
      <c r="H78" s="1">
        <v>0</v>
      </c>
      <c r="I78" s="1">
        <v>3</v>
      </c>
      <c r="J78" s="2">
        <v>825210035</v>
      </c>
      <c r="K78" s="1" t="s">
        <v>18</v>
      </c>
      <c r="L78" s="1" t="s">
        <v>21</v>
      </c>
      <c r="M78" s="9" cm="1">
        <f t="array" ref="M78">IF(AND(A78:C78=G78:I78),IF((F78=L78),1,0),999)</f>
        <v>1</v>
      </c>
    </row>
    <row r="79" spans="1:13" ht="15.75" x14ac:dyDescent="0.25">
      <c r="A79" s="5">
        <v>1</v>
      </c>
      <c r="B79" s="5">
        <v>0</v>
      </c>
      <c r="C79" s="5">
        <v>3</v>
      </c>
      <c r="D79" s="5">
        <v>825210127</v>
      </c>
      <c r="E79" s="6" t="s">
        <v>18</v>
      </c>
      <c r="F79" s="5" t="str">
        <f>VLOOKUP(D79,J:L,3,FALSE)</f>
        <v>Irvan Lewenusa, S.Kom., M.Kom.</v>
      </c>
      <c r="G79" s="1">
        <v>1</v>
      </c>
      <c r="H79" s="1">
        <v>0</v>
      </c>
      <c r="I79" s="1">
        <v>3</v>
      </c>
      <c r="J79" s="2">
        <v>825210013</v>
      </c>
      <c r="K79" s="1" t="s">
        <v>18</v>
      </c>
      <c r="L79" s="1" t="s">
        <v>21</v>
      </c>
      <c r="M79" s="9" cm="1">
        <f t="array" ref="M79">IF(AND(A79:C79=G79:I79),IF((F79=L79),1,0),999)</f>
        <v>1</v>
      </c>
    </row>
    <row r="80" spans="1:13" ht="15.75" x14ac:dyDescent="0.25">
      <c r="A80" s="5">
        <v>1</v>
      </c>
      <c r="B80" s="5">
        <v>0</v>
      </c>
      <c r="C80" s="5">
        <v>3</v>
      </c>
      <c r="D80" s="5">
        <v>825210120</v>
      </c>
      <c r="E80" s="6" t="s">
        <v>18</v>
      </c>
      <c r="F80" s="5" t="str">
        <f>VLOOKUP(D80,J:L,3,FALSE)</f>
        <v>Irvan Lewenusa, S.Kom., M.Kom.</v>
      </c>
      <c r="G80" s="1">
        <v>1</v>
      </c>
      <c r="H80" s="1">
        <v>0</v>
      </c>
      <c r="I80" s="1">
        <v>3</v>
      </c>
      <c r="J80" s="2">
        <v>535210097</v>
      </c>
      <c r="K80" s="1" t="s">
        <v>18</v>
      </c>
      <c r="L80" s="1" t="s">
        <v>24</v>
      </c>
      <c r="M80" s="9" cm="1">
        <f t="array" ref="M80">IF(AND(A80:C80=G80:I80),IF((F80=L80),1,0),999)</f>
        <v>0</v>
      </c>
    </row>
    <row r="81" spans="1:13" ht="15.75" x14ac:dyDescent="0.25">
      <c r="A81" s="5">
        <v>1</v>
      </c>
      <c r="B81" s="5">
        <v>0</v>
      </c>
      <c r="C81" s="5">
        <v>3</v>
      </c>
      <c r="D81" s="5">
        <v>825210035</v>
      </c>
      <c r="E81" s="6" t="s">
        <v>18</v>
      </c>
      <c r="F81" s="5" t="str">
        <f>VLOOKUP(D81,J:L,3,FALSE)</f>
        <v>Irvan Lewenusa, S.Kom., M.Kom.</v>
      </c>
      <c r="G81" s="1">
        <v>1</v>
      </c>
      <c r="H81" s="1">
        <v>0</v>
      </c>
      <c r="I81" s="1">
        <v>3</v>
      </c>
      <c r="J81" s="2">
        <v>535210090</v>
      </c>
      <c r="K81" s="1" t="s">
        <v>18</v>
      </c>
      <c r="L81" s="1" t="s">
        <v>24</v>
      </c>
      <c r="M81" s="9" cm="1">
        <f t="array" ref="M81">IF(AND(A81:C81=G81:I81),IF((F81=L81),1,0),999)</f>
        <v>0</v>
      </c>
    </row>
    <row r="82" spans="1:13" ht="15.75" x14ac:dyDescent="0.25">
      <c r="A82" s="5">
        <v>1</v>
      </c>
      <c r="B82" s="5">
        <v>1</v>
      </c>
      <c r="C82" s="5">
        <v>1</v>
      </c>
      <c r="D82" s="5">
        <v>535210114</v>
      </c>
      <c r="E82" s="6" t="s">
        <v>22</v>
      </c>
      <c r="F82" s="5" t="str">
        <f>VLOOKUP(D82,J:L,3,FALSE)</f>
        <v>Darius Andana Haris, S.Kom., MTI</v>
      </c>
      <c r="G82" s="1">
        <v>1</v>
      </c>
      <c r="H82" s="1">
        <v>1</v>
      </c>
      <c r="I82" s="1">
        <v>1</v>
      </c>
      <c r="J82" s="2">
        <v>535210106</v>
      </c>
      <c r="K82" s="1" t="s">
        <v>18</v>
      </c>
      <c r="L82" s="1" t="s">
        <v>24</v>
      </c>
      <c r="M82" s="9" cm="1">
        <f t="array" ref="M82">IF(AND(A82:C82=G82:I82),IF((F82=L82),1,0),999)</f>
        <v>0</v>
      </c>
    </row>
    <row r="83" spans="1:13" ht="15.75" x14ac:dyDescent="0.25">
      <c r="A83" s="5">
        <v>1</v>
      </c>
      <c r="B83" s="5">
        <v>1</v>
      </c>
      <c r="C83" s="5">
        <v>1</v>
      </c>
      <c r="D83" s="5">
        <v>535210016</v>
      </c>
      <c r="E83" s="6" t="s">
        <v>22</v>
      </c>
      <c r="F83" s="5" t="str">
        <f>VLOOKUP(D83,J:L,3,FALSE)</f>
        <v>Darius Andana Haris, S.Kom., MTI</v>
      </c>
      <c r="G83" s="1">
        <v>1</v>
      </c>
      <c r="H83" s="1">
        <v>1</v>
      </c>
      <c r="I83" s="1">
        <v>1</v>
      </c>
      <c r="J83" s="2">
        <v>535210074</v>
      </c>
      <c r="K83" s="1" t="s">
        <v>18</v>
      </c>
      <c r="L83" s="1" t="s">
        <v>24</v>
      </c>
      <c r="M83" s="9" cm="1">
        <f t="array" ref="M83">IF(AND(A83:C83=G83:I83),IF((F83=L83),1,0),999)</f>
        <v>0</v>
      </c>
    </row>
    <row r="84" spans="1:13" ht="15.75" x14ac:dyDescent="0.25">
      <c r="A84" s="5">
        <v>1</v>
      </c>
      <c r="B84" s="5">
        <v>1</v>
      </c>
      <c r="C84" s="5">
        <v>1</v>
      </c>
      <c r="D84" s="5">
        <v>535210067</v>
      </c>
      <c r="E84" s="6" t="s">
        <v>22</v>
      </c>
      <c r="F84" s="5" t="str">
        <f>VLOOKUP(D84,J:L,3,FALSE)</f>
        <v>Darius Andana Haris, S.Kom., MTI</v>
      </c>
      <c r="G84" s="1">
        <v>1</v>
      </c>
      <c r="H84" s="1">
        <v>1</v>
      </c>
      <c r="I84" s="1">
        <v>1</v>
      </c>
      <c r="J84" s="2">
        <v>535210070</v>
      </c>
      <c r="K84" s="1" t="s">
        <v>18</v>
      </c>
      <c r="L84" s="1" t="s">
        <v>24</v>
      </c>
      <c r="M84" s="9" cm="1">
        <f t="array" ref="M84">IF(AND(A84:C84=G84:I84),IF((F84=L84),1,0),999)</f>
        <v>0</v>
      </c>
    </row>
    <row r="85" spans="1:13" ht="15.75" x14ac:dyDescent="0.25">
      <c r="A85" s="5">
        <v>1</v>
      </c>
      <c r="B85" s="5">
        <v>1</v>
      </c>
      <c r="C85" s="5">
        <v>1</v>
      </c>
      <c r="D85" s="5">
        <v>535210059</v>
      </c>
      <c r="E85" s="6" t="s">
        <v>22</v>
      </c>
      <c r="F85" s="5" t="str">
        <f>VLOOKUP(D85,J:L,3,FALSE)</f>
        <v>Darius Andana Haris, S.Kom., MTI</v>
      </c>
      <c r="G85" s="1">
        <v>1</v>
      </c>
      <c r="H85" s="1">
        <v>1</v>
      </c>
      <c r="I85" s="1">
        <v>1</v>
      </c>
      <c r="J85" s="2">
        <v>535210014</v>
      </c>
      <c r="K85" s="1" t="s">
        <v>18</v>
      </c>
      <c r="L85" s="1" t="s">
        <v>24</v>
      </c>
      <c r="M85" s="9" cm="1">
        <f t="array" ref="M85">IF(AND(A85:C85=G85:I85),IF((F85=L85),1,0),999)</f>
        <v>0</v>
      </c>
    </row>
    <row r="86" spans="1:13" ht="15.75" x14ac:dyDescent="0.25">
      <c r="A86" s="5">
        <v>1</v>
      </c>
      <c r="B86" s="5">
        <v>1</v>
      </c>
      <c r="C86" s="5">
        <v>2</v>
      </c>
      <c r="D86" s="5">
        <v>535210018</v>
      </c>
      <c r="E86" s="6" t="s">
        <v>23</v>
      </c>
      <c r="F86" s="5" t="str">
        <f>VLOOKUP(D86,J:L,3,FALSE)</f>
        <v>Darius Andana Haris, S.Kom., MTI</v>
      </c>
      <c r="G86" s="1">
        <v>1</v>
      </c>
      <c r="H86" s="1">
        <v>1</v>
      </c>
      <c r="I86" s="1">
        <v>2</v>
      </c>
      <c r="J86" s="2">
        <v>535210066</v>
      </c>
      <c r="K86" s="1" t="s">
        <v>18</v>
      </c>
      <c r="L86" s="1" t="s">
        <v>24</v>
      </c>
      <c r="M86" s="9" cm="1">
        <f t="array" ref="M86">IF(AND(A86:C86=G86:I86),IF((F86=L86),1,0),999)</f>
        <v>0</v>
      </c>
    </row>
    <row r="87" spans="1:13" ht="15.75" x14ac:dyDescent="0.25">
      <c r="A87" s="5">
        <v>1</v>
      </c>
      <c r="B87" s="5">
        <v>1</v>
      </c>
      <c r="C87" s="5">
        <v>2</v>
      </c>
      <c r="D87" s="5">
        <v>535210096</v>
      </c>
      <c r="E87" s="6" t="s">
        <v>22</v>
      </c>
      <c r="F87" s="5" t="str">
        <f>VLOOKUP(D87,J:L,3,FALSE)</f>
        <v>Darius Andana Haris, S.Kom., MTI</v>
      </c>
      <c r="G87" s="1">
        <v>1</v>
      </c>
      <c r="H87" s="1">
        <v>1</v>
      </c>
      <c r="I87" s="1">
        <v>2</v>
      </c>
      <c r="J87" s="2">
        <v>535210082</v>
      </c>
      <c r="K87" s="1" t="s">
        <v>18</v>
      </c>
      <c r="L87" s="1" t="s">
        <v>24</v>
      </c>
      <c r="M87" s="9" cm="1">
        <f t="array" ref="M87">IF(AND(A87:C87=G87:I87),IF((F87=L87),1,0),999)</f>
        <v>0</v>
      </c>
    </row>
    <row r="88" spans="1:13" ht="15.75" x14ac:dyDescent="0.25">
      <c r="A88" s="5">
        <v>1</v>
      </c>
      <c r="B88" s="5">
        <v>1</v>
      </c>
      <c r="C88" s="5">
        <v>2</v>
      </c>
      <c r="D88" s="5">
        <v>535210107</v>
      </c>
      <c r="E88" s="6" t="s">
        <v>22</v>
      </c>
      <c r="F88" s="5" t="str">
        <f>VLOOKUP(D88,J:L,3,FALSE)</f>
        <v>Darius Andana Haris, S.Kom., MTI</v>
      </c>
      <c r="G88" s="1">
        <v>1</v>
      </c>
      <c r="H88" s="1">
        <v>1</v>
      </c>
      <c r="I88" s="1">
        <v>2</v>
      </c>
      <c r="J88" s="2">
        <v>535210078</v>
      </c>
      <c r="K88" s="1" t="s">
        <v>18</v>
      </c>
      <c r="L88" s="1" t="s">
        <v>24</v>
      </c>
      <c r="M88" s="9" cm="1">
        <f t="array" ref="M88">IF(AND(A88:C88=G88:I88),IF((F88=L88),1,0),999)</f>
        <v>0</v>
      </c>
    </row>
    <row r="89" spans="1:13" ht="15.75" x14ac:dyDescent="0.25">
      <c r="A89" s="5">
        <v>1</v>
      </c>
      <c r="B89" s="5">
        <v>1</v>
      </c>
      <c r="C89" s="5">
        <v>2</v>
      </c>
      <c r="D89" s="5">
        <v>825210065</v>
      </c>
      <c r="E89" s="6" t="s">
        <v>22</v>
      </c>
      <c r="F89" s="5" t="str">
        <f>VLOOKUP(D89,J:L,3,FALSE)</f>
        <v>Darius Andana Haris, S.Kom., MTI</v>
      </c>
      <c r="G89" s="1">
        <v>1</v>
      </c>
      <c r="H89" s="1">
        <v>1</v>
      </c>
      <c r="I89" s="1">
        <v>2</v>
      </c>
      <c r="J89" s="2">
        <v>535210025</v>
      </c>
      <c r="K89" s="1" t="s">
        <v>18</v>
      </c>
      <c r="L89" s="1" t="s">
        <v>24</v>
      </c>
      <c r="M89" s="9" cm="1">
        <f t="array" ref="M89">IF(AND(A89:C89=G89:I89),IF((F89=L89),1,0),999)</f>
        <v>0</v>
      </c>
    </row>
    <row r="90" spans="1:13" ht="15.75" x14ac:dyDescent="0.25">
      <c r="A90" s="5">
        <v>1</v>
      </c>
      <c r="B90" s="5">
        <v>1</v>
      </c>
      <c r="C90" s="5">
        <v>3</v>
      </c>
      <c r="D90" s="5">
        <v>535210106</v>
      </c>
      <c r="E90" s="6" t="s">
        <v>18</v>
      </c>
      <c r="F90" s="5" t="str">
        <f>VLOOKUP(D90,J:L,3,FALSE)</f>
        <v>Viny Christanti Mawardi, S.Kom., M.Kom.</v>
      </c>
      <c r="G90" s="1">
        <v>1</v>
      </c>
      <c r="H90" s="1">
        <v>1</v>
      </c>
      <c r="I90" s="1">
        <v>3</v>
      </c>
      <c r="J90" s="2">
        <v>535210085</v>
      </c>
      <c r="K90" s="1" t="s">
        <v>31</v>
      </c>
      <c r="L90" s="1" t="s">
        <v>25</v>
      </c>
      <c r="M90" s="9" cm="1">
        <f t="array" ref="M90">IF(AND(A90:C90=G90:I90),IF((F90=L90),1,0),999)</f>
        <v>0</v>
      </c>
    </row>
    <row r="91" spans="1:13" ht="15.75" x14ac:dyDescent="0.25">
      <c r="A91" s="5">
        <v>1</v>
      </c>
      <c r="B91" s="5">
        <v>1</v>
      </c>
      <c r="C91" s="5">
        <v>3</v>
      </c>
      <c r="D91" s="5">
        <v>535210074</v>
      </c>
      <c r="E91" s="6" t="s">
        <v>18</v>
      </c>
      <c r="F91" s="5" t="str">
        <f>VLOOKUP(D91,J:L,3,FALSE)</f>
        <v>Viny Christanti Mawardi, S.Kom., M.Kom.</v>
      </c>
      <c r="G91" s="1">
        <v>1</v>
      </c>
      <c r="H91" s="1">
        <v>1</v>
      </c>
      <c r="I91" s="1">
        <v>3</v>
      </c>
      <c r="J91" s="2">
        <v>535200087</v>
      </c>
      <c r="K91" s="1" t="s">
        <v>31</v>
      </c>
      <c r="L91" s="1" t="s">
        <v>25</v>
      </c>
      <c r="M91" s="9" cm="1">
        <f t="array" ref="M91">IF(AND(A91:C91=G91:I91),IF((F91=L91),1,0),999)</f>
        <v>0</v>
      </c>
    </row>
    <row r="92" spans="1:13" ht="15.75" x14ac:dyDescent="0.25">
      <c r="A92" s="5">
        <v>1</v>
      </c>
      <c r="B92" s="5">
        <v>1</v>
      </c>
      <c r="C92" s="5">
        <v>3</v>
      </c>
      <c r="D92" s="5">
        <v>535210070</v>
      </c>
      <c r="E92" s="6" t="s">
        <v>18</v>
      </c>
      <c r="F92" s="5" t="str">
        <f>VLOOKUP(D92,J:L,3,FALSE)</f>
        <v>Viny Christanti Mawardi, S.Kom., M.Kom.</v>
      </c>
      <c r="G92" s="1">
        <v>1</v>
      </c>
      <c r="H92" s="1">
        <v>1</v>
      </c>
      <c r="I92" s="1">
        <v>3</v>
      </c>
      <c r="J92" s="2">
        <v>825210096</v>
      </c>
      <c r="K92" s="1" t="s">
        <v>31</v>
      </c>
      <c r="L92" s="1" t="s">
        <v>25</v>
      </c>
      <c r="M92" s="9" cm="1">
        <f t="array" ref="M92">IF(AND(A92:C92=G92:I92),IF((F92=L92),1,0),999)</f>
        <v>0</v>
      </c>
    </row>
    <row r="93" spans="1:13" ht="15.75" x14ac:dyDescent="0.25">
      <c r="F93" s="5"/>
      <c r="G93" s="1">
        <v>1</v>
      </c>
      <c r="H93" s="1">
        <v>2</v>
      </c>
      <c r="I93" s="1">
        <v>1</v>
      </c>
      <c r="J93" s="2">
        <v>825190098</v>
      </c>
      <c r="K93" s="1" t="s">
        <v>18</v>
      </c>
      <c r="L93" s="1" t="s">
        <v>25</v>
      </c>
      <c r="M93" s="10" t="s">
        <v>39</v>
      </c>
    </row>
    <row r="94" spans="1:13" ht="15.75" x14ac:dyDescent="0.25">
      <c r="F94" s="5"/>
      <c r="G94" s="1">
        <v>1</v>
      </c>
      <c r="H94" s="1">
        <v>2</v>
      </c>
      <c r="I94" s="1">
        <v>1</v>
      </c>
      <c r="J94" s="2">
        <v>825210132</v>
      </c>
      <c r="K94" s="1" t="s">
        <v>18</v>
      </c>
      <c r="L94" s="1" t="s">
        <v>25</v>
      </c>
      <c r="M94" s="10" t="s">
        <v>39</v>
      </c>
    </row>
    <row r="95" spans="1:13" ht="15.75" x14ac:dyDescent="0.25">
      <c r="F95" s="5"/>
      <c r="G95" s="1">
        <v>1</v>
      </c>
      <c r="H95" s="1">
        <v>2</v>
      </c>
      <c r="I95" s="1">
        <v>1</v>
      </c>
      <c r="J95" s="2">
        <v>825210041</v>
      </c>
      <c r="K95" s="1" t="s">
        <v>18</v>
      </c>
      <c r="L95" s="1" t="s">
        <v>25</v>
      </c>
      <c r="M95" s="10" t="s">
        <v>39</v>
      </c>
    </row>
    <row r="96" spans="1:13" ht="15.75" x14ac:dyDescent="0.25">
      <c r="F96" s="5"/>
      <c r="G96" s="1">
        <v>1</v>
      </c>
      <c r="H96" s="1">
        <v>2</v>
      </c>
      <c r="I96" s="1">
        <v>1</v>
      </c>
      <c r="J96" s="2">
        <v>825210069</v>
      </c>
      <c r="K96" s="1" t="s">
        <v>18</v>
      </c>
      <c r="L96" s="1" t="s">
        <v>25</v>
      </c>
      <c r="M96" s="10" t="s">
        <v>39</v>
      </c>
    </row>
    <row r="97" spans="1:13" ht="15.75" x14ac:dyDescent="0.25">
      <c r="F97" s="5"/>
      <c r="G97" s="1">
        <v>1</v>
      </c>
      <c r="H97" s="1">
        <v>2</v>
      </c>
      <c r="I97" s="1">
        <v>2</v>
      </c>
      <c r="J97" s="2">
        <v>825210086</v>
      </c>
      <c r="K97" s="1" t="s">
        <v>18</v>
      </c>
      <c r="L97" s="1" t="s">
        <v>25</v>
      </c>
      <c r="M97" s="10" t="s">
        <v>39</v>
      </c>
    </row>
    <row r="98" spans="1:13" ht="15.75" x14ac:dyDescent="0.25">
      <c r="F98" s="5"/>
      <c r="G98" s="1">
        <v>1</v>
      </c>
      <c r="H98" s="1">
        <v>2</v>
      </c>
      <c r="I98" s="1">
        <v>2</v>
      </c>
      <c r="J98" s="2">
        <v>825210093</v>
      </c>
      <c r="K98" s="1" t="s">
        <v>18</v>
      </c>
      <c r="L98" s="1" t="s">
        <v>25</v>
      </c>
      <c r="M98" s="10" t="s">
        <v>39</v>
      </c>
    </row>
    <row r="99" spans="1:13" ht="15.75" x14ac:dyDescent="0.25">
      <c r="F99" s="5"/>
      <c r="G99" s="1">
        <v>1</v>
      </c>
      <c r="H99" s="1">
        <v>2</v>
      </c>
      <c r="I99" s="1">
        <v>2</v>
      </c>
      <c r="J99" s="2">
        <v>825210078</v>
      </c>
      <c r="K99" s="1" t="s">
        <v>18</v>
      </c>
      <c r="L99" s="1" t="s">
        <v>25</v>
      </c>
      <c r="M99" s="10" t="s">
        <v>39</v>
      </c>
    </row>
    <row r="100" spans="1:13" ht="15.75" x14ac:dyDescent="0.25">
      <c r="F100" s="5"/>
      <c r="G100" s="1">
        <v>1</v>
      </c>
      <c r="H100" s="1">
        <v>2</v>
      </c>
      <c r="I100" s="1">
        <v>2</v>
      </c>
      <c r="J100" s="2">
        <v>825210101</v>
      </c>
      <c r="K100" s="1" t="s">
        <v>18</v>
      </c>
      <c r="L100" s="1" t="s">
        <v>25</v>
      </c>
      <c r="M100" s="10" t="s">
        <v>39</v>
      </c>
    </row>
    <row r="101" spans="1:13" ht="15.75" x14ac:dyDescent="0.25">
      <c r="A101" s="5">
        <v>2</v>
      </c>
      <c r="B101" s="5">
        <v>0</v>
      </c>
      <c r="C101" s="5">
        <v>3</v>
      </c>
      <c r="D101" s="5">
        <v>535210024</v>
      </c>
      <c r="E101" s="6" t="s">
        <v>18</v>
      </c>
      <c r="F101" s="5" t="str">
        <f>VLOOKUP(D101,J:L,3,FALSE)</f>
        <v>Prof. Lina, ST, M.Kom., Ph.D.</v>
      </c>
      <c r="G101" s="1">
        <v>2</v>
      </c>
      <c r="H101" s="1">
        <v>0</v>
      </c>
      <c r="I101" s="1">
        <v>3</v>
      </c>
      <c r="J101" s="2">
        <v>825210006</v>
      </c>
      <c r="K101" s="1" t="s">
        <v>18</v>
      </c>
      <c r="L101" s="1" t="s">
        <v>26</v>
      </c>
      <c r="M101" s="9" cm="1">
        <f t="array" ref="M101">IF(AND(A101:C101=G101:I101),IF((F101=L101),1,0),999)</f>
        <v>0</v>
      </c>
    </row>
    <row r="102" spans="1:13" ht="15.75" x14ac:dyDescent="0.25">
      <c r="A102" s="5">
        <v>2</v>
      </c>
      <c r="B102" s="5">
        <v>0</v>
      </c>
      <c r="C102" s="5">
        <v>3</v>
      </c>
      <c r="D102" s="5">
        <v>535210012</v>
      </c>
      <c r="E102" s="6" t="s">
        <v>18</v>
      </c>
      <c r="F102" s="5" t="str">
        <f>VLOOKUP(D102,J:L,3,FALSE)</f>
        <v>Prof. Lina, ST, M.Kom., Ph.D.</v>
      </c>
      <c r="G102" s="1">
        <v>2</v>
      </c>
      <c r="H102" s="1">
        <v>0</v>
      </c>
      <c r="I102" s="1">
        <v>3</v>
      </c>
      <c r="J102" s="2">
        <v>825210029</v>
      </c>
      <c r="K102" s="1" t="s">
        <v>18</v>
      </c>
      <c r="L102" s="1" t="s">
        <v>26</v>
      </c>
      <c r="M102" s="9" cm="1">
        <f t="array" ref="M102">IF(AND(A102:C102=G102:I102),IF((F102=L102),1,0),999)</f>
        <v>0</v>
      </c>
    </row>
    <row r="103" spans="1:13" ht="15.75" x14ac:dyDescent="0.25">
      <c r="A103" s="5">
        <v>2</v>
      </c>
      <c r="B103" s="5">
        <v>0</v>
      </c>
      <c r="C103" s="5">
        <v>3</v>
      </c>
      <c r="D103" s="5">
        <v>535210035</v>
      </c>
      <c r="E103" s="6" t="s">
        <v>18</v>
      </c>
      <c r="F103" s="5" t="str">
        <f>VLOOKUP(D103,J:L,3,FALSE)</f>
        <v>Prof. Lina, ST, M.Kom., Ph.D.</v>
      </c>
      <c r="G103" s="1">
        <v>2</v>
      </c>
      <c r="H103" s="1">
        <v>0</v>
      </c>
      <c r="I103" s="1">
        <v>3</v>
      </c>
      <c r="J103" s="2">
        <v>825210064</v>
      </c>
      <c r="K103" s="1" t="s">
        <v>18</v>
      </c>
      <c r="L103" s="1" t="s">
        <v>26</v>
      </c>
      <c r="M103" s="9" cm="1">
        <f t="array" ref="M103">IF(AND(A103:C103=G103:I103),IF((F103=L103),1,0),999)</f>
        <v>0</v>
      </c>
    </row>
    <row r="104" spans="1:13" ht="15.75" x14ac:dyDescent="0.25">
      <c r="A104" s="5">
        <v>2</v>
      </c>
      <c r="B104" s="5">
        <v>0</v>
      </c>
      <c r="C104" s="5">
        <v>3</v>
      </c>
      <c r="D104" s="5">
        <v>825200111</v>
      </c>
      <c r="E104" s="6" t="s">
        <v>18</v>
      </c>
      <c r="F104" s="5" t="str">
        <f>VLOOKUP(D104,J:L,3,FALSE)</f>
        <v>Bagus Mulyawan, S.Kom., MM</v>
      </c>
      <c r="G104" s="1">
        <v>2</v>
      </c>
      <c r="H104" s="1">
        <v>0</v>
      </c>
      <c r="I104" s="1">
        <v>3</v>
      </c>
      <c r="J104" s="2">
        <v>825210145</v>
      </c>
      <c r="K104" s="1" t="s">
        <v>18</v>
      </c>
      <c r="L104" s="1" t="s">
        <v>26</v>
      </c>
      <c r="M104" s="9" cm="1">
        <f t="array" ref="M104">IF(AND(A104:C104=G104:I104),IF((F104=L104),1,0),999)</f>
        <v>1</v>
      </c>
    </row>
    <row r="105" spans="1:13" ht="15.75" x14ac:dyDescent="0.25">
      <c r="A105" s="5">
        <v>2</v>
      </c>
      <c r="B105" s="5">
        <v>0</v>
      </c>
      <c r="C105" s="5">
        <v>4</v>
      </c>
      <c r="D105" s="5">
        <v>535210034</v>
      </c>
      <c r="E105" s="6" t="s">
        <v>18</v>
      </c>
      <c r="F105" s="5" t="str">
        <f>VLOOKUP(D105,J:L,3,FALSE)</f>
        <v>Prof. Dr. Ir. Dyah Erny Herwindiati, M.Si.</v>
      </c>
      <c r="G105" s="1">
        <v>2</v>
      </c>
      <c r="H105" s="1">
        <v>0</v>
      </c>
      <c r="I105" s="1">
        <v>4</v>
      </c>
      <c r="J105" s="2">
        <v>825210135</v>
      </c>
      <c r="K105" s="1" t="s">
        <v>18</v>
      </c>
      <c r="L105" s="1" t="s">
        <v>26</v>
      </c>
      <c r="M105" s="9" cm="1">
        <f t="array" ref="M105">IF(AND(A105:C105=G105:I105),IF((F105=L105),1,0),999)</f>
        <v>0</v>
      </c>
    </row>
    <row r="106" spans="1:13" ht="15.75" x14ac:dyDescent="0.25">
      <c r="A106" s="5">
        <v>2</v>
      </c>
      <c r="B106" s="5">
        <v>0</v>
      </c>
      <c r="C106" s="5">
        <v>4</v>
      </c>
      <c r="D106" s="5">
        <v>535210033</v>
      </c>
      <c r="E106" s="6" t="s">
        <v>18</v>
      </c>
      <c r="F106" s="5" t="str">
        <f>VLOOKUP(D106,J:L,3,FALSE)</f>
        <v>Prof. Dr. Ir. Dyah Erny Herwindiati, M.Si.</v>
      </c>
      <c r="G106" s="1">
        <v>2</v>
      </c>
      <c r="H106" s="1">
        <v>0</v>
      </c>
      <c r="I106" s="1">
        <v>4</v>
      </c>
      <c r="J106" s="2">
        <v>825210114</v>
      </c>
      <c r="K106" s="1" t="s">
        <v>18</v>
      </c>
      <c r="L106" s="1" t="s">
        <v>26</v>
      </c>
      <c r="M106" s="9" cm="1">
        <f t="array" ref="M106">IF(AND(A106:C106=G106:I106),IF((F106=L106),1,0),999)</f>
        <v>0</v>
      </c>
    </row>
    <row r="107" spans="1:13" ht="15.75" x14ac:dyDescent="0.25">
      <c r="A107" s="5">
        <v>2</v>
      </c>
      <c r="B107" s="5">
        <v>0</v>
      </c>
      <c r="C107" s="5">
        <v>4</v>
      </c>
      <c r="D107" s="5">
        <v>535210040</v>
      </c>
      <c r="E107" s="6" t="s">
        <v>18</v>
      </c>
      <c r="F107" s="5" t="str">
        <f>VLOOKUP(D107,J:L,3,FALSE)</f>
        <v>Prof. Dr. Ir. Dyah Erny Herwindiati, M.Si.</v>
      </c>
      <c r="G107" s="1">
        <v>2</v>
      </c>
      <c r="H107" s="1">
        <v>0</v>
      </c>
      <c r="I107" s="1">
        <v>4</v>
      </c>
      <c r="J107" s="2">
        <v>825210109</v>
      </c>
      <c r="K107" s="1" t="s">
        <v>18</v>
      </c>
      <c r="L107" s="1" t="s">
        <v>26</v>
      </c>
      <c r="M107" s="9" cm="1">
        <f t="array" ref="M107">IF(AND(A107:C107=G107:I107),IF((F107=L107),1,0),999)</f>
        <v>0</v>
      </c>
    </row>
    <row r="108" spans="1:13" ht="15.75" x14ac:dyDescent="0.25">
      <c r="A108" s="5">
        <v>2</v>
      </c>
      <c r="B108" s="5">
        <v>0</v>
      </c>
      <c r="C108" s="5">
        <v>4</v>
      </c>
      <c r="D108" s="5">
        <v>535210006</v>
      </c>
      <c r="E108" s="6" t="s">
        <v>18</v>
      </c>
      <c r="F108" s="5" t="str">
        <f>VLOOKUP(D108,J:L,3,FALSE)</f>
        <v>Prof. Dr. Ir. Dyah Erny Herwindiati, M.Si.</v>
      </c>
      <c r="G108" s="1">
        <v>2</v>
      </c>
      <c r="H108" s="1">
        <v>0</v>
      </c>
      <c r="I108" s="1">
        <v>4</v>
      </c>
      <c r="J108" s="2">
        <v>825210098</v>
      </c>
      <c r="K108" s="1" t="s">
        <v>18</v>
      </c>
      <c r="L108" s="1" t="s">
        <v>26</v>
      </c>
      <c r="M108" s="9" cm="1">
        <f t="array" ref="M108">IF(AND(A108:C108=G108:I108),IF((F108=L108),1,0),999)</f>
        <v>0</v>
      </c>
    </row>
    <row r="109" spans="1:13" ht="15.75" x14ac:dyDescent="0.25">
      <c r="A109" s="5">
        <v>2</v>
      </c>
      <c r="B109" s="5">
        <v>0</v>
      </c>
      <c r="C109" s="5">
        <v>5</v>
      </c>
      <c r="D109" s="5">
        <v>535210036</v>
      </c>
      <c r="E109" s="6" t="s">
        <v>18</v>
      </c>
      <c r="F109" s="5" t="str">
        <f>VLOOKUP(D109,J:L,3,FALSE)</f>
        <v>Prof. Dr. Ir. Dyah Erny Herwindiati, M.Si.</v>
      </c>
      <c r="G109" s="1">
        <v>2</v>
      </c>
      <c r="H109" s="1">
        <v>0</v>
      </c>
      <c r="I109" s="1">
        <v>5</v>
      </c>
      <c r="J109" s="2">
        <v>825200111</v>
      </c>
      <c r="K109" s="1" t="s">
        <v>18</v>
      </c>
      <c r="L109" s="1" t="s">
        <v>26</v>
      </c>
      <c r="M109" s="9" cm="1">
        <f t="array" ref="M109">IF(AND(A109:C109=G109:I109),IF((F109=L109),1,0),999)</f>
        <v>0</v>
      </c>
    </row>
    <row r="110" spans="1:13" ht="15.75" x14ac:dyDescent="0.25">
      <c r="A110" s="5">
        <v>2</v>
      </c>
      <c r="B110" s="5">
        <v>0</v>
      </c>
      <c r="C110" s="5">
        <v>5</v>
      </c>
      <c r="D110" s="5">
        <v>535210011</v>
      </c>
      <c r="E110" s="6" t="s">
        <v>18</v>
      </c>
      <c r="F110" s="5" t="str">
        <f>VLOOKUP(D110,J:L,3,FALSE)</f>
        <v>Dra. Chairisni Lubis, M.Kom.</v>
      </c>
      <c r="G110" s="1">
        <v>2</v>
      </c>
      <c r="H110" s="1">
        <v>0</v>
      </c>
      <c r="I110" s="1">
        <v>5</v>
      </c>
      <c r="J110" s="2">
        <v>825210103</v>
      </c>
      <c r="K110" s="1" t="s">
        <v>32</v>
      </c>
      <c r="L110" s="1" t="s">
        <v>26</v>
      </c>
      <c r="M110" s="9" cm="1">
        <f t="array" ref="M110">IF(AND(A110:C110=G110:I110),IF((F110=L110),1,0),999)</f>
        <v>0</v>
      </c>
    </row>
    <row r="111" spans="1:13" ht="15.75" x14ac:dyDescent="0.25">
      <c r="A111" s="5">
        <v>2</v>
      </c>
      <c r="B111" s="5">
        <v>0</v>
      </c>
      <c r="C111" s="5">
        <v>6</v>
      </c>
      <c r="D111" s="5">
        <v>535210053</v>
      </c>
      <c r="E111" s="6" t="s">
        <v>18</v>
      </c>
      <c r="F111" s="5" t="str">
        <f>VLOOKUP(D111,J:L,3,FALSE)</f>
        <v>Dra. Chairisni Lubis, M.Kom.</v>
      </c>
      <c r="G111" s="1">
        <v>2</v>
      </c>
      <c r="H111" s="1">
        <v>0</v>
      </c>
      <c r="I111" s="1">
        <v>6</v>
      </c>
      <c r="J111" s="2">
        <v>535210034</v>
      </c>
      <c r="K111" s="1" t="s">
        <v>18</v>
      </c>
      <c r="L111" s="1" t="s">
        <v>27</v>
      </c>
      <c r="M111" s="9" cm="1">
        <f t="array" ref="M111">IF(AND(A111:C111=G111:I111),IF((F111=L111),1,0),999)</f>
        <v>0</v>
      </c>
    </row>
    <row r="112" spans="1:13" ht="15.75" x14ac:dyDescent="0.25">
      <c r="A112" s="5">
        <v>2</v>
      </c>
      <c r="B112" s="5">
        <v>0</v>
      </c>
      <c r="C112" s="5">
        <v>6</v>
      </c>
      <c r="D112" s="5">
        <v>535210022</v>
      </c>
      <c r="E112" s="6" t="s">
        <v>18</v>
      </c>
      <c r="F112" s="5" t="str">
        <f>VLOOKUP(D112,J:L,3,FALSE)</f>
        <v>Dra. Chairisni Lubis, M.Kom.</v>
      </c>
      <c r="G112" s="1">
        <v>2</v>
      </c>
      <c r="H112" s="1">
        <v>0</v>
      </c>
      <c r="I112" s="1">
        <v>6</v>
      </c>
      <c r="J112" s="2">
        <v>535210033</v>
      </c>
      <c r="K112" s="1" t="s">
        <v>18</v>
      </c>
      <c r="L112" s="1" t="s">
        <v>27</v>
      </c>
      <c r="M112" s="9" cm="1">
        <f t="array" ref="M112">IF(AND(A112:C112=G112:I112),IF((F112=L112),1,0),999)</f>
        <v>0</v>
      </c>
    </row>
    <row r="113" spans="1:13" ht="15.75" x14ac:dyDescent="0.25">
      <c r="A113" s="5">
        <v>2</v>
      </c>
      <c r="B113" s="5">
        <v>0</v>
      </c>
      <c r="C113" s="5">
        <v>6</v>
      </c>
      <c r="D113" s="5">
        <v>535210009</v>
      </c>
      <c r="E113" s="6" t="s">
        <v>18</v>
      </c>
      <c r="F113" s="5" t="str">
        <f>VLOOKUP(D113,J:L,3,FALSE)</f>
        <v>Dra. Chairisni Lubis, M.Kom.</v>
      </c>
      <c r="G113" s="1">
        <v>2</v>
      </c>
      <c r="H113" s="1">
        <v>0</v>
      </c>
      <c r="I113" s="1">
        <v>6</v>
      </c>
      <c r="J113" s="2">
        <v>535210040</v>
      </c>
      <c r="K113" s="1" t="s">
        <v>18</v>
      </c>
      <c r="L113" s="1" t="s">
        <v>27</v>
      </c>
      <c r="M113" s="9" cm="1">
        <f t="array" ref="M113">IF(AND(A113:C113=G113:I113),IF((F113=L113),1,0),999)</f>
        <v>0</v>
      </c>
    </row>
    <row r="114" spans="1:13" ht="15.75" x14ac:dyDescent="0.25">
      <c r="A114" s="5">
        <v>2</v>
      </c>
      <c r="B114" s="5">
        <v>0</v>
      </c>
      <c r="C114" s="5">
        <v>6</v>
      </c>
      <c r="D114" s="5">
        <v>535210004</v>
      </c>
      <c r="E114" s="6" t="s">
        <v>18</v>
      </c>
      <c r="F114" s="5" t="str">
        <f>VLOOKUP(D114,J:L,3,FALSE)</f>
        <v>Dra. Chairisni Lubis, M.Kom.</v>
      </c>
      <c r="G114" s="1">
        <v>2</v>
      </c>
      <c r="H114" s="1">
        <v>0</v>
      </c>
      <c r="I114" s="1">
        <v>6</v>
      </c>
      <c r="J114" s="2">
        <v>535210006</v>
      </c>
      <c r="K114" s="1" t="s">
        <v>18</v>
      </c>
      <c r="L114" s="1" t="s">
        <v>27</v>
      </c>
      <c r="M114" s="9" cm="1">
        <f t="array" ref="M114">IF(AND(A114:C114=G114:I114),IF((F114=L114),1,0),999)</f>
        <v>0</v>
      </c>
    </row>
    <row r="115" spans="1:13" ht="15.75" x14ac:dyDescent="0.25">
      <c r="A115" s="5">
        <v>2</v>
      </c>
      <c r="B115" s="5">
        <v>1</v>
      </c>
      <c r="C115" s="5">
        <v>3</v>
      </c>
      <c r="D115" s="5">
        <v>825190090</v>
      </c>
      <c r="E115" s="6" t="s">
        <v>14</v>
      </c>
      <c r="F115" s="5" t="str">
        <f>VLOOKUP(D115,J:L,3,FALSE)</f>
        <v>Novario Jaya Perdana, S.Kom., MT</v>
      </c>
      <c r="G115" s="1">
        <v>2</v>
      </c>
      <c r="H115" s="1">
        <v>1</v>
      </c>
      <c r="I115" s="1">
        <v>3</v>
      </c>
      <c r="J115" s="2">
        <v>535210100</v>
      </c>
      <c r="K115" s="1" t="s">
        <v>18</v>
      </c>
      <c r="L115" s="1" t="s">
        <v>16</v>
      </c>
      <c r="M115" s="9" cm="1">
        <f t="array" ref="M115">IF(AND(A115:C115=G115:I115),IF((F115=L115),1,0),999)</f>
        <v>1</v>
      </c>
    </row>
    <row r="116" spans="1:13" ht="15.75" x14ac:dyDescent="0.25">
      <c r="F116" s="5"/>
      <c r="G116" s="1">
        <v>2</v>
      </c>
      <c r="H116" s="1">
        <v>1</v>
      </c>
      <c r="I116" s="1">
        <v>3</v>
      </c>
      <c r="J116" s="2">
        <v>535210079</v>
      </c>
      <c r="K116" s="1" t="s">
        <v>18</v>
      </c>
      <c r="L116" s="1" t="s">
        <v>16</v>
      </c>
      <c r="M116" s="10" t="s">
        <v>39</v>
      </c>
    </row>
    <row r="117" spans="1:13" ht="15.75" x14ac:dyDescent="0.25">
      <c r="F117" s="5"/>
      <c r="G117" s="1">
        <v>2</v>
      </c>
      <c r="H117" s="1">
        <v>1</v>
      </c>
      <c r="I117" s="1">
        <v>3</v>
      </c>
      <c r="J117" s="2">
        <v>535210102</v>
      </c>
      <c r="K117" s="1" t="s">
        <v>18</v>
      </c>
      <c r="L117" s="1" t="s">
        <v>16</v>
      </c>
      <c r="M117" s="10" t="s">
        <v>39</v>
      </c>
    </row>
    <row r="118" spans="1:13" ht="15.75" x14ac:dyDescent="0.25">
      <c r="F118" s="5"/>
      <c r="G118" s="1">
        <v>2</v>
      </c>
      <c r="H118" s="1">
        <v>1</v>
      </c>
      <c r="I118" s="1">
        <v>3</v>
      </c>
      <c r="J118" s="2">
        <v>825210123</v>
      </c>
      <c r="K118" s="1" t="s">
        <v>14</v>
      </c>
      <c r="L118" s="1" t="s">
        <v>16</v>
      </c>
      <c r="M118" s="10" t="s">
        <v>39</v>
      </c>
    </row>
    <row r="119" spans="1:13" ht="15.75" x14ac:dyDescent="0.25">
      <c r="F119" s="5"/>
      <c r="G119" s="1">
        <v>2</v>
      </c>
      <c r="H119" s="1">
        <v>1</v>
      </c>
      <c r="I119" s="1">
        <v>4</v>
      </c>
      <c r="J119" s="2">
        <v>825190090</v>
      </c>
      <c r="K119" s="1" t="s">
        <v>14</v>
      </c>
      <c r="L119" s="1" t="s">
        <v>16</v>
      </c>
      <c r="M119" s="10" t="s">
        <v>39</v>
      </c>
    </row>
    <row r="120" spans="1:13" ht="15.75" x14ac:dyDescent="0.25">
      <c r="F120" s="5"/>
      <c r="G120" s="1">
        <v>2</v>
      </c>
      <c r="H120" s="1">
        <v>1</v>
      </c>
      <c r="I120" s="1">
        <v>6</v>
      </c>
      <c r="J120" s="2">
        <v>535210011</v>
      </c>
      <c r="K120" s="1" t="s">
        <v>18</v>
      </c>
      <c r="L120" s="1" t="s">
        <v>5</v>
      </c>
      <c r="M120" s="10" t="s">
        <v>39</v>
      </c>
    </row>
    <row r="121" spans="1:13" ht="15.75" x14ac:dyDescent="0.25">
      <c r="F121" s="5"/>
      <c r="G121" s="1">
        <v>2</v>
      </c>
      <c r="H121" s="1">
        <v>1</v>
      </c>
      <c r="I121" s="1">
        <v>6</v>
      </c>
      <c r="J121" s="2">
        <v>535210058</v>
      </c>
      <c r="K121" s="1" t="s">
        <v>18</v>
      </c>
      <c r="L121" s="1" t="s">
        <v>5</v>
      </c>
      <c r="M121" s="10" t="s">
        <v>39</v>
      </c>
    </row>
    <row r="122" spans="1:13" ht="15.75" x14ac:dyDescent="0.25">
      <c r="F122" s="5"/>
      <c r="G122" s="1">
        <v>2</v>
      </c>
      <c r="H122" s="1">
        <v>1</v>
      </c>
      <c r="I122" s="1">
        <v>6</v>
      </c>
      <c r="J122" s="2">
        <v>535210081</v>
      </c>
      <c r="K122" s="1" t="s">
        <v>18</v>
      </c>
      <c r="L122" s="1" t="s">
        <v>5</v>
      </c>
      <c r="M122" s="10" t="s">
        <v>39</v>
      </c>
    </row>
    <row r="123" spans="1:13" ht="15.75" x14ac:dyDescent="0.25">
      <c r="F123" s="5"/>
      <c r="G123" s="1">
        <v>2</v>
      </c>
      <c r="H123" s="1">
        <v>1</v>
      </c>
      <c r="I123" s="1">
        <v>6</v>
      </c>
      <c r="J123" s="2">
        <v>535210053</v>
      </c>
      <c r="K123" s="1" t="s">
        <v>18</v>
      </c>
      <c r="L123" s="1" t="s">
        <v>5</v>
      </c>
      <c r="M123" s="10" t="s">
        <v>39</v>
      </c>
    </row>
    <row r="124" spans="1:13" ht="15.75" x14ac:dyDescent="0.25">
      <c r="F124" s="5"/>
      <c r="G124" s="1">
        <v>2</v>
      </c>
      <c r="H124" s="1">
        <v>2</v>
      </c>
      <c r="I124" s="1">
        <v>3</v>
      </c>
      <c r="J124" s="2">
        <v>825210133</v>
      </c>
      <c r="K124" s="1" t="s">
        <v>14</v>
      </c>
      <c r="L124" s="1" t="s">
        <v>15</v>
      </c>
      <c r="M124" s="10" t="s">
        <v>39</v>
      </c>
    </row>
    <row r="125" spans="1:13" ht="15.75" x14ac:dyDescent="0.25">
      <c r="F125" s="5"/>
      <c r="G125" s="1">
        <v>2</v>
      </c>
      <c r="H125" s="1">
        <v>2</v>
      </c>
      <c r="I125" s="1">
        <v>3</v>
      </c>
      <c r="J125" s="2">
        <v>825210124</v>
      </c>
      <c r="K125" s="1" t="s">
        <v>14</v>
      </c>
      <c r="L125" s="1" t="s">
        <v>15</v>
      </c>
      <c r="M125" s="10" t="s">
        <v>39</v>
      </c>
    </row>
    <row r="126" spans="1:13" ht="15.75" x14ac:dyDescent="0.25">
      <c r="F126" s="5"/>
      <c r="G126" s="1">
        <v>2</v>
      </c>
      <c r="H126" s="1">
        <v>2</v>
      </c>
      <c r="I126" s="1">
        <v>3</v>
      </c>
      <c r="J126" s="2">
        <v>535210072</v>
      </c>
      <c r="K126" s="1" t="s">
        <v>14</v>
      </c>
      <c r="L126" s="1" t="s">
        <v>15</v>
      </c>
      <c r="M126" s="10" t="s">
        <v>39</v>
      </c>
    </row>
    <row r="127" spans="1:13" ht="15.75" x14ac:dyDescent="0.25">
      <c r="F127" s="5"/>
      <c r="G127" s="1">
        <v>2</v>
      </c>
      <c r="H127" s="1">
        <v>2</v>
      </c>
      <c r="I127" s="1">
        <v>6</v>
      </c>
      <c r="J127" s="2">
        <v>535210099</v>
      </c>
      <c r="K127" s="1" t="s">
        <v>18</v>
      </c>
      <c r="L127" s="1" t="s">
        <v>28</v>
      </c>
      <c r="M127" s="10" t="s">
        <v>39</v>
      </c>
    </row>
    <row r="128" spans="1:13" ht="15.75" x14ac:dyDescent="0.25">
      <c r="F128" s="5"/>
      <c r="G128" s="1">
        <v>2</v>
      </c>
      <c r="H128" s="1">
        <v>2</v>
      </c>
      <c r="I128" s="1">
        <v>6</v>
      </c>
      <c r="J128" s="2">
        <v>535210031</v>
      </c>
      <c r="K128" s="1" t="s">
        <v>18</v>
      </c>
      <c r="L128" s="1" t="s">
        <v>28</v>
      </c>
      <c r="M128" s="10" t="s">
        <v>39</v>
      </c>
    </row>
    <row r="129" spans="6:13" ht="15.75" x14ac:dyDescent="0.25">
      <c r="F129" s="5"/>
      <c r="G129" s="1">
        <v>2</v>
      </c>
      <c r="H129" s="1">
        <v>2</v>
      </c>
      <c r="I129" s="1">
        <v>6</v>
      </c>
      <c r="J129" s="2">
        <v>535210052</v>
      </c>
      <c r="K129" s="1" t="s">
        <v>18</v>
      </c>
      <c r="L129" s="1" t="s">
        <v>28</v>
      </c>
      <c r="M129" s="10" t="s">
        <v>39</v>
      </c>
    </row>
    <row r="130" spans="6:13" ht="15.75" x14ac:dyDescent="0.25">
      <c r="F130" s="5"/>
      <c r="G130" s="1">
        <v>2</v>
      </c>
      <c r="H130" s="1">
        <v>2</v>
      </c>
      <c r="I130" s="1">
        <v>6</v>
      </c>
      <c r="J130" s="2">
        <v>535210073</v>
      </c>
      <c r="K130" s="1" t="s">
        <v>18</v>
      </c>
      <c r="L130" s="1" t="s">
        <v>28</v>
      </c>
      <c r="M130" s="10" t="s">
        <v>39</v>
      </c>
    </row>
    <row r="131" spans="6:13" ht="15.75" x14ac:dyDescent="0.25">
      <c r="F131" s="5"/>
      <c r="G131" s="1">
        <v>3</v>
      </c>
      <c r="H131" s="1">
        <v>0</v>
      </c>
      <c r="I131" s="1">
        <v>0</v>
      </c>
      <c r="J131" s="2">
        <v>535210036</v>
      </c>
      <c r="K131" s="1" t="s">
        <v>18</v>
      </c>
      <c r="L131" s="1" t="s">
        <v>27</v>
      </c>
      <c r="M131" s="10" t="s">
        <v>39</v>
      </c>
    </row>
    <row r="132" spans="6:13" ht="15.75" x14ac:dyDescent="0.25">
      <c r="F132" s="5"/>
      <c r="G132" s="1">
        <v>3</v>
      </c>
      <c r="H132" s="1">
        <v>0</v>
      </c>
      <c r="I132" s="1">
        <v>0</v>
      </c>
      <c r="J132" s="2">
        <v>535210022</v>
      </c>
      <c r="K132" s="1" t="s">
        <v>18</v>
      </c>
      <c r="L132" s="1" t="s">
        <v>5</v>
      </c>
      <c r="M132" s="10" t="s">
        <v>39</v>
      </c>
    </row>
    <row r="133" spans="6:13" ht="15.75" x14ac:dyDescent="0.25">
      <c r="F133" s="5"/>
      <c r="G133" s="1">
        <v>3</v>
      </c>
      <c r="H133" s="1">
        <v>0</v>
      </c>
      <c r="I133" s="1">
        <v>0</v>
      </c>
      <c r="J133" s="2">
        <v>535210009</v>
      </c>
      <c r="K133" s="1" t="s">
        <v>18</v>
      </c>
      <c r="L133" s="1" t="s">
        <v>5</v>
      </c>
      <c r="M133" s="10" t="s">
        <v>39</v>
      </c>
    </row>
    <row r="134" spans="6:13" ht="15.75" x14ac:dyDescent="0.25">
      <c r="F134" s="5"/>
      <c r="G134" s="1">
        <v>3</v>
      </c>
      <c r="H134" s="1">
        <v>0</v>
      </c>
      <c r="I134" s="1">
        <v>0</v>
      </c>
      <c r="J134" s="2">
        <v>535210004</v>
      </c>
      <c r="K134" s="1" t="s">
        <v>18</v>
      </c>
      <c r="L134" s="1" t="s">
        <v>5</v>
      </c>
      <c r="M134" s="10" t="s">
        <v>39</v>
      </c>
    </row>
    <row r="135" spans="6:13" ht="15.75" x14ac:dyDescent="0.25">
      <c r="F135" s="5"/>
      <c r="G135" s="1">
        <v>3</v>
      </c>
      <c r="H135" s="1">
        <v>0</v>
      </c>
      <c r="I135" s="1">
        <v>1</v>
      </c>
      <c r="J135" s="2">
        <v>825210027</v>
      </c>
      <c r="K135" s="1" t="s">
        <v>18</v>
      </c>
      <c r="L135" s="1" t="s">
        <v>28</v>
      </c>
      <c r="M135" s="10" t="s">
        <v>39</v>
      </c>
    </row>
    <row r="136" spans="6:13" ht="15.75" x14ac:dyDescent="0.25">
      <c r="F136" s="5"/>
      <c r="G136" s="1">
        <v>3</v>
      </c>
      <c r="H136" s="1">
        <v>0</v>
      </c>
      <c r="I136" s="1">
        <v>1</v>
      </c>
      <c r="J136" s="2">
        <v>825210005</v>
      </c>
      <c r="K136" s="1" t="s">
        <v>18</v>
      </c>
      <c r="L136" s="1" t="s">
        <v>28</v>
      </c>
      <c r="M136" s="10" t="s">
        <v>39</v>
      </c>
    </row>
    <row r="137" spans="6:13" ht="15.75" x14ac:dyDescent="0.25">
      <c r="F137" s="5"/>
      <c r="G137" s="1">
        <v>3</v>
      </c>
      <c r="H137" s="1">
        <v>0</v>
      </c>
      <c r="I137" s="1">
        <v>1</v>
      </c>
      <c r="J137" s="2">
        <v>535210010</v>
      </c>
      <c r="K137" s="1" t="s">
        <v>32</v>
      </c>
      <c r="L137" s="1" t="s">
        <v>28</v>
      </c>
      <c r="M137" s="10" t="s">
        <v>39</v>
      </c>
    </row>
    <row r="138" spans="6:13" ht="15.75" x14ac:dyDescent="0.25">
      <c r="F138" s="5"/>
      <c r="G138" s="1">
        <v>3</v>
      </c>
      <c r="H138" s="1">
        <v>0</v>
      </c>
      <c r="I138" s="1">
        <v>3</v>
      </c>
      <c r="J138" s="2">
        <v>825210044</v>
      </c>
      <c r="K138" s="1" t="s">
        <v>14</v>
      </c>
      <c r="L138" s="1" t="s">
        <v>29</v>
      </c>
      <c r="M138" s="10" t="s">
        <v>39</v>
      </c>
    </row>
    <row r="139" spans="6:13" ht="15.75" x14ac:dyDescent="0.25">
      <c r="F139" s="5"/>
      <c r="G139" s="1">
        <v>3</v>
      </c>
      <c r="H139" s="1">
        <v>0</v>
      </c>
      <c r="I139" s="1">
        <v>3</v>
      </c>
      <c r="J139" s="2">
        <v>825210083</v>
      </c>
      <c r="K139" s="1" t="s">
        <v>14</v>
      </c>
      <c r="L139" s="1" t="s">
        <v>29</v>
      </c>
      <c r="M139" s="10" t="s">
        <v>39</v>
      </c>
    </row>
    <row r="140" spans="6:13" ht="15.75" x14ac:dyDescent="0.25">
      <c r="F140" s="5"/>
      <c r="G140" s="1">
        <v>3</v>
      </c>
      <c r="H140" s="1">
        <v>0</v>
      </c>
      <c r="I140" s="1">
        <v>3</v>
      </c>
      <c r="J140" s="2">
        <v>825210094</v>
      </c>
      <c r="K140" s="1" t="s">
        <v>14</v>
      </c>
      <c r="L140" s="1" t="s">
        <v>29</v>
      </c>
      <c r="M140" s="10" t="s">
        <v>39</v>
      </c>
    </row>
    <row r="141" spans="6:13" ht="15.75" x14ac:dyDescent="0.25">
      <c r="F141" s="5"/>
      <c r="G141" s="1">
        <v>3</v>
      </c>
      <c r="H141" s="1">
        <v>0</v>
      </c>
      <c r="I141" s="1">
        <v>3</v>
      </c>
      <c r="J141" s="2">
        <v>535210086</v>
      </c>
      <c r="K141" s="1" t="s">
        <v>14</v>
      </c>
      <c r="L141" s="1" t="s">
        <v>29</v>
      </c>
      <c r="M141" s="10" t="s">
        <v>39</v>
      </c>
    </row>
    <row r="142" spans="6:13" ht="15.75" x14ac:dyDescent="0.25">
      <c r="F142" s="5"/>
      <c r="G142" s="1">
        <v>3</v>
      </c>
      <c r="H142" s="1">
        <v>0</v>
      </c>
      <c r="I142" s="1">
        <v>4</v>
      </c>
      <c r="J142" s="2">
        <v>535210047</v>
      </c>
      <c r="K142" s="1" t="s">
        <v>14</v>
      </c>
      <c r="L142" s="1" t="s">
        <v>29</v>
      </c>
      <c r="M142" s="10" t="s">
        <v>39</v>
      </c>
    </row>
    <row r="143" spans="6:13" ht="15.75" x14ac:dyDescent="0.25">
      <c r="F143" s="5"/>
      <c r="G143" s="1">
        <v>3</v>
      </c>
      <c r="H143" s="1">
        <v>0</v>
      </c>
      <c r="I143" s="1">
        <v>4</v>
      </c>
      <c r="J143" s="2">
        <v>535210062</v>
      </c>
      <c r="K143" s="1" t="s">
        <v>14</v>
      </c>
      <c r="L143" s="1" t="s">
        <v>29</v>
      </c>
      <c r="M143" s="10" t="s">
        <v>39</v>
      </c>
    </row>
    <row r="144" spans="6:13" ht="15.75" x14ac:dyDescent="0.25">
      <c r="F144" s="5"/>
      <c r="G144" s="1">
        <v>3</v>
      </c>
      <c r="H144" s="1">
        <v>0</v>
      </c>
      <c r="I144" s="1">
        <v>4</v>
      </c>
      <c r="J144" s="2">
        <v>535210065</v>
      </c>
      <c r="K144" s="1" t="s">
        <v>14</v>
      </c>
      <c r="L144" s="1" t="s">
        <v>29</v>
      </c>
      <c r="M144" s="10" t="s">
        <v>39</v>
      </c>
    </row>
    <row r="145" spans="6:21" ht="15.75" x14ac:dyDescent="0.25">
      <c r="F145" s="5"/>
      <c r="G145" s="1">
        <v>3</v>
      </c>
      <c r="H145" s="1">
        <v>0</v>
      </c>
      <c r="I145" s="1">
        <v>4</v>
      </c>
      <c r="J145" s="2">
        <v>535210039</v>
      </c>
      <c r="K145" s="1" t="s">
        <v>14</v>
      </c>
      <c r="L145" s="1" t="s">
        <v>29</v>
      </c>
      <c r="M145" s="10" t="s">
        <v>39</v>
      </c>
    </row>
    <row r="146" spans="6:21" ht="15.75" x14ac:dyDescent="0.25">
      <c r="F146" s="5"/>
      <c r="G146" s="1">
        <v>3</v>
      </c>
      <c r="H146" s="1">
        <v>0</v>
      </c>
      <c r="I146" s="1">
        <v>5</v>
      </c>
      <c r="J146" s="2">
        <v>825210106</v>
      </c>
      <c r="K146" s="1" t="s">
        <v>18</v>
      </c>
      <c r="L146" s="1" t="s">
        <v>33</v>
      </c>
      <c r="M146" s="10" t="s">
        <v>39</v>
      </c>
    </row>
    <row r="147" spans="6:21" ht="15.75" x14ac:dyDescent="0.25">
      <c r="F147" s="5"/>
      <c r="G147" s="1">
        <v>3</v>
      </c>
      <c r="H147" s="1">
        <v>0</v>
      </c>
      <c r="I147" s="1">
        <v>5</v>
      </c>
      <c r="J147" s="2">
        <v>825210110</v>
      </c>
      <c r="K147" s="1" t="s">
        <v>18</v>
      </c>
      <c r="L147" s="1" t="s">
        <v>33</v>
      </c>
      <c r="M147" s="10" t="s">
        <v>39</v>
      </c>
    </row>
    <row r="148" spans="6:21" ht="15.75" x14ac:dyDescent="0.25">
      <c r="F148" s="5"/>
      <c r="G148" s="1">
        <v>3</v>
      </c>
      <c r="H148" s="1">
        <v>0</v>
      </c>
      <c r="I148" s="1">
        <v>5</v>
      </c>
      <c r="J148" s="2">
        <v>825210113</v>
      </c>
      <c r="K148" s="1" t="s">
        <v>18</v>
      </c>
      <c r="L148" s="1" t="s">
        <v>33</v>
      </c>
      <c r="M148" s="10" t="s">
        <v>39</v>
      </c>
    </row>
    <row r="149" spans="6:21" ht="15.75" x14ac:dyDescent="0.25">
      <c r="F149" s="5"/>
      <c r="G149" s="1">
        <v>3</v>
      </c>
      <c r="H149" s="1">
        <v>0</v>
      </c>
      <c r="I149" s="1">
        <v>5</v>
      </c>
      <c r="J149" s="2">
        <v>825210148</v>
      </c>
      <c r="K149" s="1" t="s">
        <v>18</v>
      </c>
      <c r="L149" s="1" t="s">
        <v>33</v>
      </c>
      <c r="M149" s="10" t="s">
        <v>39</v>
      </c>
    </row>
    <row r="150" spans="6:21" ht="15.75" x14ac:dyDescent="0.25">
      <c r="F150" s="5"/>
      <c r="G150" s="1">
        <v>3</v>
      </c>
      <c r="H150" s="1">
        <v>0</v>
      </c>
      <c r="I150" s="1">
        <v>6</v>
      </c>
      <c r="J150" s="2">
        <v>825210152</v>
      </c>
      <c r="K150" s="1" t="s">
        <v>32</v>
      </c>
      <c r="L150" s="1" t="s">
        <v>33</v>
      </c>
      <c r="M150" s="10" t="s">
        <v>39</v>
      </c>
    </row>
    <row r="151" spans="6:21" ht="15.75" x14ac:dyDescent="0.25">
      <c r="F151" s="5"/>
      <c r="G151" s="1">
        <v>3</v>
      </c>
      <c r="H151" s="1">
        <v>0</v>
      </c>
      <c r="I151" s="1">
        <v>6</v>
      </c>
      <c r="J151" s="2">
        <v>825210136</v>
      </c>
      <c r="K151" s="1" t="s">
        <v>32</v>
      </c>
      <c r="L151" s="1" t="s">
        <v>33</v>
      </c>
      <c r="M151" s="10" t="s">
        <v>39</v>
      </c>
    </row>
    <row r="152" spans="6:21" ht="15.75" x14ac:dyDescent="0.25">
      <c r="F152" s="5"/>
      <c r="G152" s="1">
        <v>3</v>
      </c>
      <c r="H152" s="1">
        <v>0</v>
      </c>
      <c r="I152" s="1">
        <v>6</v>
      </c>
      <c r="J152" s="2">
        <v>825210082</v>
      </c>
      <c r="K152" s="1" t="s">
        <v>32</v>
      </c>
      <c r="L152" s="1" t="s">
        <v>33</v>
      </c>
      <c r="M152" s="10" t="s">
        <v>39</v>
      </c>
    </row>
    <row r="153" spans="6:21" ht="15.75" x14ac:dyDescent="0.25">
      <c r="F153" s="5"/>
      <c r="G153" s="1">
        <v>3</v>
      </c>
      <c r="H153" s="1">
        <v>0</v>
      </c>
      <c r="I153" s="1">
        <v>6</v>
      </c>
      <c r="J153" s="2">
        <v>825210067</v>
      </c>
      <c r="K153" s="1" t="s">
        <v>18</v>
      </c>
      <c r="L153" s="1" t="s">
        <v>34</v>
      </c>
      <c r="M153" s="10" t="s">
        <v>39</v>
      </c>
    </row>
    <row r="154" spans="6:21" ht="15.75" x14ac:dyDescent="0.25">
      <c r="F154" s="5"/>
      <c r="G154" s="1">
        <v>3</v>
      </c>
      <c r="H154" s="1">
        <v>1</v>
      </c>
      <c r="I154" s="1">
        <v>0</v>
      </c>
      <c r="J154" s="2">
        <v>825210037</v>
      </c>
      <c r="K154" s="1" t="s">
        <v>18</v>
      </c>
      <c r="L154" s="1" t="s">
        <v>28</v>
      </c>
      <c r="M154" s="10" t="s">
        <v>39</v>
      </c>
    </row>
    <row r="155" spans="6:21" ht="15.75" x14ac:dyDescent="0.25">
      <c r="F155" s="5"/>
      <c r="G155" s="1">
        <v>3</v>
      </c>
      <c r="H155" s="1">
        <v>1</v>
      </c>
      <c r="I155" s="1">
        <v>0</v>
      </c>
      <c r="J155" s="2">
        <v>825210058</v>
      </c>
      <c r="K155" s="1" t="s">
        <v>18</v>
      </c>
      <c r="L155" s="1" t="s">
        <v>28</v>
      </c>
      <c r="M155" s="10" t="s">
        <v>39</v>
      </c>
    </row>
    <row r="156" spans="6:21" ht="15.75" x14ac:dyDescent="0.25">
      <c r="F156" s="5"/>
      <c r="G156" s="1">
        <v>3</v>
      </c>
      <c r="H156" s="1">
        <v>1</v>
      </c>
      <c r="I156" s="1">
        <v>0</v>
      </c>
      <c r="J156" s="2">
        <v>825210036</v>
      </c>
      <c r="K156" s="1" t="s">
        <v>18</v>
      </c>
      <c r="L156" s="1" t="s">
        <v>28</v>
      </c>
      <c r="M156" s="10" t="s">
        <v>39</v>
      </c>
    </row>
    <row r="157" spans="6:21" ht="15.75" x14ac:dyDescent="0.25">
      <c r="F157" s="5"/>
      <c r="G157" s="1">
        <v>3</v>
      </c>
      <c r="H157" s="1">
        <v>1</v>
      </c>
      <c r="I157" s="1">
        <v>0</v>
      </c>
      <c r="J157" s="2">
        <v>825210010</v>
      </c>
      <c r="K157" s="1" t="s">
        <v>18</v>
      </c>
      <c r="L157" s="1" t="s">
        <v>28</v>
      </c>
      <c r="M157" s="10" t="s">
        <v>39</v>
      </c>
    </row>
    <row r="158" spans="6:21" ht="15.75" x14ac:dyDescent="0.25">
      <c r="F158" s="5"/>
      <c r="G158" s="1">
        <v>3</v>
      </c>
      <c r="H158" s="1">
        <v>1</v>
      </c>
      <c r="I158" s="1">
        <v>3</v>
      </c>
      <c r="J158" s="2">
        <v>535210032</v>
      </c>
      <c r="K158" s="1" t="s">
        <v>18</v>
      </c>
      <c r="L158" s="1" t="s">
        <v>34</v>
      </c>
      <c r="M158" s="10" t="s">
        <v>39</v>
      </c>
      <c r="Q158">
        <v>7</v>
      </c>
      <c r="R158">
        <v>1</v>
      </c>
      <c r="S158">
        <v>0</v>
      </c>
      <c r="T158">
        <v>5</v>
      </c>
      <c r="U158">
        <v>0</v>
      </c>
    </row>
    <row r="159" spans="6:21" ht="15.75" x14ac:dyDescent="0.25">
      <c r="F159" s="5"/>
      <c r="G159" s="1">
        <v>3</v>
      </c>
      <c r="H159" s="1">
        <v>1</v>
      </c>
      <c r="I159" s="1">
        <v>3</v>
      </c>
      <c r="J159" s="2">
        <v>535210026</v>
      </c>
      <c r="K159" s="1" t="s">
        <v>18</v>
      </c>
      <c r="L159" s="1" t="s">
        <v>34</v>
      </c>
      <c r="M159" s="10" t="s">
        <v>39</v>
      </c>
    </row>
    <row r="160" spans="6:21" ht="15.75" x14ac:dyDescent="0.25">
      <c r="F160" s="5"/>
      <c r="G160" s="1">
        <v>3</v>
      </c>
      <c r="H160" s="1">
        <v>1</v>
      </c>
      <c r="I160" s="1">
        <v>3</v>
      </c>
      <c r="J160" s="2">
        <v>535210017</v>
      </c>
      <c r="K160" s="1" t="s">
        <v>18</v>
      </c>
      <c r="L160" s="1" t="s">
        <v>34</v>
      </c>
      <c r="M160" s="10" t="s">
        <v>39</v>
      </c>
    </row>
    <row r="161" spans="6:13" ht="15.75" x14ac:dyDescent="0.25">
      <c r="F161" s="5"/>
      <c r="G161" s="1">
        <v>3</v>
      </c>
      <c r="H161" s="1">
        <v>1</v>
      </c>
      <c r="I161" s="1">
        <v>3</v>
      </c>
      <c r="J161" s="2">
        <v>535210071</v>
      </c>
      <c r="K161" s="1" t="s">
        <v>18</v>
      </c>
      <c r="L161" s="1" t="s">
        <v>34</v>
      </c>
      <c r="M161" s="10" t="s">
        <v>39</v>
      </c>
    </row>
    <row r="162" spans="6:13" ht="15.75" x14ac:dyDescent="0.25">
      <c r="F162" s="5"/>
      <c r="G162" s="1">
        <v>3</v>
      </c>
      <c r="H162" s="1">
        <v>1</v>
      </c>
      <c r="I162" s="1">
        <v>4</v>
      </c>
      <c r="J162" s="2">
        <v>825210146</v>
      </c>
      <c r="K162" s="1" t="s">
        <v>18</v>
      </c>
      <c r="L162" s="1" t="s">
        <v>34</v>
      </c>
      <c r="M162" s="10" t="s">
        <v>39</v>
      </c>
    </row>
    <row r="163" spans="6:13" ht="15.75" x14ac:dyDescent="0.25">
      <c r="F163" s="5"/>
      <c r="G163" s="1">
        <v>3</v>
      </c>
      <c r="H163" s="1">
        <v>1</v>
      </c>
      <c r="I163" s="1">
        <v>4</v>
      </c>
      <c r="J163" s="2">
        <v>825210126</v>
      </c>
      <c r="K163" s="1" t="s">
        <v>18</v>
      </c>
      <c r="L163" s="1" t="s">
        <v>34</v>
      </c>
      <c r="M163" s="10" t="s">
        <v>39</v>
      </c>
    </row>
    <row r="164" spans="6:13" ht="15.75" x14ac:dyDescent="0.25">
      <c r="F164" s="5"/>
      <c r="G164" s="1">
        <v>3</v>
      </c>
      <c r="H164" s="1">
        <v>1</v>
      </c>
      <c r="I164" s="1">
        <v>4</v>
      </c>
      <c r="J164" s="2">
        <v>825210008</v>
      </c>
      <c r="K164" s="1" t="s">
        <v>18</v>
      </c>
      <c r="L164" s="1" t="s">
        <v>34</v>
      </c>
      <c r="M164" s="10" t="s">
        <v>39</v>
      </c>
    </row>
    <row r="165" spans="6:13" ht="15.75" x14ac:dyDescent="0.25">
      <c r="F165" s="5"/>
      <c r="G165" s="1">
        <v>3</v>
      </c>
      <c r="H165" s="1">
        <v>1</v>
      </c>
      <c r="I165" s="1">
        <v>4</v>
      </c>
      <c r="J165" s="2">
        <v>825210018</v>
      </c>
      <c r="K165" s="1" t="s">
        <v>18</v>
      </c>
      <c r="L165" s="1" t="s">
        <v>34</v>
      </c>
      <c r="M165" s="10" t="s">
        <v>39</v>
      </c>
    </row>
    <row r="166" spans="6:13" ht="15.75" x14ac:dyDescent="0.25">
      <c r="F166" s="5"/>
      <c r="G166" s="1">
        <v>3</v>
      </c>
      <c r="H166" s="1">
        <v>1</v>
      </c>
      <c r="I166" s="1">
        <v>5</v>
      </c>
      <c r="J166" s="2">
        <v>535210091</v>
      </c>
      <c r="K166" s="1" t="s">
        <v>14</v>
      </c>
      <c r="L166" s="1" t="s">
        <v>29</v>
      </c>
      <c r="M166" s="10" t="s">
        <v>39</v>
      </c>
    </row>
    <row r="167" spans="6:13" ht="15.75" x14ac:dyDescent="0.25">
      <c r="F167" s="5"/>
      <c r="G167" s="1">
        <v>3</v>
      </c>
      <c r="H167" s="1">
        <v>1</v>
      </c>
      <c r="I167" s="1">
        <v>5</v>
      </c>
      <c r="J167" s="2">
        <v>825210107</v>
      </c>
      <c r="K167" s="1" t="s">
        <v>14</v>
      </c>
      <c r="L167" s="1" t="s">
        <v>29</v>
      </c>
      <c r="M167" s="10" t="s">
        <v>39</v>
      </c>
    </row>
    <row r="168" spans="6:13" ht="15.75" x14ac:dyDescent="0.25">
      <c r="F168" s="5"/>
      <c r="G168" s="1">
        <v>3</v>
      </c>
      <c r="H168" s="1">
        <v>1</v>
      </c>
      <c r="I168" s="1">
        <v>5</v>
      </c>
      <c r="J168" s="2">
        <v>825210017</v>
      </c>
      <c r="K168" s="1" t="s">
        <v>14</v>
      </c>
      <c r="L168" s="1" t="s">
        <v>29</v>
      </c>
      <c r="M168" s="10" t="s">
        <v>39</v>
      </c>
    </row>
    <row r="169" spans="6:13" ht="15.75" x14ac:dyDescent="0.25">
      <c r="F169" s="5"/>
      <c r="G169" s="1">
        <v>3</v>
      </c>
      <c r="H169" s="1">
        <v>1</v>
      </c>
      <c r="I169" s="1">
        <v>5</v>
      </c>
      <c r="J169" s="2">
        <v>825210031</v>
      </c>
      <c r="K169" s="1" t="s">
        <v>18</v>
      </c>
      <c r="L169" s="1" t="s">
        <v>34</v>
      </c>
      <c r="M169" s="10" t="s">
        <v>39</v>
      </c>
    </row>
    <row r="170" spans="6:13" ht="15.75" x14ac:dyDescent="0.25">
      <c r="F170" s="5"/>
      <c r="G170" s="1">
        <v>3</v>
      </c>
      <c r="H170" s="1">
        <v>2</v>
      </c>
      <c r="I170" s="1">
        <v>3</v>
      </c>
      <c r="J170" s="2">
        <v>825210054</v>
      </c>
      <c r="K170" s="1" t="s">
        <v>18</v>
      </c>
      <c r="L170" s="1" t="s">
        <v>30</v>
      </c>
      <c r="M170" s="10" t="s">
        <v>39</v>
      </c>
    </row>
    <row r="171" spans="6:13" ht="15.75" x14ac:dyDescent="0.25">
      <c r="F171" s="5"/>
      <c r="G171" s="1">
        <v>3</v>
      </c>
      <c r="H171" s="1">
        <v>2</v>
      </c>
      <c r="I171" s="1">
        <v>3</v>
      </c>
      <c r="J171" s="2">
        <v>825210057</v>
      </c>
      <c r="K171" s="1" t="s">
        <v>18</v>
      </c>
      <c r="L171" s="1" t="s">
        <v>30</v>
      </c>
      <c r="M171" s="10" t="s">
        <v>39</v>
      </c>
    </row>
    <row r="172" spans="6:13" ht="15.75" x14ac:dyDescent="0.25">
      <c r="F172" s="5"/>
      <c r="G172" s="1">
        <v>3</v>
      </c>
      <c r="H172" s="1">
        <v>2</v>
      </c>
      <c r="I172" s="1">
        <v>3</v>
      </c>
      <c r="J172" s="2">
        <v>825210072</v>
      </c>
      <c r="K172" s="1" t="s">
        <v>18</v>
      </c>
      <c r="L172" s="1" t="s">
        <v>30</v>
      </c>
      <c r="M172" s="10" t="s">
        <v>39</v>
      </c>
    </row>
    <row r="173" spans="6:13" ht="15.75" x14ac:dyDescent="0.25">
      <c r="F173" s="5"/>
      <c r="G173" s="1">
        <v>3</v>
      </c>
      <c r="H173" s="1">
        <v>2</v>
      </c>
      <c r="I173" s="1">
        <v>3</v>
      </c>
      <c r="J173" s="2">
        <v>825210075</v>
      </c>
      <c r="K173" s="1" t="s">
        <v>18</v>
      </c>
      <c r="L173" s="1" t="s">
        <v>30</v>
      </c>
      <c r="M173" s="10" t="s">
        <v>39</v>
      </c>
    </row>
    <row r="174" spans="6:13" ht="15.75" x14ac:dyDescent="0.25">
      <c r="F174" s="5"/>
      <c r="G174" s="1">
        <v>3</v>
      </c>
      <c r="H174" s="1">
        <v>2</v>
      </c>
      <c r="I174" s="1">
        <v>4</v>
      </c>
      <c r="J174" s="2">
        <v>825210088</v>
      </c>
      <c r="K174" s="1" t="s">
        <v>18</v>
      </c>
      <c r="L174" s="1" t="s">
        <v>30</v>
      </c>
      <c r="M174" s="10" t="s">
        <v>39</v>
      </c>
    </row>
    <row r="175" spans="6:13" ht="15.75" x14ac:dyDescent="0.25">
      <c r="F175" s="5"/>
      <c r="G175" s="1">
        <v>3</v>
      </c>
      <c r="H175" s="1">
        <v>2</v>
      </c>
      <c r="I175" s="1">
        <v>4</v>
      </c>
      <c r="J175" s="2">
        <v>825210089</v>
      </c>
      <c r="K175" s="1" t="s">
        <v>18</v>
      </c>
      <c r="L175" s="1" t="s">
        <v>30</v>
      </c>
      <c r="M175" s="10" t="s">
        <v>39</v>
      </c>
    </row>
    <row r="176" spans="6:13" ht="15.75" x14ac:dyDescent="0.25">
      <c r="F176" s="5"/>
      <c r="G176" s="1">
        <v>3</v>
      </c>
      <c r="H176" s="1">
        <v>2</v>
      </c>
      <c r="I176" s="1">
        <v>4</v>
      </c>
      <c r="J176" s="2">
        <v>825210040</v>
      </c>
      <c r="K176" s="1" t="s">
        <v>14</v>
      </c>
      <c r="L176" s="1" t="s">
        <v>30</v>
      </c>
      <c r="M176" s="10" t="s">
        <v>39</v>
      </c>
    </row>
    <row r="177" spans="6:13" ht="15.75" x14ac:dyDescent="0.25">
      <c r="F177" s="5"/>
      <c r="G177" s="1">
        <v>3</v>
      </c>
      <c r="H177" s="1">
        <v>2</v>
      </c>
      <c r="I177" s="1">
        <v>4</v>
      </c>
      <c r="J177" s="2">
        <v>825210137</v>
      </c>
      <c r="K177" s="1" t="s">
        <v>14</v>
      </c>
      <c r="L177" s="1" t="s">
        <v>30</v>
      </c>
      <c r="M177" s="10" t="s">
        <v>39</v>
      </c>
    </row>
    <row r="178" spans="6:13" ht="15.75" x14ac:dyDescent="0.25">
      <c r="F178" s="5"/>
      <c r="G178" s="1">
        <v>4</v>
      </c>
      <c r="H178" s="1">
        <v>0</v>
      </c>
      <c r="I178" s="1">
        <v>4</v>
      </c>
      <c r="J178" s="2">
        <v>825210022</v>
      </c>
      <c r="K178" s="1" t="s">
        <v>18</v>
      </c>
      <c r="L178" s="1" t="s">
        <v>7</v>
      </c>
      <c r="M178" s="10" t="s">
        <v>39</v>
      </c>
    </row>
    <row r="179" spans="6:13" ht="15.75" x14ac:dyDescent="0.25">
      <c r="F179" s="5"/>
      <c r="G179" s="1">
        <v>4</v>
      </c>
      <c r="H179" s="1">
        <v>0</v>
      </c>
      <c r="I179" s="1">
        <v>4</v>
      </c>
      <c r="J179" s="2">
        <v>825210116</v>
      </c>
      <c r="K179" s="1" t="s">
        <v>18</v>
      </c>
      <c r="L179" s="1" t="s">
        <v>7</v>
      </c>
      <c r="M179" s="10" t="s">
        <v>39</v>
      </c>
    </row>
    <row r="180" spans="6:13" ht="15.75" x14ac:dyDescent="0.25">
      <c r="F180" s="5"/>
      <c r="G180" s="1">
        <v>4</v>
      </c>
      <c r="H180" s="1">
        <v>0</v>
      </c>
      <c r="I180" s="1">
        <v>4</v>
      </c>
      <c r="J180" s="2">
        <v>825210131</v>
      </c>
      <c r="K180" s="1" t="s">
        <v>18</v>
      </c>
      <c r="L180" s="1" t="s">
        <v>7</v>
      </c>
      <c r="M180" s="10" t="s">
        <v>39</v>
      </c>
    </row>
    <row r="181" spans="6:13" ht="15.75" x14ac:dyDescent="0.25">
      <c r="F181" s="5"/>
      <c r="G181" s="1">
        <v>4</v>
      </c>
      <c r="H181" s="1">
        <v>0</v>
      </c>
      <c r="I181" s="1">
        <v>4</v>
      </c>
      <c r="J181" s="2">
        <v>825210076</v>
      </c>
      <c r="K181" s="1" t="s">
        <v>18</v>
      </c>
      <c r="L181" s="1" t="s">
        <v>7</v>
      </c>
      <c r="M181" s="10" t="s">
        <v>39</v>
      </c>
    </row>
    <row r="182" spans="6:13" ht="15.75" x14ac:dyDescent="0.25">
      <c r="F182" s="5"/>
      <c r="G182" s="1">
        <v>4</v>
      </c>
      <c r="H182" s="1">
        <v>0</v>
      </c>
      <c r="I182" s="1">
        <v>5</v>
      </c>
      <c r="J182" s="2">
        <v>825210011</v>
      </c>
      <c r="K182" s="1" t="s">
        <v>18</v>
      </c>
      <c r="L182" s="1" t="s">
        <v>7</v>
      </c>
      <c r="M182" s="10" t="s">
        <v>39</v>
      </c>
    </row>
    <row r="183" spans="6:13" ht="15.75" x14ac:dyDescent="0.25">
      <c r="F183" s="5"/>
      <c r="G183" s="1">
        <v>4</v>
      </c>
      <c r="H183" s="1">
        <v>0</v>
      </c>
      <c r="I183" s="1">
        <v>5</v>
      </c>
      <c r="J183" s="2">
        <v>825210079</v>
      </c>
      <c r="K183" s="1" t="s">
        <v>18</v>
      </c>
      <c r="L183" s="1" t="s">
        <v>7</v>
      </c>
      <c r="M183" s="10" t="s">
        <v>39</v>
      </c>
    </row>
    <row r="184" spans="6:13" ht="15.75" x14ac:dyDescent="0.25">
      <c r="F184" s="5"/>
      <c r="G184" s="1">
        <v>4</v>
      </c>
      <c r="H184" s="1">
        <v>0</v>
      </c>
      <c r="I184" s="1">
        <v>5</v>
      </c>
      <c r="J184" s="2">
        <v>825210108</v>
      </c>
      <c r="K184" s="1" t="s">
        <v>18</v>
      </c>
      <c r="L184" s="1" t="s">
        <v>7</v>
      </c>
      <c r="M184" s="10" t="s">
        <v>39</v>
      </c>
    </row>
    <row r="185" spans="6:13" ht="15.75" x14ac:dyDescent="0.25">
      <c r="F185" s="5"/>
      <c r="G185" s="1">
        <v>4</v>
      </c>
      <c r="H185" s="1">
        <v>0</v>
      </c>
      <c r="I185" s="1">
        <v>5</v>
      </c>
      <c r="J185" s="2">
        <v>825210142</v>
      </c>
      <c r="K185" s="1" t="s">
        <v>18</v>
      </c>
      <c r="L185" s="1" t="s">
        <v>7</v>
      </c>
      <c r="M185" s="10" t="s">
        <v>39</v>
      </c>
    </row>
    <row r="186" spans="6:13" ht="15.75" x14ac:dyDescent="0.25">
      <c r="F186" s="5"/>
      <c r="G186" s="1">
        <v>4</v>
      </c>
      <c r="H186" s="1">
        <v>0</v>
      </c>
      <c r="I186" s="1">
        <v>6</v>
      </c>
      <c r="J186" s="2">
        <v>825210070</v>
      </c>
      <c r="K186" s="1" t="s">
        <v>18</v>
      </c>
      <c r="L186" s="1" t="s">
        <v>7</v>
      </c>
      <c r="M186" s="10" t="s">
        <v>39</v>
      </c>
    </row>
    <row r="187" spans="6:13" ht="15.75" x14ac:dyDescent="0.25">
      <c r="F187" s="5"/>
      <c r="G187" s="1">
        <v>4</v>
      </c>
      <c r="H187" s="1">
        <v>0</v>
      </c>
      <c r="I187" s="1">
        <v>6</v>
      </c>
      <c r="J187" s="2">
        <v>825210048</v>
      </c>
      <c r="K187" s="1" t="s">
        <v>18</v>
      </c>
      <c r="L187" s="1" t="s">
        <v>7</v>
      </c>
      <c r="M187" s="10" t="s">
        <v>39</v>
      </c>
    </row>
    <row r="188" spans="6:13" ht="15.75" x14ac:dyDescent="0.25">
      <c r="F188" s="5"/>
      <c r="G188" s="1">
        <v>4</v>
      </c>
      <c r="H188" s="1">
        <v>0</v>
      </c>
      <c r="I188" s="1">
        <v>6</v>
      </c>
      <c r="J188" s="2">
        <v>825210147</v>
      </c>
      <c r="K188" s="1" t="s">
        <v>18</v>
      </c>
      <c r="L188" s="1" t="s">
        <v>6</v>
      </c>
      <c r="M188" s="10" t="s">
        <v>39</v>
      </c>
    </row>
    <row r="189" spans="6:13" ht="15.75" x14ac:dyDescent="0.25">
      <c r="F189" s="5"/>
      <c r="G189" s="1">
        <v>4</v>
      </c>
      <c r="H189" s="1">
        <v>0</v>
      </c>
      <c r="I189" s="1">
        <v>6</v>
      </c>
      <c r="J189" s="2">
        <v>825210004</v>
      </c>
      <c r="K189" s="1" t="s">
        <v>18</v>
      </c>
      <c r="L189" s="1" t="s">
        <v>6</v>
      </c>
      <c r="M189" s="10" t="s">
        <v>39</v>
      </c>
    </row>
    <row r="190" spans="6:13" ht="15.75" x14ac:dyDescent="0.25">
      <c r="F190" s="5"/>
      <c r="G190" s="1">
        <v>4</v>
      </c>
      <c r="H190" s="1">
        <v>1</v>
      </c>
      <c r="I190" s="1">
        <v>4</v>
      </c>
      <c r="J190" s="2">
        <v>825210001</v>
      </c>
      <c r="K190" s="1" t="s">
        <v>18</v>
      </c>
      <c r="L190" s="1" t="s">
        <v>6</v>
      </c>
      <c r="M190" s="10" t="s">
        <v>39</v>
      </c>
    </row>
    <row r="191" spans="6:13" ht="15.75" x14ac:dyDescent="0.25">
      <c r="F191" s="5"/>
      <c r="G191" s="1">
        <v>4</v>
      </c>
      <c r="H191" s="1">
        <v>1</v>
      </c>
      <c r="I191" s="1">
        <v>4</v>
      </c>
      <c r="J191" s="2">
        <v>825210014</v>
      </c>
      <c r="K191" s="1" t="s">
        <v>18</v>
      </c>
      <c r="L191" s="1" t="s">
        <v>6</v>
      </c>
      <c r="M191" s="10" t="s">
        <v>39</v>
      </c>
    </row>
    <row r="192" spans="6:13" ht="15.75" x14ac:dyDescent="0.25">
      <c r="F192" s="5"/>
      <c r="G192" s="1">
        <v>4</v>
      </c>
      <c r="H192" s="1">
        <v>1</v>
      </c>
      <c r="I192" s="1">
        <v>4</v>
      </c>
      <c r="J192" s="2">
        <v>825210025</v>
      </c>
      <c r="K192" s="1" t="s">
        <v>18</v>
      </c>
      <c r="L192" s="1" t="s">
        <v>6</v>
      </c>
      <c r="M192" s="10" t="s">
        <v>39</v>
      </c>
    </row>
    <row r="193" spans="1:13" ht="15.75" x14ac:dyDescent="0.25">
      <c r="F193" s="5"/>
      <c r="G193" s="1">
        <v>4</v>
      </c>
      <c r="H193" s="1">
        <v>1</v>
      </c>
      <c r="I193" s="1">
        <v>4</v>
      </c>
      <c r="J193" s="2">
        <v>825210039</v>
      </c>
      <c r="K193" s="1" t="s">
        <v>18</v>
      </c>
      <c r="L193" s="1" t="s">
        <v>6</v>
      </c>
      <c r="M193" s="10" t="s">
        <v>39</v>
      </c>
    </row>
    <row r="194" spans="1:13" ht="15.75" x14ac:dyDescent="0.25">
      <c r="F194" s="5"/>
      <c r="G194" s="1">
        <v>4</v>
      </c>
      <c r="H194" s="1">
        <v>1</v>
      </c>
      <c r="I194" s="1">
        <v>5</v>
      </c>
      <c r="J194" s="2">
        <v>825210047</v>
      </c>
      <c r="K194" s="1" t="s">
        <v>18</v>
      </c>
      <c r="L194" s="1" t="s">
        <v>6</v>
      </c>
      <c r="M194" s="10" t="s">
        <v>39</v>
      </c>
    </row>
    <row r="195" spans="1:13" ht="15.75" x14ac:dyDescent="0.25">
      <c r="F195" s="5"/>
      <c r="G195" s="1">
        <v>4</v>
      </c>
      <c r="H195" s="1">
        <v>1</v>
      </c>
      <c r="I195" s="1">
        <v>5</v>
      </c>
      <c r="J195" s="2">
        <v>825210095</v>
      </c>
      <c r="K195" s="1" t="s">
        <v>18</v>
      </c>
      <c r="L195" s="1" t="s">
        <v>6</v>
      </c>
      <c r="M195" s="10" t="s">
        <v>39</v>
      </c>
    </row>
    <row r="196" spans="1:13" ht="15.75" x14ac:dyDescent="0.25">
      <c r="F196" s="5"/>
      <c r="G196" s="1">
        <v>4</v>
      </c>
      <c r="H196" s="1">
        <v>1</v>
      </c>
      <c r="I196" s="1">
        <v>5</v>
      </c>
      <c r="J196" s="2">
        <v>825210143</v>
      </c>
      <c r="K196" s="1" t="s">
        <v>18</v>
      </c>
      <c r="L196" s="1" t="s">
        <v>6</v>
      </c>
      <c r="M196" s="10" t="s">
        <v>39</v>
      </c>
    </row>
    <row r="197" spans="1:13" ht="15.75" x14ac:dyDescent="0.25">
      <c r="F197" s="5"/>
      <c r="G197" s="1">
        <v>4</v>
      </c>
      <c r="H197" s="1">
        <v>1</v>
      </c>
      <c r="I197" s="1">
        <v>5</v>
      </c>
      <c r="J197" s="2">
        <v>825210138</v>
      </c>
      <c r="K197" s="1" t="s">
        <v>18</v>
      </c>
      <c r="L197" s="1" t="s">
        <v>6</v>
      </c>
      <c r="M197" s="10" t="s">
        <v>39</v>
      </c>
    </row>
    <row r="198" spans="1:13" ht="15.75" x14ac:dyDescent="0.25">
      <c r="F198" s="5"/>
      <c r="G198" s="1">
        <v>4</v>
      </c>
      <c r="H198" s="1">
        <v>2</v>
      </c>
      <c r="I198" s="1">
        <v>4</v>
      </c>
      <c r="J198" s="2">
        <v>825210153</v>
      </c>
      <c r="K198" s="1" t="s">
        <v>14</v>
      </c>
      <c r="L198" s="1" t="s">
        <v>30</v>
      </c>
      <c r="M198" s="10" t="s">
        <v>39</v>
      </c>
    </row>
    <row r="199" spans="1:13" x14ac:dyDescent="0.25">
      <c r="F199" s="5"/>
      <c r="K199" s="8" t="s">
        <v>40</v>
      </c>
      <c r="M199" s="2">
        <f>SUMIF(M1:M198,1)</f>
        <v>22</v>
      </c>
    </row>
    <row r="200" spans="1:13" x14ac:dyDescent="0.25">
      <c r="F200" s="5"/>
    </row>
    <row r="201" spans="1:13" x14ac:dyDescent="0.25">
      <c r="A201" s="12">
        <v>0</v>
      </c>
      <c r="B201" s="12">
        <v>2</v>
      </c>
      <c r="C201" s="12">
        <v>5</v>
      </c>
      <c r="D201" s="12">
        <v>535210007</v>
      </c>
      <c r="E201" s="13" t="s">
        <v>18</v>
      </c>
      <c r="F201" s="12" t="str">
        <f>VLOOKUP(D201,J:L,3,FALSE)</f>
        <v>Ir. Jeanny Pragantha, M.Eng.</v>
      </c>
    </row>
    <row r="202" spans="1:13" x14ac:dyDescent="0.25">
      <c r="A202" s="12">
        <v>0</v>
      </c>
      <c r="B202" s="12">
        <v>2</v>
      </c>
      <c r="C202" s="12">
        <v>5</v>
      </c>
      <c r="D202" s="12">
        <v>535210027</v>
      </c>
      <c r="E202" s="13" t="s">
        <v>18</v>
      </c>
      <c r="F202" s="12" t="str">
        <f>VLOOKUP(D202,J:L,3,FALSE)</f>
        <v>Ir. Jeanny Pragantha, M.Eng.</v>
      </c>
    </row>
    <row r="203" spans="1:13" x14ac:dyDescent="0.25">
      <c r="A203" s="12">
        <v>0</v>
      </c>
      <c r="B203" s="12">
        <v>2</v>
      </c>
      <c r="C203" s="12">
        <v>5</v>
      </c>
      <c r="D203" s="12">
        <v>535210001</v>
      </c>
      <c r="E203" s="13" t="s">
        <v>18</v>
      </c>
      <c r="F203" s="12" t="str">
        <f>VLOOKUP(D203,J:L,3,FALSE)</f>
        <v>Ir. Jeanny Pragantha, M.Eng.</v>
      </c>
    </row>
    <row r="204" spans="1:13" x14ac:dyDescent="0.25">
      <c r="A204" s="12">
        <v>0</v>
      </c>
      <c r="B204" s="12">
        <v>2</v>
      </c>
      <c r="C204" s="12">
        <v>5</v>
      </c>
      <c r="D204" s="12">
        <v>535210048</v>
      </c>
      <c r="E204" s="13" t="s">
        <v>18</v>
      </c>
      <c r="F204" s="12" t="str">
        <f>VLOOKUP(D204,J:L,3,FALSE)</f>
        <v>Ir. Jeanny Pragantha, M.Eng.</v>
      </c>
    </row>
    <row r="205" spans="1:13" x14ac:dyDescent="0.25">
      <c r="A205" s="12">
        <v>0</v>
      </c>
      <c r="B205" s="12">
        <v>2</v>
      </c>
      <c r="C205" s="12">
        <v>6</v>
      </c>
      <c r="D205" s="12">
        <v>535210013</v>
      </c>
      <c r="E205" s="13" t="s">
        <v>18</v>
      </c>
      <c r="F205" s="12" t="str">
        <f>VLOOKUP(D205,J:L,3,FALSE)</f>
        <v>Ir. Jeanny Pragantha, M.Eng.</v>
      </c>
    </row>
    <row r="206" spans="1:13" x14ac:dyDescent="0.25">
      <c r="A206" s="12">
        <v>0</v>
      </c>
      <c r="B206" s="12">
        <v>2</v>
      </c>
      <c r="C206" s="12">
        <v>6</v>
      </c>
      <c r="D206" s="12">
        <v>535210050</v>
      </c>
      <c r="E206" s="13" t="s">
        <v>18</v>
      </c>
      <c r="F206" s="12" t="str">
        <f>VLOOKUP(D206,J:L,3,FALSE)</f>
        <v>Darius Andana Haris, S.Kom., MTI</v>
      </c>
    </row>
    <row r="207" spans="1:13" x14ac:dyDescent="0.25">
      <c r="A207" s="12">
        <v>0</v>
      </c>
      <c r="B207" s="12">
        <v>2</v>
      </c>
      <c r="C207" s="12">
        <v>6</v>
      </c>
      <c r="D207" s="12">
        <v>535210046</v>
      </c>
      <c r="E207" s="13" t="s">
        <v>18</v>
      </c>
      <c r="F207" s="12" t="str">
        <f>VLOOKUP(D207,J:L,3,FALSE)</f>
        <v>Darius Andana Haris, S.Kom., MTI</v>
      </c>
    </row>
    <row r="208" spans="1:13" x14ac:dyDescent="0.25">
      <c r="A208" s="12">
        <v>0</v>
      </c>
      <c r="B208" s="12">
        <v>2</v>
      </c>
      <c r="C208" s="12">
        <v>6</v>
      </c>
      <c r="D208" s="12">
        <v>535210111</v>
      </c>
      <c r="E208" s="13" t="s">
        <v>18</v>
      </c>
      <c r="F208" s="12" t="str">
        <f>VLOOKUP(D208,J:L,3,FALSE)</f>
        <v>Tri Sutrisno, S.Si., M.Sc.</v>
      </c>
    </row>
    <row r="209" spans="1:6" x14ac:dyDescent="0.25">
      <c r="A209" s="12">
        <v>0</v>
      </c>
      <c r="B209" s="12">
        <v>2</v>
      </c>
      <c r="C209" s="12">
        <v>7</v>
      </c>
      <c r="D209" s="12">
        <v>535210060</v>
      </c>
      <c r="E209" s="13" t="s">
        <v>18</v>
      </c>
      <c r="F209" s="12" t="str">
        <f>VLOOKUP(D209,J:L,3,FALSE)</f>
        <v>Tri Sutrisno, S.Si., M.Sc.</v>
      </c>
    </row>
    <row r="210" spans="1:6" x14ac:dyDescent="0.25">
      <c r="A210" s="12">
        <v>0</v>
      </c>
      <c r="B210" s="12">
        <v>2</v>
      </c>
      <c r="C210" s="12">
        <v>7</v>
      </c>
      <c r="D210" s="12">
        <v>535210101</v>
      </c>
      <c r="E210" s="13" t="s">
        <v>18</v>
      </c>
      <c r="F210" s="12" t="str">
        <f>VLOOKUP(D210,J:L,3,FALSE)</f>
        <v>Tri Sutrisno, S.Si., M.Sc.</v>
      </c>
    </row>
    <row r="211" spans="1:6" x14ac:dyDescent="0.25">
      <c r="A211" s="12">
        <v>0</v>
      </c>
      <c r="B211" s="12">
        <v>2</v>
      </c>
      <c r="C211" s="12">
        <v>7</v>
      </c>
      <c r="D211" s="12">
        <v>535210015</v>
      </c>
      <c r="E211" s="13" t="s">
        <v>18</v>
      </c>
      <c r="F211" s="12" t="str">
        <f>VLOOKUP(D211,J:L,3,FALSE)</f>
        <v>Tri Sutrisno, S.Si., M.Sc.</v>
      </c>
    </row>
    <row r="212" spans="1:6" x14ac:dyDescent="0.25">
      <c r="A212" s="12">
        <v>0</v>
      </c>
      <c r="B212" s="12">
        <v>2</v>
      </c>
      <c r="C212" s="12">
        <v>7</v>
      </c>
      <c r="D212" s="12">
        <v>535210112</v>
      </c>
      <c r="E212" s="13" t="s">
        <v>18</v>
      </c>
      <c r="F212" s="12" t="str">
        <f>VLOOKUP(D212,J:L,3,FALSE)</f>
        <v>Tri Sutrisno, S.Si., M.Sc.</v>
      </c>
    </row>
    <row r="213" spans="1:6" x14ac:dyDescent="0.25">
      <c r="A213" s="5">
        <v>1</v>
      </c>
      <c r="B213" s="5">
        <v>0</v>
      </c>
      <c r="C213" s="5">
        <v>0</v>
      </c>
      <c r="D213" s="5">
        <v>825210023</v>
      </c>
      <c r="E213" s="6" t="s">
        <v>18</v>
      </c>
      <c r="F213" s="5" t="str">
        <f>VLOOKUP(D213,J:L,3,FALSE)</f>
        <v>Tri Sutrisno, S.Si., M.Sc.</v>
      </c>
    </row>
    <row r="214" spans="1:6" x14ac:dyDescent="0.25">
      <c r="A214" s="5">
        <v>1</v>
      </c>
      <c r="B214" s="5">
        <v>0</v>
      </c>
      <c r="C214" s="5">
        <v>0</v>
      </c>
      <c r="D214" s="5">
        <v>825210050</v>
      </c>
      <c r="E214" s="6" t="s">
        <v>18</v>
      </c>
      <c r="F214" s="5" t="str">
        <f>VLOOKUP(D214,J:L,3,FALSE)</f>
        <v>Tri Sutrisno, S.Si., M.Sc.</v>
      </c>
    </row>
    <row r="215" spans="1:6" x14ac:dyDescent="0.25">
      <c r="A215" s="5">
        <v>1</v>
      </c>
      <c r="B215" s="5">
        <v>0</v>
      </c>
      <c r="C215" s="5">
        <v>0</v>
      </c>
      <c r="D215" s="5">
        <v>825210074</v>
      </c>
      <c r="E215" s="6" t="s">
        <v>18</v>
      </c>
      <c r="F215" s="5" t="str">
        <f>VLOOKUP(D215,J:L,3,FALSE)</f>
        <v>Tri Sutrisno, S.Si., M.Sc.</v>
      </c>
    </row>
    <row r="216" spans="1:6" x14ac:dyDescent="0.25">
      <c r="A216" s="5">
        <v>1</v>
      </c>
      <c r="B216" s="5">
        <v>0</v>
      </c>
      <c r="C216" s="5">
        <v>0</v>
      </c>
      <c r="D216" s="5">
        <v>535210042</v>
      </c>
      <c r="E216" s="6" t="s">
        <v>18</v>
      </c>
      <c r="F216" s="5" t="str">
        <f>VLOOKUP(D216,J:L,3,FALSE)</f>
        <v>Tri Sutrisno, S.Si., M.Sc.</v>
      </c>
    </row>
    <row r="217" spans="1:6" x14ac:dyDescent="0.25">
      <c r="A217" s="5">
        <v>1</v>
      </c>
      <c r="B217" s="5">
        <v>0</v>
      </c>
      <c r="C217" s="5">
        <v>3</v>
      </c>
      <c r="D217" s="5">
        <v>825210013</v>
      </c>
      <c r="E217" s="6" t="s">
        <v>18</v>
      </c>
      <c r="F217" s="5" t="str">
        <f>VLOOKUP(D217,J:L,3,FALSE)</f>
        <v>Irvan Lewenusa, S.Kom., M.Kom.</v>
      </c>
    </row>
    <row r="218" spans="1:6" x14ac:dyDescent="0.25">
      <c r="A218" s="5">
        <v>1</v>
      </c>
      <c r="B218" s="5">
        <v>1</v>
      </c>
      <c r="C218" s="5">
        <v>3</v>
      </c>
      <c r="D218" s="5">
        <v>535210014</v>
      </c>
      <c r="E218" s="6" t="s">
        <v>18</v>
      </c>
      <c r="F218" s="5" t="str">
        <f>VLOOKUP(D218,J:L,3,FALSE)</f>
        <v>Viny Christanti Mawardi, S.Kom., M.Kom.</v>
      </c>
    </row>
    <row r="219" spans="1:6" x14ac:dyDescent="0.25">
      <c r="A219" s="5">
        <v>1</v>
      </c>
      <c r="B219" s="5">
        <v>1</v>
      </c>
      <c r="C219" s="5">
        <v>4</v>
      </c>
      <c r="D219" s="5">
        <v>825190098</v>
      </c>
      <c r="E219" s="6" t="s">
        <v>18</v>
      </c>
      <c r="F219" s="5" t="str">
        <f>VLOOKUP(D219,J:L,3,FALSE)</f>
        <v>Manatap Dolok Lauro, S.Kom., MMSI</v>
      </c>
    </row>
    <row r="220" spans="1:6" x14ac:dyDescent="0.25">
      <c r="A220" s="5">
        <v>1</v>
      </c>
      <c r="B220" s="5">
        <v>1</v>
      </c>
      <c r="C220" s="5">
        <v>4</v>
      </c>
      <c r="D220" s="5">
        <v>825210132</v>
      </c>
      <c r="E220" s="6" t="s">
        <v>18</v>
      </c>
      <c r="F220" s="5" t="str">
        <f>VLOOKUP(D220,J:L,3,FALSE)</f>
        <v>Manatap Dolok Lauro, S.Kom., MMSI</v>
      </c>
    </row>
    <row r="221" spans="1:6" x14ac:dyDescent="0.25">
      <c r="A221" s="5">
        <v>1</v>
      </c>
      <c r="B221" s="5">
        <v>1</v>
      </c>
      <c r="C221" s="5">
        <v>4</v>
      </c>
      <c r="D221" s="5">
        <v>825210041</v>
      </c>
      <c r="E221" s="6" t="s">
        <v>18</v>
      </c>
      <c r="F221" s="5" t="str">
        <f>VLOOKUP(D221,J:L,3,FALSE)</f>
        <v>Manatap Dolok Lauro, S.Kom., MMSI</v>
      </c>
    </row>
    <row r="222" spans="1:6" x14ac:dyDescent="0.25">
      <c r="A222" s="5">
        <v>1</v>
      </c>
      <c r="B222" s="5">
        <v>1</v>
      </c>
      <c r="C222" s="5">
        <v>4</v>
      </c>
      <c r="D222" s="5">
        <v>825210069</v>
      </c>
      <c r="E222" s="6" t="s">
        <v>18</v>
      </c>
      <c r="F222" s="5" t="str">
        <f>VLOOKUP(D222,J:L,3,FALSE)</f>
        <v>Manatap Dolok Lauro, S.Kom., MMSI</v>
      </c>
    </row>
    <row r="223" spans="1:6" x14ac:dyDescent="0.25">
      <c r="A223" s="5">
        <v>2</v>
      </c>
      <c r="B223" s="5">
        <v>0</v>
      </c>
      <c r="C223" s="5">
        <v>1</v>
      </c>
      <c r="D223" s="5">
        <v>825210006</v>
      </c>
      <c r="E223" s="6" t="s">
        <v>18</v>
      </c>
      <c r="F223" s="5" t="str">
        <f>VLOOKUP(D223,J:L,3,FALSE)</f>
        <v>Bagus Mulyawan, S.Kom., MM</v>
      </c>
    </row>
    <row r="224" spans="1:6" x14ac:dyDescent="0.25">
      <c r="A224" s="5">
        <v>2</v>
      </c>
      <c r="B224" s="5">
        <v>0</v>
      </c>
      <c r="C224" s="5">
        <v>1</v>
      </c>
      <c r="D224" s="5">
        <v>825210029</v>
      </c>
      <c r="E224" s="6" t="s">
        <v>18</v>
      </c>
      <c r="F224" s="5" t="str">
        <f>VLOOKUP(D224,J:L,3,FALSE)</f>
        <v>Bagus Mulyawan, S.Kom., MM</v>
      </c>
    </row>
    <row r="225" spans="1:6" x14ac:dyDescent="0.25">
      <c r="A225" s="5">
        <v>2</v>
      </c>
      <c r="B225" s="5">
        <v>0</v>
      </c>
      <c r="C225" s="5">
        <v>1</v>
      </c>
      <c r="D225" s="5">
        <v>825210064</v>
      </c>
      <c r="E225" s="6" t="s">
        <v>18</v>
      </c>
      <c r="F225" s="5" t="str">
        <f>VLOOKUP(D225,J:L,3,FALSE)</f>
        <v>Bagus Mulyawan, S.Kom., MM</v>
      </c>
    </row>
    <row r="226" spans="1:6" x14ac:dyDescent="0.25">
      <c r="A226" s="5">
        <v>2</v>
      </c>
      <c r="B226" s="5">
        <v>0</v>
      </c>
      <c r="C226" s="5">
        <v>1</v>
      </c>
      <c r="D226" s="5">
        <v>825210145</v>
      </c>
      <c r="E226" s="6" t="s">
        <v>18</v>
      </c>
      <c r="F226" s="5" t="str">
        <f>VLOOKUP(D226,J:L,3,FALSE)</f>
        <v>Bagus Mulyawan, S.Kom., MM</v>
      </c>
    </row>
    <row r="227" spans="1:6" x14ac:dyDescent="0.25">
      <c r="A227" s="5">
        <v>2</v>
      </c>
      <c r="B227" s="5">
        <v>0</v>
      </c>
      <c r="C227" s="5">
        <v>2</v>
      </c>
      <c r="D227" s="5">
        <v>825210135</v>
      </c>
      <c r="E227" s="6" t="s">
        <v>18</v>
      </c>
      <c r="F227" s="5" t="str">
        <f>VLOOKUP(D227,J:L,3,FALSE)</f>
        <v>Bagus Mulyawan, S.Kom., MM</v>
      </c>
    </row>
    <row r="228" spans="1:6" x14ac:dyDescent="0.25">
      <c r="A228" s="5">
        <v>2</v>
      </c>
      <c r="B228" s="5">
        <v>0</v>
      </c>
      <c r="C228" s="5">
        <v>2</v>
      </c>
      <c r="D228" s="5">
        <v>825210114</v>
      </c>
      <c r="E228" s="6" t="s">
        <v>18</v>
      </c>
      <c r="F228" s="5" t="str">
        <f>VLOOKUP(D228,J:L,3,FALSE)</f>
        <v>Bagus Mulyawan, S.Kom., MM</v>
      </c>
    </row>
    <row r="229" spans="1:6" x14ac:dyDescent="0.25">
      <c r="A229" s="5">
        <v>2</v>
      </c>
      <c r="B229" s="5">
        <v>0</v>
      </c>
      <c r="C229" s="5">
        <v>2</v>
      </c>
      <c r="D229" s="5">
        <v>825210109</v>
      </c>
      <c r="E229" s="6" t="s">
        <v>18</v>
      </c>
      <c r="F229" s="5" t="str">
        <f>VLOOKUP(D229,J:L,3,FALSE)</f>
        <v>Bagus Mulyawan, S.Kom., MM</v>
      </c>
    </row>
    <row r="230" spans="1:6" x14ac:dyDescent="0.25">
      <c r="A230" s="5">
        <v>2</v>
      </c>
      <c r="B230" s="5">
        <v>0</v>
      </c>
      <c r="C230" s="5">
        <v>2</v>
      </c>
      <c r="D230" s="5">
        <v>825210098</v>
      </c>
      <c r="E230" s="6" t="s">
        <v>18</v>
      </c>
      <c r="F230" s="5" t="str">
        <f>VLOOKUP(D230,J:L,3,FALSE)</f>
        <v>Bagus Mulyawan, S.Kom., MM</v>
      </c>
    </row>
    <row r="231" spans="1:6" x14ac:dyDescent="0.25">
      <c r="A231" s="5">
        <v>2</v>
      </c>
      <c r="B231" s="5">
        <v>0</v>
      </c>
      <c r="C231" s="5">
        <v>5</v>
      </c>
      <c r="D231" s="5">
        <v>535210058</v>
      </c>
      <c r="E231" s="6" t="s">
        <v>18</v>
      </c>
      <c r="F231" s="5" t="str">
        <f>VLOOKUP(D231,J:L,3,FALSE)</f>
        <v>Dra. Chairisni Lubis, M.Kom.</v>
      </c>
    </row>
    <row r="232" spans="1:6" x14ac:dyDescent="0.25">
      <c r="A232" s="5">
        <v>2</v>
      </c>
      <c r="B232" s="5">
        <v>0</v>
      </c>
      <c r="C232" s="5">
        <v>5</v>
      </c>
      <c r="D232" s="5">
        <v>535210081</v>
      </c>
      <c r="E232" s="6" t="s">
        <v>18</v>
      </c>
      <c r="F232" s="5" t="str">
        <f>VLOOKUP(D232,J:L,3,FALSE)</f>
        <v>Dra. Chairisni Lubis, M.Kom.</v>
      </c>
    </row>
    <row r="233" spans="1:6" x14ac:dyDescent="0.25">
      <c r="A233" s="5">
        <v>2</v>
      </c>
      <c r="B233" s="5">
        <v>0</v>
      </c>
      <c r="C233" s="5">
        <v>7</v>
      </c>
      <c r="D233" s="5">
        <v>535210099</v>
      </c>
      <c r="E233" s="6" t="s">
        <v>18</v>
      </c>
      <c r="F233" s="5" t="str">
        <f>VLOOKUP(D233,J:L,3,FALSE)</f>
        <v>Lely Hiryanto, ST, M.Sc., Ph.D</v>
      </c>
    </row>
    <row r="234" spans="1:6" x14ac:dyDescent="0.25">
      <c r="A234" s="5">
        <v>2</v>
      </c>
      <c r="B234" s="5">
        <v>0</v>
      </c>
      <c r="C234" s="5">
        <v>7</v>
      </c>
      <c r="D234" s="5">
        <v>535210031</v>
      </c>
      <c r="E234" s="6" t="s">
        <v>18</v>
      </c>
      <c r="F234" s="5" t="str">
        <f>VLOOKUP(D234,J:L,3,FALSE)</f>
        <v>Lely Hiryanto, ST, M.Sc., Ph.D</v>
      </c>
    </row>
    <row r="235" spans="1:6" x14ac:dyDescent="0.25">
      <c r="A235" s="5">
        <v>2</v>
      </c>
      <c r="B235" s="5">
        <v>0</v>
      </c>
      <c r="C235" s="5">
        <v>7</v>
      </c>
      <c r="D235" s="5">
        <v>535210052</v>
      </c>
      <c r="E235" s="6" t="s">
        <v>18</v>
      </c>
      <c r="F235" s="5" t="str">
        <f>VLOOKUP(D235,J:L,3,FALSE)</f>
        <v>Lely Hiryanto, ST, M.Sc., Ph.D</v>
      </c>
    </row>
    <row r="236" spans="1:6" x14ac:dyDescent="0.25">
      <c r="A236" s="5">
        <v>2</v>
      </c>
      <c r="B236" s="5">
        <v>0</v>
      </c>
      <c r="C236" s="5">
        <v>7</v>
      </c>
      <c r="D236" s="5">
        <v>535210073</v>
      </c>
      <c r="E236" s="6" t="s">
        <v>18</v>
      </c>
      <c r="F236" s="5" t="str">
        <f>VLOOKUP(D236,J:L,3,FALSE)</f>
        <v>Lely Hiryanto, ST, M.Sc., Ph.D</v>
      </c>
    </row>
    <row r="237" spans="1:6" x14ac:dyDescent="0.25">
      <c r="A237" s="5">
        <v>4</v>
      </c>
      <c r="B237" s="5">
        <v>0</v>
      </c>
      <c r="C237" s="5">
        <v>0</v>
      </c>
      <c r="D237" s="5">
        <v>825210044</v>
      </c>
      <c r="E237" s="6" t="s">
        <v>14</v>
      </c>
      <c r="F237" s="5" t="str">
        <f>VLOOKUP(D237,J:L,3,FALSE)</f>
        <v>Janson Hendryli, S.Kom., M.Kom.</v>
      </c>
    </row>
    <row r="238" spans="1:6" x14ac:dyDescent="0.25">
      <c r="A238" s="5">
        <v>4</v>
      </c>
      <c r="B238" s="5">
        <v>0</v>
      </c>
      <c r="C238" s="5">
        <v>0</v>
      </c>
      <c r="D238" s="5">
        <v>825210083</v>
      </c>
      <c r="E238" s="6" t="s">
        <v>14</v>
      </c>
      <c r="F238" s="5" t="str">
        <f>VLOOKUP(D238,J:L,3,FALSE)</f>
        <v>Janson Hendryli, S.Kom., M.Kom.</v>
      </c>
    </row>
    <row r="239" spans="1:6" x14ac:dyDescent="0.25">
      <c r="A239" s="5">
        <v>4</v>
      </c>
      <c r="B239" s="5">
        <v>0</v>
      </c>
      <c r="C239" s="5">
        <v>0</v>
      </c>
      <c r="D239" s="5">
        <v>825210094</v>
      </c>
      <c r="E239" s="6" t="s">
        <v>14</v>
      </c>
      <c r="F239" s="5" t="str">
        <f>VLOOKUP(D239,J:L,3,FALSE)</f>
        <v>Janson Hendryli, S.Kom., M.Kom.</v>
      </c>
    </row>
    <row r="240" spans="1:6" x14ac:dyDescent="0.25">
      <c r="A240" s="5">
        <v>4</v>
      </c>
      <c r="B240" s="5">
        <v>0</v>
      </c>
      <c r="C240" s="5">
        <v>1</v>
      </c>
      <c r="D240" s="5">
        <v>825210040</v>
      </c>
      <c r="E240" s="6" t="s">
        <v>14</v>
      </c>
      <c r="F240" s="5" t="str">
        <f>VLOOKUP(D240,J:L,3,FALSE)</f>
        <v>Tony, S.Kom., M.Kom., Ph.D.</v>
      </c>
    </row>
    <row r="241" spans="1:6" x14ac:dyDescent="0.25">
      <c r="A241" s="5">
        <v>4</v>
      </c>
      <c r="B241" s="5">
        <v>0</v>
      </c>
      <c r="C241" s="5">
        <v>1</v>
      </c>
      <c r="D241" s="5">
        <v>825210137</v>
      </c>
      <c r="E241" s="6" t="s">
        <v>14</v>
      </c>
      <c r="F241" s="5" t="str">
        <f>VLOOKUP(D241,J:L,3,FALSE)</f>
        <v>Tony, S.Kom., M.Kom., Ph.D.</v>
      </c>
    </row>
    <row r="242" spans="1:6" x14ac:dyDescent="0.25">
      <c r="A242" s="5">
        <v>4</v>
      </c>
      <c r="B242" s="5">
        <v>0</v>
      </c>
      <c r="C242" s="5">
        <v>1</v>
      </c>
      <c r="D242" s="5">
        <v>825210153</v>
      </c>
      <c r="E242" s="6" t="s">
        <v>14</v>
      </c>
      <c r="F242" s="5" t="str">
        <f>VLOOKUP(D242,J:L,3,FALSE)</f>
        <v>Tony, S.Kom., M.Kom., Ph.D.</v>
      </c>
    </row>
    <row r="243" spans="1:6" x14ac:dyDescent="0.25">
      <c r="A243" s="5">
        <v>4</v>
      </c>
      <c r="B243" s="5">
        <v>0</v>
      </c>
      <c r="C243" s="5">
        <v>2</v>
      </c>
      <c r="D243" s="5">
        <v>535210086</v>
      </c>
      <c r="E243" s="6" t="s">
        <v>14</v>
      </c>
      <c r="F243" s="5" t="str">
        <f>VLOOKUP(D243,J:L,3,FALSE)</f>
        <v>Janson Hendryli, S.Kom., M.Kom.</v>
      </c>
    </row>
    <row r="244" spans="1:6" x14ac:dyDescent="0.25">
      <c r="A244" s="5">
        <v>4</v>
      </c>
      <c r="B244" s="5">
        <v>0</v>
      </c>
      <c r="C244" s="5">
        <v>2</v>
      </c>
      <c r="D244" s="5">
        <v>535210047</v>
      </c>
      <c r="E244" s="6" t="s">
        <v>14</v>
      </c>
      <c r="F244" s="5" t="str">
        <f>VLOOKUP(D244,J:L,3,FALSE)</f>
        <v>Janson Hendryli, S.Kom., M.Kom.</v>
      </c>
    </row>
    <row r="245" spans="1:6" x14ac:dyDescent="0.25">
      <c r="A245" s="5">
        <v>4</v>
      </c>
      <c r="B245" s="5">
        <v>0</v>
      </c>
      <c r="C245" s="5">
        <v>2</v>
      </c>
      <c r="D245" s="5">
        <v>535210062</v>
      </c>
      <c r="E245" s="6" t="s">
        <v>14</v>
      </c>
      <c r="F245" s="5" t="str">
        <f>VLOOKUP(D245,J:L,3,FALSE)</f>
        <v>Janson Hendryli, S.Kom., M.Kom.</v>
      </c>
    </row>
    <row r="246" spans="1:6" x14ac:dyDescent="0.25">
      <c r="A246" s="5">
        <v>4</v>
      </c>
      <c r="B246" s="5">
        <v>0</v>
      </c>
      <c r="C246" s="5">
        <v>2</v>
      </c>
      <c r="D246" s="5">
        <v>535210065</v>
      </c>
      <c r="E246" s="6" t="s">
        <v>14</v>
      </c>
      <c r="F246" s="5" t="str">
        <f>VLOOKUP(D246,J:L,3,FALSE)</f>
        <v>Janson Hendryli, S.Kom., M.Kom.</v>
      </c>
    </row>
    <row r="247" spans="1:6" x14ac:dyDescent="0.25">
      <c r="A247" s="5">
        <v>4</v>
      </c>
      <c r="B247" s="5">
        <v>0</v>
      </c>
      <c r="C247" s="5">
        <v>3</v>
      </c>
      <c r="D247" s="5">
        <v>535210039</v>
      </c>
      <c r="E247" s="6" t="s">
        <v>14</v>
      </c>
      <c r="F247" s="5" t="str">
        <f>VLOOKUP(D247,J:L,3,FALSE)</f>
        <v>Janson Hendryli, S.Kom., M.Kom.</v>
      </c>
    </row>
    <row r="248" spans="1:6" x14ac:dyDescent="0.25">
      <c r="A248" s="5">
        <v>4</v>
      </c>
      <c r="B248" s="5">
        <v>0</v>
      </c>
      <c r="C248" s="5">
        <v>3</v>
      </c>
      <c r="D248" s="5">
        <v>535210091</v>
      </c>
      <c r="E248" s="6" t="s">
        <v>14</v>
      </c>
      <c r="F248" s="5" t="str">
        <f>VLOOKUP(D248,J:L,3,FALSE)</f>
        <v>Janson Hendryli, S.Kom., M.Kom.</v>
      </c>
    </row>
    <row r="249" spans="1:6" x14ac:dyDescent="0.25">
      <c r="A249" s="5">
        <v>4</v>
      </c>
      <c r="B249" s="5">
        <v>0</v>
      </c>
      <c r="C249" s="5">
        <v>3</v>
      </c>
      <c r="D249" s="5">
        <v>825210107</v>
      </c>
      <c r="E249" s="6" t="s">
        <v>14</v>
      </c>
      <c r="F249" s="5" t="str">
        <f>VLOOKUP(D249,J:L,3,FALSE)</f>
        <v>Janson Hendryli, S.Kom., M.Kom.</v>
      </c>
    </row>
    <row r="250" spans="1:6" x14ac:dyDescent="0.25">
      <c r="A250" s="5">
        <v>4</v>
      </c>
      <c r="B250" s="5">
        <v>0</v>
      </c>
      <c r="C250" s="5">
        <v>3</v>
      </c>
      <c r="D250" s="5">
        <v>825210017</v>
      </c>
      <c r="E250" s="6" t="s">
        <v>14</v>
      </c>
      <c r="F250" s="5" t="str">
        <f>VLOOKUP(D250,J:L,3,FALSE)</f>
        <v>Janson Hendryli, S.Kom., M.Kom.</v>
      </c>
    </row>
    <row r="251" spans="1:6" x14ac:dyDescent="0.25">
      <c r="A251" s="5">
        <v>4</v>
      </c>
      <c r="B251" s="5">
        <v>1</v>
      </c>
      <c r="C251" s="5">
        <v>0</v>
      </c>
      <c r="D251" s="5">
        <v>535210021</v>
      </c>
      <c r="E251" s="6" t="s">
        <v>18</v>
      </c>
      <c r="F251" s="5" t="str">
        <f>VLOOKUP(D251,J:L,3,FALSE)</f>
        <v>Prof. Lina, ST, M.Kom., Ph.D.</v>
      </c>
    </row>
    <row r="252" spans="1:6" x14ac:dyDescent="0.25">
      <c r="A252" s="5">
        <v>4</v>
      </c>
      <c r="B252" s="5">
        <v>1</v>
      </c>
      <c r="C252" s="5">
        <v>0</v>
      </c>
      <c r="D252" s="5">
        <v>535210041</v>
      </c>
      <c r="E252" s="6" t="s">
        <v>18</v>
      </c>
      <c r="F252" s="5" t="str">
        <f>VLOOKUP(D252,J:L,3,FALSE)</f>
        <v>Prof. Lina, ST, M.Kom., Ph.D.</v>
      </c>
    </row>
    <row r="253" spans="1:6" x14ac:dyDescent="0.25">
      <c r="A253" s="5">
        <v>4</v>
      </c>
      <c r="B253" s="5">
        <v>1</v>
      </c>
      <c r="C253" s="5">
        <v>0</v>
      </c>
      <c r="D253" s="5">
        <v>535210020</v>
      </c>
      <c r="E253" s="6" t="s">
        <v>18</v>
      </c>
      <c r="F253" s="5" t="str">
        <f>VLOOKUP(D253,J:L,3,FALSE)</f>
        <v>Prof. Lina, ST, M.Kom., Ph.D.</v>
      </c>
    </row>
    <row r="254" spans="1:6" x14ac:dyDescent="0.25">
      <c r="A254" s="5">
        <v>4</v>
      </c>
      <c r="B254" s="5">
        <v>1</v>
      </c>
      <c r="C254" s="5">
        <v>0</v>
      </c>
      <c r="D254" s="5">
        <v>535210038</v>
      </c>
      <c r="E254" s="6" t="s">
        <v>18</v>
      </c>
      <c r="F254" s="5" t="str">
        <f>VLOOKUP(D254,J:L,3,FALSE)</f>
        <v>Prof. Lina, ST, M.Kom., Ph.D.</v>
      </c>
    </row>
    <row r="255" spans="1:6" x14ac:dyDescent="0.25">
      <c r="A255" s="5">
        <v>4</v>
      </c>
      <c r="B255" s="5">
        <v>1</v>
      </c>
      <c r="C255" s="5">
        <v>1</v>
      </c>
      <c r="D255" s="5">
        <v>535210085</v>
      </c>
      <c r="E255" s="6" t="s">
        <v>31</v>
      </c>
      <c r="F255" s="5" t="str">
        <f>VLOOKUP(D255,J:L,3,FALSE)</f>
        <v>Manatap Dolok Lauro, S.Kom., MMSI</v>
      </c>
    </row>
    <row r="256" spans="1:6" x14ac:dyDescent="0.25">
      <c r="A256" s="5">
        <v>4</v>
      </c>
      <c r="B256" s="5">
        <v>1</v>
      </c>
      <c r="C256" s="5">
        <v>1</v>
      </c>
      <c r="D256" s="5">
        <v>535200087</v>
      </c>
      <c r="E256" s="6" t="s">
        <v>31</v>
      </c>
      <c r="F256" s="5" t="str">
        <f>VLOOKUP(D256,J:L,3,FALSE)</f>
        <v>Manatap Dolok Lauro, S.Kom., MMSI</v>
      </c>
    </row>
    <row r="257" spans="1:6" x14ac:dyDescent="0.25">
      <c r="A257" s="5">
        <v>4</v>
      </c>
      <c r="B257" s="5">
        <v>1</v>
      </c>
      <c r="C257" s="5">
        <v>1</v>
      </c>
      <c r="D257" s="5">
        <v>825210096</v>
      </c>
      <c r="E257" s="6" t="s">
        <v>31</v>
      </c>
      <c r="F257" s="5" t="str">
        <f>VLOOKUP(D257,J:L,3,FALSE)</f>
        <v>Manatap Dolok Lauro, S.Kom., MMSI</v>
      </c>
    </row>
    <row r="258" spans="1:6" x14ac:dyDescent="0.25">
      <c r="A258" s="5">
        <v>4</v>
      </c>
      <c r="B258" s="5">
        <v>1</v>
      </c>
      <c r="C258" s="5">
        <v>2</v>
      </c>
      <c r="D258" s="5">
        <v>825210103</v>
      </c>
      <c r="E258" s="6" t="s">
        <v>32</v>
      </c>
      <c r="F258" s="5" t="str">
        <f>VLOOKUP(D258,J:L,3,FALSE)</f>
        <v>Bagus Mulyawan, S.Kom., MM</v>
      </c>
    </row>
    <row r="259" spans="1:6" x14ac:dyDescent="0.25">
      <c r="A259" s="5">
        <v>4</v>
      </c>
      <c r="B259" s="5">
        <v>1</v>
      </c>
      <c r="C259" s="5">
        <v>2</v>
      </c>
      <c r="D259" s="5">
        <v>825210152</v>
      </c>
      <c r="E259" s="6" t="s">
        <v>32</v>
      </c>
      <c r="F259" s="5" t="str">
        <f>VLOOKUP(D259,J:L,3,FALSE)</f>
        <v>Ir. Jap Tji Beng, MMSI, M.Psi., Ph.D., PE, M.ASCE</v>
      </c>
    </row>
    <row r="260" spans="1:6" x14ac:dyDescent="0.25">
      <c r="A260" s="5">
        <v>4</v>
      </c>
      <c r="B260" s="5">
        <v>1</v>
      </c>
      <c r="C260" s="5">
        <v>2</v>
      </c>
      <c r="D260" s="5">
        <v>825210136</v>
      </c>
      <c r="E260" s="6" t="s">
        <v>32</v>
      </c>
      <c r="F260" s="5" t="str">
        <f>VLOOKUP(D260,J:L,3,FALSE)</f>
        <v>Ir. Jap Tji Beng, MMSI, M.Psi., Ph.D., PE, M.ASCE</v>
      </c>
    </row>
    <row r="261" spans="1:6" x14ac:dyDescent="0.25">
      <c r="A261" s="5">
        <v>4</v>
      </c>
      <c r="B261" s="5">
        <v>1</v>
      </c>
      <c r="C261" s="5">
        <v>2</v>
      </c>
      <c r="D261" s="5">
        <v>825210082</v>
      </c>
      <c r="E261" s="6" t="s">
        <v>32</v>
      </c>
      <c r="F261" s="5" t="str">
        <f>VLOOKUP(D261,J:L,3,FALSE)</f>
        <v>Ir. Jap Tji Beng, MMSI, M.Psi., Ph.D., PE, M.ASCE</v>
      </c>
    </row>
    <row r="262" spans="1:6" x14ac:dyDescent="0.25">
      <c r="A262" s="5">
        <v>4</v>
      </c>
      <c r="B262" s="5">
        <v>1</v>
      </c>
      <c r="C262" s="5">
        <v>2</v>
      </c>
      <c r="D262" s="5">
        <v>535210010</v>
      </c>
      <c r="E262" s="6" t="s">
        <v>32</v>
      </c>
      <c r="F262" s="5" t="str">
        <f>VLOOKUP(D262,J:L,3,FALSE)</f>
        <v>Lely Hiryanto, ST, M.Sc., Ph.D</v>
      </c>
    </row>
    <row r="263" spans="1:6" x14ac:dyDescent="0.25">
      <c r="A263" s="5">
        <v>4</v>
      </c>
      <c r="B263" s="5">
        <v>1</v>
      </c>
      <c r="C263" s="5">
        <v>3</v>
      </c>
      <c r="D263" s="5">
        <v>825210106</v>
      </c>
      <c r="E263" s="6" t="s">
        <v>18</v>
      </c>
      <c r="F263" s="5" t="str">
        <f>VLOOKUP(D263,J:L,3,FALSE)</f>
        <v>Ir. Jap Tji Beng, MMSI, M.Psi., Ph.D., PE, M.ASCE</v>
      </c>
    </row>
    <row r="264" spans="1:6" x14ac:dyDescent="0.25">
      <c r="A264" s="5">
        <v>4</v>
      </c>
      <c r="B264" s="5">
        <v>1</v>
      </c>
      <c r="C264" s="5">
        <v>3</v>
      </c>
      <c r="D264" s="5">
        <v>825210110</v>
      </c>
      <c r="E264" s="6" t="s">
        <v>18</v>
      </c>
      <c r="F264" s="5" t="str">
        <f>VLOOKUP(D264,J:L,3,FALSE)</f>
        <v>Ir. Jap Tji Beng, MMSI, M.Psi., Ph.D., PE, M.ASCE</v>
      </c>
    </row>
    <row r="265" spans="1:6" x14ac:dyDescent="0.25">
      <c r="A265" s="5">
        <v>4</v>
      </c>
      <c r="B265" s="5">
        <v>1</v>
      </c>
      <c r="C265" s="5">
        <v>3</v>
      </c>
      <c r="D265" s="5">
        <v>825210113</v>
      </c>
      <c r="E265" s="6" t="s">
        <v>18</v>
      </c>
      <c r="F265" s="5" t="str">
        <f>VLOOKUP(D265,J:L,3,FALSE)</f>
        <v>Ir. Jap Tji Beng, MMSI, M.Psi., Ph.D., PE, M.ASCE</v>
      </c>
    </row>
    <row r="266" spans="1:6" x14ac:dyDescent="0.25">
      <c r="A266" s="5">
        <v>4</v>
      </c>
      <c r="B266" s="5">
        <v>1</v>
      </c>
      <c r="C266" s="5">
        <v>3</v>
      </c>
      <c r="D266" s="5">
        <v>825210148</v>
      </c>
      <c r="E266" s="6" t="s">
        <v>18</v>
      </c>
      <c r="F266" s="5" t="str">
        <f>VLOOKUP(D266,J:L,3,FALSE)</f>
        <v>Ir. Jap Tji Beng, MMSI, M.Psi., Ph.D., PE, M.ASCE</v>
      </c>
    </row>
    <row r="267" spans="1:6" x14ac:dyDescent="0.25">
      <c r="A267" s="5">
        <v>6</v>
      </c>
      <c r="B267" s="5">
        <v>0</v>
      </c>
      <c r="C267" s="5">
        <v>0</v>
      </c>
      <c r="D267" s="5">
        <v>535210032</v>
      </c>
      <c r="E267" s="6" t="s">
        <v>18</v>
      </c>
      <c r="F267" s="5" t="str">
        <f>VLOOKUP(D267,J:L,3,FALSE)</f>
        <v>Teny Handhayani, S.Kom., M.Kom., Ph.D.</v>
      </c>
    </row>
    <row r="268" spans="1:6" x14ac:dyDescent="0.25">
      <c r="A268" s="5">
        <v>6</v>
      </c>
      <c r="B268" s="5">
        <v>0</v>
      </c>
      <c r="C268" s="5">
        <v>0</v>
      </c>
      <c r="D268" s="5">
        <v>535210026</v>
      </c>
      <c r="E268" s="6" t="s">
        <v>18</v>
      </c>
      <c r="F268" s="5" t="str">
        <f>VLOOKUP(D268,J:L,3,FALSE)</f>
        <v>Teny Handhayani, S.Kom., M.Kom., Ph.D.</v>
      </c>
    </row>
    <row r="269" spans="1:6" x14ac:dyDescent="0.25">
      <c r="A269" s="5">
        <v>6</v>
      </c>
      <c r="B269" s="5">
        <v>0</v>
      </c>
      <c r="C269" s="5">
        <v>0</v>
      </c>
      <c r="D269" s="5">
        <v>535210017</v>
      </c>
      <c r="E269" s="6" t="s">
        <v>18</v>
      </c>
      <c r="F269" s="5" t="str">
        <f>VLOOKUP(D269,J:L,3,FALSE)</f>
        <v>Teny Handhayani, S.Kom., M.Kom., Ph.D.</v>
      </c>
    </row>
    <row r="270" spans="1:6" x14ac:dyDescent="0.25">
      <c r="A270" s="5">
        <v>6</v>
      </c>
      <c r="B270" s="5">
        <v>0</v>
      </c>
      <c r="C270" s="5">
        <v>0</v>
      </c>
      <c r="D270" s="5">
        <v>535210071</v>
      </c>
      <c r="E270" s="6" t="s">
        <v>18</v>
      </c>
      <c r="F270" s="5" t="str">
        <f>VLOOKUP(D270,J:L,3,FALSE)</f>
        <v>Teny Handhayani, S.Kom., M.Kom., Ph.D.</v>
      </c>
    </row>
    <row r="271" spans="1:6" x14ac:dyDescent="0.25">
      <c r="A271" s="5">
        <v>6</v>
      </c>
      <c r="B271" s="5">
        <v>0</v>
      </c>
      <c r="C271" s="5">
        <v>1</v>
      </c>
      <c r="D271" s="5">
        <v>825210146</v>
      </c>
      <c r="E271" s="6" t="s">
        <v>18</v>
      </c>
      <c r="F271" s="5" t="str">
        <f>VLOOKUP(D271,J:L,3,FALSE)</f>
        <v>Teny Handhayani, S.Kom., M.Kom., Ph.D.</v>
      </c>
    </row>
    <row r="272" spans="1:6" x14ac:dyDescent="0.25">
      <c r="A272" s="5">
        <v>6</v>
      </c>
      <c r="B272" s="5">
        <v>0</v>
      </c>
      <c r="C272" s="5">
        <v>1</v>
      </c>
      <c r="D272" s="5">
        <v>825210126</v>
      </c>
      <c r="E272" s="6" t="s">
        <v>18</v>
      </c>
      <c r="F272" s="5" t="str">
        <f>VLOOKUP(D272,J:L,3,FALSE)</f>
        <v>Teny Handhayani, S.Kom., M.Kom., Ph.D.</v>
      </c>
    </row>
    <row r="273" spans="1:6" x14ac:dyDescent="0.25">
      <c r="A273" s="5">
        <v>6</v>
      </c>
      <c r="B273" s="5">
        <v>0</v>
      </c>
      <c r="C273" s="5">
        <v>1</v>
      </c>
      <c r="D273" s="5">
        <v>825210008</v>
      </c>
      <c r="E273" s="6" t="s">
        <v>18</v>
      </c>
      <c r="F273" s="5" t="str">
        <f>VLOOKUP(D273,J:L,3,FALSE)</f>
        <v>Teny Handhayani, S.Kom., M.Kom., Ph.D.</v>
      </c>
    </row>
    <row r="274" spans="1:6" x14ac:dyDescent="0.25">
      <c r="A274" s="5">
        <v>6</v>
      </c>
      <c r="B274" s="5">
        <v>0</v>
      </c>
      <c r="C274" s="5">
        <v>1</v>
      </c>
      <c r="D274" s="5">
        <v>825210018</v>
      </c>
      <c r="E274" s="6" t="s">
        <v>18</v>
      </c>
      <c r="F274" s="5" t="str">
        <f>VLOOKUP(D274,J:L,3,FALSE)</f>
        <v>Teny Handhayani, S.Kom., M.Kom., Ph.D.</v>
      </c>
    </row>
    <row r="275" spans="1:6" x14ac:dyDescent="0.25">
      <c r="A275" s="5">
        <v>6</v>
      </c>
      <c r="B275" s="5">
        <v>0</v>
      </c>
      <c r="C275" s="5">
        <v>2</v>
      </c>
      <c r="D275" s="5">
        <v>825210031</v>
      </c>
      <c r="E275" s="6" t="s">
        <v>18</v>
      </c>
      <c r="F275" s="5" t="str">
        <f>VLOOKUP(D275,J:L,3,FALSE)</f>
        <v>Teny Handhayani, S.Kom., M.Kom., Ph.D.</v>
      </c>
    </row>
    <row r="276" spans="1:6" x14ac:dyDescent="0.25">
      <c r="A276" s="5">
        <v>6</v>
      </c>
      <c r="B276" s="5">
        <v>0</v>
      </c>
      <c r="C276" s="5">
        <v>2</v>
      </c>
      <c r="D276" s="5">
        <v>825210067</v>
      </c>
      <c r="E276" s="6" t="s">
        <v>18</v>
      </c>
      <c r="F276" s="5" t="str">
        <f>VLOOKUP(D276,J:L,3,FALSE)</f>
        <v>Teny Handhayani, S.Kom., M.Kom., Ph.D.</v>
      </c>
    </row>
    <row r="277" spans="1:6" x14ac:dyDescent="0.25">
      <c r="A277" s="5">
        <v>6</v>
      </c>
      <c r="B277" s="5">
        <v>0</v>
      </c>
      <c r="C277" s="5">
        <v>2</v>
      </c>
      <c r="D277" s="5">
        <v>825210001</v>
      </c>
      <c r="E277" s="6" t="s">
        <v>18</v>
      </c>
      <c r="F277" s="5" t="str">
        <f>VLOOKUP(D277,J:L,3,FALSE)</f>
        <v>Dr. Wasino, S.Kom., M.Kom.</v>
      </c>
    </row>
    <row r="278" spans="1:6" x14ac:dyDescent="0.25">
      <c r="A278" s="5">
        <v>6</v>
      </c>
      <c r="B278" s="5">
        <v>0</v>
      </c>
      <c r="C278" s="5">
        <v>2</v>
      </c>
      <c r="D278" s="5">
        <v>825210014</v>
      </c>
      <c r="E278" s="6" t="s">
        <v>18</v>
      </c>
      <c r="F278" s="5" t="str">
        <f>VLOOKUP(D278,J:L,3,FALSE)</f>
        <v>Dr. Wasino, S.Kom., M.Kom.</v>
      </c>
    </row>
    <row r="279" spans="1:6" x14ac:dyDescent="0.25">
      <c r="A279" s="5">
        <v>6</v>
      </c>
      <c r="B279" s="5">
        <v>0</v>
      </c>
      <c r="C279" s="5">
        <v>3</v>
      </c>
      <c r="D279" s="5">
        <v>825210025</v>
      </c>
      <c r="E279" s="6" t="s">
        <v>18</v>
      </c>
      <c r="F279" s="5" t="str">
        <f>VLOOKUP(D279,J:L,3,FALSE)</f>
        <v>Dr. Wasino, S.Kom., M.Kom.</v>
      </c>
    </row>
    <row r="280" spans="1:6" x14ac:dyDescent="0.25">
      <c r="A280" s="5">
        <v>6</v>
      </c>
      <c r="B280" s="5">
        <v>0</v>
      </c>
      <c r="C280" s="5">
        <v>3</v>
      </c>
      <c r="D280" s="5">
        <v>825210039</v>
      </c>
      <c r="E280" s="6" t="s">
        <v>18</v>
      </c>
      <c r="F280" s="5" t="str">
        <f>VLOOKUP(D280,J:L,3,FALSE)</f>
        <v>Dr. Wasino, S.Kom., M.Kom.</v>
      </c>
    </row>
    <row r="281" spans="1:6" x14ac:dyDescent="0.25">
      <c r="A281" s="5">
        <v>6</v>
      </c>
      <c r="B281" s="5">
        <v>0</v>
      </c>
      <c r="C281" s="5">
        <v>3</v>
      </c>
      <c r="D281" s="5">
        <v>825210047</v>
      </c>
      <c r="E281" s="6" t="s">
        <v>18</v>
      </c>
      <c r="F281" s="5" t="str">
        <f>VLOOKUP(D281,J:L,3,FALSE)</f>
        <v>Dr. Wasino, S.Kom., M.Kom.</v>
      </c>
    </row>
    <row r="282" spans="1:6" x14ac:dyDescent="0.25">
      <c r="A282" s="5">
        <v>6</v>
      </c>
      <c r="B282" s="5">
        <v>0</v>
      </c>
      <c r="C282" s="5">
        <v>3</v>
      </c>
      <c r="D282" s="5">
        <v>825210095</v>
      </c>
      <c r="E282" s="6" t="s">
        <v>18</v>
      </c>
      <c r="F282" s="5" t="str">
        <f>VLOOKUP(D282,J:L,3,FALSE)</f>
        <v>Dr. Wasino, S.Kom., M.Kom.</v>
      </c>
    </row>
    <row r="283" spans="1:6" x14ac:dyDescent="0.25">
      <c r="A283" s="5">
        <v>6</v>
      </c>
      <c r="B283" s="5">
        <v>0</v>
      </c>
      <c r="C283" s="5">
        <v>4</v>
      </c>
      <c r="D283" s="5">
        <v>825210143</v>
      </c>
      <c r="E283" s="6" t="s">
        <v>18</v>
      </c>
      <c r="F283" s="5" t="str">
        <f>VLOOKUP(D283,J:L,3,FALSE)</f>
        <v>Dr. Wasino, S.Kom., M.Kom.</v>
      </c>
    </row>
    <row r="284" spans="1:6" x14ac:dyDescent="0.25">
      <c r="A284" s="5">
        <v>6</v>
      </c>
      <c r="B284" s="5">
        <v>0</v>
      </c>
      <c r="C284" s="5">
        <v>4</v>
      </c>
      <c r="D284" s="5">
        <v>825210138</v>
      </c>
      <c r="E284" s="6" t="s">
        <v>18</v>
      </c>
      <c r="F284" s="5" t="str">
        <f>VLOOKUP(D284,J:L,3,FALSE)</f>
        <v>Dr. Wasino, S.Kom., M.Kom.</v>
      </c>
    </row>
    <row r="285" spans="1:6" x14ac:dyDescent="0.25">
      <c r="A285" s="5">
        <v>6</v>
      </c>
      <c r="B285" s="5">
        <v>0</v>
      </c>
      <c r="C285" s="5">
        <v>4</v>
      </c>
      <c r="D285" s="5">
        <v>825210147</v>
      </c>
      <c r="E285" s="6" t="s">
        <v>18</v>
      </c>
      <c r="F285" s="5" t="str">
        <f>VLOOKUP(D285,J:L,3,FALSE)</f>
        <v>Dr. Wasino, S.Kom., M.Kom.</v>
      </c>
    </row>
    <row r="286" spans="1:6" x14ac:dyDescent="0.25">
      <c r="A286" s="5">
        <v>6</v>
      </c>
      <c r="B286" s="5">
        <v>0</v>
      </c>
      <c r="C286" s="5">
        <v>4</v>
      </c>
      <c r="D286" s="5">
        <v>825210004</v>
      </c>
      <c r="E286" s="6" t="s">
        <v>18</v>
      </c>
      <c r="F286" s="5" t="str">
        <f>VLOOKUP(D286,J:L,3,FALSE)</f>
        <v>Dr. Wasino, S.Kom., M.Kom.</v>
      </c>
    </row>
    <row r="287" spans="1:6" x14ac:dyDescent="0.25">
      <c r="A287" s="5">
        <v>6</v>
      </c>
      <c r="B287" s="5">
        <v>0</v>
      </c>
      <c r="C287" s="5">
        <v>5</v>
      </c>
      <c r="D287" s="5">
        <v>825210002</v>
      </c>
      <c r="E287" s="6" t="s">
        <v>18</v>
      </c>
      <c r="F287" s="5" t="str">
        <f>VLOOKUP(D287,J:L,3,FALSE)</f>
        <v>Tony, S.Kom., M.Kom., Ph.D.</v>
      </c>
    </row>
    <row r="288" spans="1:6" x14ac:dyDescent="0.25">
      <c r="A288" s="5">
        <v>6</v>
      </c>
      <c r="B288" s="5">
        <v>0</v>
      </c>
      <c r="C288" s="5">
        <v>5</v>
      </c>
      <c r="D288" s="5">
        <v>825210051</v>
      </c>
      <c r="E288" s="6" t="s">
        <v>18</v>
      </c>
      <c r="F288" s="5" t="str">
        <f>VLOOKUP(D288,J:L,3,FALSE)</f>
        <v>Tony, S.Kom., M.Kom., Ph.D.</v>
      </c>
    </row>
    <row r="289" spans="1:13" x14ac:dyDescent="0.25">
      <c r="A289" s="5">
        <v>6</v>
      </c>
      <c r="B289" s="5">
        <v>0</v>
      </c>
      <c r="C289" s="5">
        <v>5</v>
      </c>
      <c r="D289" s="5">
        <v>825210054</v>
      </c>
      <c r="E289" s="6" t="s">
        <v>18</v>
      </c>
      <c r="F289" s="5" t="str">
        <f>VLOOKUP(D289,J:L,3,FALSE)</f>
        <v>Tony, S.Kom., M.Kom., Ph.D.</v>
      </c>
      <c r="M289" s="7"/>
    </row>
    <row r="290" spans="1:13" x14ac:dyDescent="0.25">
      <c r="A290" s="5">
        <v>6</v>
      </c>
      <c r="B290" s="5">
        <v>0</v>
      </c>
      <c r="C290" s="5">
        <v>5</v>
      </c>
      <c r="D290" s="5">
        <v>825210057</v>
      </c>
      <c r="E290" s="6" t="s">
        <v>18</v>
      </c>
      <c r="F290" s="5" t="str">
        <f>VLOOKUP(D290,J:L,3,FALSE)</f>
        <v>Tony, S.Kom., M.Kom., Ph.D.</v>
      </c>
      <c r="M290" s="7"/>
    </row>
    <row r="291" spans="1:13" x14ac:dyDescent="0.25">
      <c r="A291" s="5">
        <v>6</v>
      </c>
      <c r="B291" s="5">
        <v>0</v>
      </c>
      <c r="C291" s="5">
        <v>6</v>
      </c>
      <c r="D291" s="5">
        <v>825210072</v>
      </c>
      <c r="E291" s="6" t="s">
        <v>18</v>
      </c>
      <c r="F291" s="5" t="str">
        <f>VLOOKUP(D291,J:L,3,FALSE)</f>
        <v>Tony, S.Kom., M.Kom., Ph.D.</v>
      </c>
      <c r="M291" s="7"/>
    </row>
    <row r="292" spans="1:13" x14ac:dyDescent="0.25">
      <c r="A292" s="5">
        <v>6</v>
      </c>
      <c r="B292" s="5">
        <v>0</v>
      </c>
      <c r="C292" s="5">
        <v>6</v>
      </c>
      <c r="D292" s="5">
        <v>825210075</v>
      </c>
      <c r="E292" s="6" t="s">
        <v>18</v>
      </c>
      <c r="F292" s="5" t="str">
        <f>VLOOKUP(D292,J:L,3,FALSE)</f>
        <v>Tony, S.Kom., M.Kom., Ph.D.</v>
      </c>
      <c r="M292" s="7"/>
    </row>
    <row r="293" spans="1:13" x14ac:dyDescent="0.25">
      <c r="A293" s="5">
        <v>6</v>
      </c>
      <c r="B293" s="5">
        <v>0</v>
      </c>
      <c r="C293" s="5">
        <v>6</v>
      </c>
      <c r="D293" s="5">
        <v>825210088</v>
      </c>
      <c r="E293" s="6" t="s">
        <v>18</v>
      </c>
      <c r="F293" s="5" t="str">
        <f>VLOOKUP(D293,J:L,3,FALSE)</f>
        <v>Tony, S.Kom., M.Kom., Ph.D.</v>
      </c>
      <c r="M293" s="7"/>
    </row>
    <row r="294" spans="1:13" x14ac:dyDescent="0.25">
      <c r="A294" s="5">
        <v>6</v>
      </c>
      <c r="B294" s="5">
        <v>0</v>
      </c>
      <c r="C294" s="5">
        <v>6</v>
      </c>
      <c r="D294" s="5">
        <v>825210089</v>
      </c>
      <c r="E294" s="6" t="s">
        <v>18</v>
      </c>
      <c r="F294" s="5" t="str">
        <f>VLOOKUP(D294,J:L,3,FALSE)</f>
        <v>Tony, S.Kom., M.Kom., Ph.D.</v>
      </c>
      <c r="M294" s="7"/>
    </row>
    <row r="295" spans="1:13" x14ac:dyDescent="0.25">
      <c r="A295" s="5">
        <v>6</v>
      </c>
      <c r="B295" s="5">
        <v>1</v>
      </c>
      <c r="C295" s="5">
        <v>0</v>
      </c>
      <c r="D295" s="5">
        <v>825210037</v>
      </c>
      <c r="E295" s="6" t="s">
        <v>18</v>
      </c>
      <c r="F295" s="5" t="str">
        <f>VLOOKUP(D295,J:L,3,FALSE)</f>
        <v>Lely Hiryanto, ST, M.Sc., Ph.D</v>
      </c>
      <c r="M295" s="7"/>
    </row>
    <row r="296" spans="1:13" x14ac:dyDescent="0.25">
      <c r="A296" s="5">
        <v>6</v>
      </c>
      <c r="B296" s="5">
        <v>1</v>
      </c>
      <c r="C296" s="5">
        <v>0</v>
      </c>
      <c r="D296" s="5">
        <v>825210058</v>
      </c>
      <c r="E296" s="6" t="s">
        <v>18</v>
      </c>
      <c r="F296" s="5" t="str">
        <f>VLOOKUP(D296,J:L,3,FALSE)</f>
        <v>Lely Hiryanto, ST, M.Sc., Ph.D</v>
      </c>
      <c r="M296" s="7"/>
    </row>
    <row r="297" spans="1:13" x14ac:dyDescent="0.25">
      <c r="A297" s="5">
        <v>6</v>
      </c>
      <c r="B297" s="5">
        <v>1</v>
      </c>
      <c r="C297" s="5">
        <v>0</v>
      </c>
      <c r="D297" s="5">
        <v>825210036</v>
      </c>
      <c r="E297" s="6" t="s">
        <v>18</v>
      </c>
      <c r="F297" s="5" t="str">
        <f>VLOOKUP(D297,J:L,3,FALSE)</f>
        <v>Lely Hiryanto, ST, M.Sc., Ph.D</v>
      </c>
      <c r="M297" s="7"/>
    </row>
    <row r="298" spans="1:13" x14ac:dyDescent="0.25">
      <c r="A298" s="5">
        <v>6</v>
      </c>
      <c r="B298" s="5">
        <v>1</v>
      </c>
      <c r="C298" s="5">
        <v>1</v>
      </c>
      <c r="D298" s="5">
        <v>825210086</v>
      </c>
      <c r="E298" s="6" t="s">
        <v>18</v>
      </c>
      <c r="F298" s="5" t="str">
        <f>VLOOKUP(D298,J:L,3,FALSE)</f>
        <v>Manatap Dolok Lauro, S.Kom., MMSI</v>
      </c>
      <c r="M298" s="7"/>
    </row>
    <row r="299" spans="1:13" x14ac:dyDescent="0.25">
      <c r="A299" s="5">
        <v>6</v>
      </c>
      <c r="B299" s="5">
        <v>1</v>
      </c>
      <c r="C299" s="5">
        <v>1</v>
      </c>
      <c r="D299" s="5">
        <v>825210093</v>
      </c>
      <c r="E299" s="6" t="s">
        <v>18</v>
      </c>
      <c r="F299" s="5" t="str">
        <f>VLOOKUP(D299,J:L,3,FALSE)</f>
        <v>Manatap Dolok Lauro, S.Kom., MMSI</v>
      </c>
      <c r="M299" s="7"/>
    </row>
    <row r="300" spans="1:13" x14ac:dyDescent="0.25">
      <c r="A300" s="5">
        <v>6</v>
      </c>
      <c r="B300" s="5">
        <v>1</v>
      </c>
      <c r="C300" s="5">
        <v>1</v>
      </c>
      <c r="D300" s="5">
        <v>825210078</v>
      </c>
      <c r="E300" s="6" t="s">
        <v>18</v>
      </c>
      <c r="F300" s="5" t="str">
        <f>VLOOKUP(D300,J:L,3,FALSE)</f>
        <v>Manatap Dolok Lauro, S.Kom., MMSI</v>
      </c>
      <c r="M300" s="7"/>
    </row>
    <row r="301" spans="1:13" x14ac:dyDescent="0.25">
      <c r="A301" s="5">
        <v>6</v>
      </c>
      <c r="B301" s="5">
        <v>1</v>
      </c>
      <c r="C301" s="5">
        <v>1</v>
      </c>
      <c r="D301" s="5">
        <v>825210101</v>
      </c>
      <c r="E301" s="6" t="s">
        <v>18</v>
      </c>
      <c r="F301" s="5" t="str">
        <f>VLOOKUP(D301,J:L,3,FALSE)</f>
        <v>Manatap Dolok Lauro, S.Kom., MMSI</v>
      </c>
    </row>
    <row r="302" spans="1:13" x14ac:dyDescent="0.25">
      <c r="A302" s="5">
        <v>6</v>
      </c>
      <c r="B302" s="5">
        <v>1</v>
      </c>
      <c r="C302" s="5">
        <v>2</v>
      </c>
      <c r="D302" s="5">
        <v>535210100</v>
      </c>
      <c r="E302" s="6" t="s">
        <v>18</v>
      </c>
      <c r="F302" s="5" t="str">
        <f>VLOOKUP(D302,J:L,3,FALSE)</f>
        <v>Novario Jaya Perdana, S.Kom., MT</v>
      </c>
    </row>
    <row r="303" spans="1:13" x14ac:dyDescent="0.25">
      <c r="A303" s="5">
        <v>6</v>
      </c>
      <c r="B303" s="5">
        <v>1</v>
      </c>
      <c r="C303" s="5">
        <v>2</v>
      </c>
      <c r="D303" s="5">
        <v>535210079</v>
      </c>
      <c r="E303" s="6" t="s">
        <v>18</v>
      </c>
      <c r="F303" s="5" t="str">
        <f>VLOOKUP(D303,J:L,3,FALSE)</f>
        <v>Novario Jaya Perdana, S.Kom., MT</v>
      </c>
    </row>
    <row r="304" spans="1:13" x14ac:dyDescent="0.25">
      <c r="A304" s="5">
        <v>6</v>
      </c>
      <c r="B304" s="5">
        <v>1</v>
      </c>
      <c r="C304" s="5">
        <v>2</v>
      </c>
      <c r="D304" s="5">
        <v>535210102</v>
      </c>
      <c r="E304" s="6" t="s">
        <v>18</v>
      </c>
      <c r="F304" s="5" t="str">
        <f>VLOOKUP(D304,J:L,3,FALSE)</f>
        <v>Novario Jaya Perdana, S.Kom., MT</v>
      </c>
    </row>
    <row r="305" spans="1:6" x14ac:dyDescent="0.25">
      <c r="A305" s="5">
        <v>6</v>
      </c>
      <c r="B305" s="5">
        <v>1</v>
      </c>
      <c r="C305" s="5">
        <v>2</v>
      </c>
      <c r="D305" s="5">
        <v>825210022</v>
      </c>
      <c r="E305" s="6" t="s">
        <v>18</v>
      </c>
      <c r="F305" s="5" t="str">
        <f>VLOOKUP(D305,J:L,3,FALSE)</f>
        <v>Herman Tusiadi, S.Kom., MM</v>
      </c>
    </row>
    <row r="306" spans="1:6" x14ac:dyDescent="0.25">
      <c r="A306" s="5">
        <v>6</v>
      </c>
      <c r="B306" s="5">
        <v>1</v>
      </c>
      <c r="C306" s="5">
        <v>3</v>
      </c>
      <c r="D306" s="5">
        <v>825210116</v>
      </c>
      <c r="E306" s="6" t="s">
        <v>18</v>
      </c>
      <c r="F306" s="5" t="str">
        <f>VLOOKUP(D306,J:L,3,FALSE)</f>
        <v>Herman Tusiadi, S.Kom., MM</v>
      </c>
    </row>
    <row r="307" spans="1:6" x14ac:dyDescent="0.25">
      <c r="A307" s="5">
        <v>6</v>
      </c>
      <c r="B307" s="5">
        <v>1</v>
      </c>
      <c r="C307" s="5">
        <v>3</v>
      </c>
      <c r="D307" s="5">
        <v>825210131</v>
      </c>
      <c r="E307" s="6" t="s">
        <v>18</v>
      </c>
      <c r="F307" s="5" t="str">
        <f>VLOOKUP(D307,J:L,3,FALSE)</f>
        <v>Herman Tusiadi, S.Kom., MM</v>
      </c>
    </row>
    <row r="308" spans="1:6" x14ac:dyDescent="0.25">
      <c r="A308" s="5">
        <v>6</v>
      </c>
      <c r="B308" s="5">
        <v>1</v>
      </c>
      <c r="C308" s="5">
        <v>3</v>
      </c>
      <c r="D308" s="5">
        <v>825210076</v>
      </c>
      <c r="E308" s="6" t="s">
        <v>18</v>
      </c>
      <c r="F308" s="5" t="str">
        <f>VLOOKUP(D308,J:L,3,FALSE)</f>
        <v>Herman Tusiadi, S.Kom., MM</v>
      </c>
    </row>
    <row r="309" spans="1:6" x14ac:dyDescent="0.25">
      <c r="A309" s="5">
        <v>6</v>
      </c>
      <c r="B309" s="5">
        <v>1</v>
      </c>
      <c r="C309" s="5">
        <v>3</v>
      </c>
      <c r="D309" s="5">
        <v>825210011</v>
      </c>
      <c r="E309" s="6" t="s">
        <v>18</v>
      </c>
      <c r="F309" s="5" t="str">
        <f>VLOOKUP(D309,J:L,3,FALSE)</f>
        <v>Herman Tusiadi, S.Kom., MM</v>
      </c>
    </row>
    <row r="310" spans="1:6" x14ac:dyDescent="0.25">
      <c r="A310" s="5">
        <v>6</v>
      </c>
      <c r="B310" s="5">
        <v>1</v>
      </c>
      <c r="C310" s="5">
        <v>4</v>
      </c>
      <c r="D310" s="5">
        <v>825210079</v>
      </c>
      <c r="E310" s="6" t="s">
        <v>18</v>
      </c>
      <c r="F310" s="5" t="str">
        <f>VLOOKUP(D310,J:L,3,FALSE)</f>
        <v>Herman Tusiadi, S.Kom., MM</v>
      </c>
    </row>
    <row r="311" spans="1:6" x14ac:dyDescent="0.25">
      <c r="A311" s="5">
        <v>6</v>
      </c>
      <c r="B311" s="5">
        <v>1</v>
      </c>
      <c r="C311" s="5">
        <v>4</v>
      </c>
      <c r="D311" s="5">
        <v>825210108</v>
      </c>
      <c r="E311" s="6" t="s">
        <v>18</v>
      </c>
      <c r="F311" s="5" t="str">
        <f>VLOOKUP(D311,J:L,3,FALSE)</f>
        <v>Herman Tusiadi, S.Kom., MM</v>
      </c>
    </row>
    <row r="312" spans="1:6" x14ac:dyDescent="0.25">
      <c r="A312" s="5">
        <v>6</v>
      </c>
      <c r="B312" s="5">
        <v>1</v>
      </c>
      <c r="C312" s="5">
        <v>4</v>
      </c>
      <c r="D312" s="5">
        <v>825210142</v>
      </c>
      <c r="E312" s="6" t="s">
        <v>18</v>
      </c>
      <c r="F312" s="5" t="str">
        <f>VLOOKUP(D312,J:L,3,FALSE)</f>
        <v>Herman Tusiadi, S.Kom., MM</v>
      </c>
    </row>
    <row r="313" spans="1:6" x14ac:dyDescent="0.25">
      <c r="A313" s="5">
        <v>6</v>
      </c>
      <c r="B313" s="5">
        <v>1</v>
      </c>
      <c r="C313" s="5">
        <v>4</v>
      </c>
      <c r="D313" s="5">
        <v>825210070</v>
      </c>
      <c r="E313" s="6" t="s">
        <v>18</v>
      </c>
      <c r="F313" s="5" t="str">
        <f>VLOOKUP(D313,J:L,3,FALSE)</f>
        <v>Herman Tusiadi, S.Kom., MM</v>
      </c>
    </row>
    <row r="314" spans="1:6" x14ac:dyDescent="0.25">
      <c r="A314" s="5">
        <v>6</v>
      </c>
      <c r="B314" s="5">
        <v>1</v>
      </c>
      <c r="C314" s="5">
        <v>5</v>
      </c>
      <c r="D314" s="5">
        <v>825210048</v>
      </c>
      <c r="E314" s="6" t="s">
        <v>18</v>
      </c>
      <c r="F314" s="5" t="str">
        <f>VLOOKUP(D314,J:L,3,FALSE)</f>
        <v>Herman Tusiadi, S.Kom., MM</v>
      </c>
    </row>
    <row r="315" spans="1:6" x14ac:dyDescent="0.25">
      <c r="A315" s="5">
        <v>6</v>
      </c>
      <c r="B315" s="5">
        <v>1</v>
      </c>
      <c r="C315" s="5">
        <v>5</v>
      </c>
      <c r="D315" s="5">
        <v>825210010</v>
      </c>
      <c r="E315" s="6" t="s">
        <v>18</v>
      </c>
      <c r="F315" s="5" t="str">
        <f>VLOOKUP(D315,J:L,3,FALSE)</f>
        <v>Lely Hiryanto, ST, M.Sc., Ph.D</v>
      </c>
    </row>
    <row r="316" spans="1:6" x14ac:dyDescent="0.25">
      <c r="A316" s="5">
        <v>6</v>
      </c>
      <c r="B316" s="5">
        <v>1</v>
      </c>
      <c r="C316" s="5">
        <v>5</v>
      </c>
      <c r="D316" s="5">
        <v>825210027</v>
      </c>
      <c r="E316" s="6" t="s">
        <v>18</v>
      </c>
      <c r="F316" s="5" t="str">
        <f>VLOOKUP(D316,J:L,3,FALSE)</f>
        <v>Lely Hiryanto, ST, M.Sc., Ph.D</v>
      </c>
    </row>
    <row r="317" spans="1:6" x14ac:dyDescent="0.25">
      <c r="A317" s="5">
        <v>6</v>
      </c>
      <c r="B317" s="5">
        <v>1</v>
      </c>
      <c r="C317" s="5">
        <v>5</v>
      </c>
      <c r="D317" s="5">
        <v>825210005</v>
      </c>
      <c r="E317" s="6" t="s">
        <v>18</v>
      </c>
      <c r="F317" s="5" t="str">
        <f>VLOOKUP(D317,J:L,3,FALSE)</f>
        <v>Lely Hiryanto, ST, M.Sc., Ph.D</v>
      </c>
    </row>
    <row r="318" spans="1:6" x14ac:dyDescent="0.25">
      <c r="A318" s="5">
        <v>2</v>
      </c>
      <c r="B318" s="5">
        <v>1</v>
      </c>
      <c r="C318" s="5">
        <v>1</v>
      </c>
      <c r="D318" s="5">
        <v>535210066</v>
      </c>
      <c r="E318" s="6" t="s">
        <v>18</v>
      </c>
      <c r="F318" s="5" t="str">
        <f>VLOOKUP(D318,J:L,3,FALSE)</f>
        <v>Viny Christanti Mawardi, S.Kom., M.Kom.</v>
      </c>
    </row>
    <row r="319" spans="1:6" x14ac:dyDescent="0.25">
      <c r="A319" s="5">
        <v>2</v>
      </c>
      <c r="B319" s="5">
        <v>1</v>
      </c>
      <c r="C319" s="5">
        <v>1</v>
      </c>
      <c r="D319" s="5">
        <v>535210082</v>
      </c>
      <c r="E319" s="6" t="s">
        <v>18</v>
      </c>
      <c r="F319" s="5" t="str">
        <f>VLOOKUP(D319,J:L,3,FALSE)</f>
        <v>Viny Christanti Mawardi, S.Kom., M.Kom.</v>
      </c>
    </row>
    <row r="320" spans="1:6" x14ac:dyDescent="0.25">
      <c r="A320" s="5">
        <v>2</v>
      </c>
      <c r="B320" s="5">
        <v>1</v>
      </c>
      <c r="C320" s="5">
        <v>1</v>
      </c>
      <c r="D320" s="5">
        <v>535210078</v>
      </c>
      <c r="E320" s="6" t="s">
        <v>18</v>
      </c>
      <c r="F320" s="5" t="str">
        <f>VLOOKUP(D320,J:L,3,FALSE)</f>
        <v>Viny Christanti Mawardi, S.Kom., M.Kom.</v>
      </c>
    </row>
    <row r="321" spans="1:7" x14ac:dyDescent="0.25">
      <c r="A321" s="5">
        <v>2</v>
      </c>
      <c r="B321" s="5">
        <v>1</v>
      </c>
      <c r="C321" s="5">
        <v>1</v>
      </c>
      <c r="D321" s="5">
        <v>535210025</v>
      </c>
      <c r="E321" s="6" t="s">
        <v>18</v>
      </c>
      <c r="F321" s="5" t="str">
        <f>VLOOKUP(D321,J:L,3,FALSE)</f>
        <v>Viny Christanti Mawardi, S.Kom., M.Kom.</v>
      </c>
    </row>
    <row r="322" spans="1:7" x14ac:dyDescent="0.25">
      <c r="A322" s="5">
        <v>2</v>
      </c>
      <c r="B322" s="5">
        <v>1</v>
      </c>
      <c r="C322" s="5">
        <v>2</v>
      </c>
      <c r="D322" s="5">
        <v>535210097</v>
      </c>
      <c r="E322" s="6" t="s">
        <v>18</v>
      </c>
      <c r="F322" s="5" t="str">
        <f>VLOOKUP(D322,J:L,3,FALSE)</f>
        <v>Viny Christanti Mawardi, S.Kom., M.Kom.</v>
      </c>
    </row>
    <row r="323" spans="1:7" x14ac:dyDescent="0.25">
      <c r="A323" s="5">
        <v>2</v>
      </c>
      <c r="B323" s="5">
        <v>1</v>
      </c>
      <c r="C323" s="5">
        <v>2</v>
      </c>
      <c r="D323" s="5">
        <v>535210090</v>
      </c>
      <c r="E323" s="6" t="s">
        <v>18</v>
      </c>
      <c r="F323" s="5" t="str">
        <f>VLOOKUP(D323,J:L,3,FALSE)</f>
        <v>Viny Christanti Mawardi, S.Kom., M.Kom.</v>
      </c>
    </row>
    <row r="324" spans="1:7" x14ac:dyDescent="0.25">
      <c r="E324" s="8" t="s">
        <v>45</v>
      </c>
      <c r="G324" s="2">
        <f>COUNT(D201:D323)</f>
        <v>123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G3:L1048576">
    <sortCondition ref="G3:G1048576"/>
    <sortCondition ref="H3:H1048576"/>
    <sortCondition ref="I3:I1048576"/>
  </sortState>
  <mergeCells count="3">
    <mergeCell ref="A1:F1"/>
    <mergeCell ref="M1:M2"/>
    <mergeCell ref="G1:L1"/>
  </mergeCells>
  <conditionalFormatting sqref="A101:C115 A2:C17 A30:C45 A66:C92 A412:C1048576 A201:C323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I323 G325:I1048576 H324:I3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1048576 M1">
    <cfRule type="cellIs" dxfId="0" priority="1" operator="equal">
      <formula>1</formula>
    </cfRule>
  </conditionalFormatting>
  <printOptions horizontalCentered="1"/>
  <pageMargins left="0.3" right="0.3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JADWAL KP DSN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RANDY CENSON</cp:lastModifiedBy>
  <dcterms:created xsi:type="dcterms:W3CDTF">2024-06-27T02:07:10Z</dcterms:created>
  <dcterms:modified xsi:type="dcterms:W3CDTF">2025-12-20T16:06:03Z</dcterms:modified>
  <cp:category/>
</cp:coreProperties>
</file>